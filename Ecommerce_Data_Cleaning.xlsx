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mee\Downloads\"/>
    </mc:Choice>
  </mc:AlternateContent>
  <xr:revisionPtr revIDLastSave="0" documentId="11_3BE6FA99CBAF54A9539E94411C3C0D64E6B23FA9" xr6:coauthVersionLast="47" xr6:coauthVersionMax="47" xr10:uidLastSave="{00000000-0000-0000-0000-000000000000}"/>
  <bookViews>
    <workbookView xWindow="24" yWindow="744" windowWidth="23016" windowHeight="12216" tabRatio="500" activeTab="3" xr2:uid="{00000000-000D-0000-FFFF-FFFF00000000}"/>
  </bookViews>
  <sheets>
    <sheet name="README" sheetId="1" r:id="rId1"/>
    <sheet name="RawData" sheetId="2" r:id="rId2"/>
    <sheet name="Cleaning_Audit" sheetId="3" r:id="rId3"/>
    <sheet name="Cleaned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201" i="4" l="1"/>
  <c r="M1201" i="4"/>
  <c r="L1201" i="4"/>
  <c r="K1201" i="4"/>
  <c r="J1201" i="4"/>
  <c r="I1201" i="4"/>
  <c r="H1201" i="4"/>
  <c r="G1201" i="4"/>
  <c r="F1201" i="4"/>
  <c r="E1201" i="4"/>
  <c r="D1201" i="4"/>
  <c r="C1201" i="4"/>
  <c r="B1201" i="4"/>
  <c r="A1201" i="4"/>
  <c r="N1200" i="4"/>
  <c r="M1200" i="4"/>
  <c r="L1200" i="4"/>
  <c r="K1200" i="4"/>
  <c r="J1200" i="4"/>
  <c r="I1200" i="4"/>
  <c r="H1200" i="4"/>
  <c r="G1200" i="4"/>
  <c r="F1200" i="4"/>
  <c r="E1200" i="4"/>
  <c r="D1200" i="4"/>
  <c r="C1200" i="4"/>
  <c r="B1200" i="4"/>
  <c r="A1200" i="4"/>
  <c r="N1199" i="4"/>
  <c r="M1199" i="4"/>
  <c r="L1199" i="4"/>
  <c r="K1199" i="4"/>
  <c r="J1199" i="4"/>
  <c r="I1199" i="4"/>
  <c r="H1199" i="4"/>
  <c r="G1199" i="4"/>
  <c r="F1199" i="4"/>
  <c r="E1199" i="4"/>
  <c r="D1199" i="4"/>
  <c r="C1199" i="4"/>
  <c r="B1199" i="4"/>
  <c r="A1199" i="4"/>
  <c r="N1198" i="4"/>
  <c r="M1198" i="4"/>
  <c r="L1198" i="4"/>
  <c r="K1198" i="4"/>
  <c r="J1198" i="4"/>
  <c r="I1198" i="4"/>
  <c r="H1198" i="4"/>
  <c r="G1198" i="4"/>
  <c r="F1198" i="4"/>
  <c r="E1198" i="4"/>
  <c r="D1198" i="4"/>
  <c r="C1198" i="4"/>
  <c r="B1198" i="4"/>
  <c r="A1198" i="4"/>
  <c r="N1197" i="4"/>
  <c r="M1197" i="4"/>
  <c r="L1197" i="4"/>
  <c r="K1197" i="4"/>
  <c r="J1197" i="4"/>
  <c r="I1197" i="4"/>
  <c r="H1197" i="4"/>
  <c r="G1197" i="4"/>
  <c r="F1197" i="4"/>
  <c r="E1197" i="4"/>
  <c r="D1197" i="4"/>
  <c r="C1197" i="4"/>
  <c r="B1197" i="4"/>
  <c r="A1197" i="4"/>
  <c r="N1196" i="4"/>
  <c r="M1196" i="4"/>
  <c r="L1196" i="4"/>
  <c r="K1196" i="4"/>
  <c r="J1196" i="4"/>
  <c r="I1196" i="4"/>
  <c r="H1196" i="4"/>
  <c r="G1196" i="4"/>
  <c r="F1196" i="4"/>
  <c r="E1196" i="4"/>
  <c r="D1196" i="4"/>
  <c r="C1196" i="4"/>
  <c r="B1196" i="4"/>
  <c r="A1196" i="4"/>
  <c r="N1195" i="4"/>
  <c r="M1195" i="4"/>
  <c r="L1195" i="4"/>
  <c r="K1195" i="4"/>
  <c r="J1195" i="4"/>
  <c r="I1195" i="4"/>
  <c r="H1195" i="4"/>
  <c r="G1195" i="4"/>
  <c r="F1195" i="4"/>
  <c r="E1195" i="4"/>
  <c r="D1195" i="4"/>
  <c r="C1195" i="4"/>
  <c r="B1195" i="4"/>
  <c r="A1195" i="4"/>
  <c r="N1194" i="4"/>
  <c r="M1194" i="4"/>
  <c r="L1194" i="4"/>
  <c r="K1194" i="4"/>
  <c r="J1194" i="4"/>
  <c r="I1194" i="4"/>
  <c r="H1194" i="4"/>
  <c r="G1194" i="4"/>
  <c r="F1194" i="4"/>
  <c r="E1194" i="4"/>
  <c r="D1194" i="4"/>
  <c r="C1194" i="4"/>
  <c r="B1194" i="4"/>
  <c r="A1194" i="4"/>
  <c r="N1193" i="4"/>
  <c r="M1193" i="4"/>
  <c r="L1193" i="4"/>
  <c r="K1193" i="4"/>
  <c r="J1193" i="4"/>
  <c r="I1193" i="4"/>
  <c r="H1193" i="4"/>
  <c r="G1193" i="4"/>
  <c r="F1193" i="4"/>
  <c r="E1193" i="4"/>
  <c r="D1193" i="4"/>
  <c r="C1193" i="4"/>
  <c r="B1193" i="4"/>
  <c r="A1193" i="4"/>
  <c r="N1192" i="4"/>
  <c r="M1192" i="4"/>
  <c r="L1192" i="4"/>
  <c r="K1192" i="4"/>
  <c r="J1192" i="4"/>
  <c r="I1192" i="4"/>
  <c r="H1192" i="4"/>
  <c r="G1192" i="4"/>
  <c r="F1192" i="4"/>
  <c r="E1192" i="4"/>
  <c r="D1192" i="4"/>
  <c r="C1192" i="4"/>
  <c r="B1192" i="4"/>
  <c r="A1192" i="4"/>
  <c r="N1191" i="4"/>
  <c r="M1191" i="4"/>
  <c r="L1191" i="4"/>
  <c r="K1191" i="4"/>
  <c r="J1191" i="4"/>
  <c r="I1191" i="4"/>
  <c r="H1191" i="4"/>
  <c r="G1191" i="4"/>
  <c r="F1191" i="4"/>
  <c r="E1191" i="4"/>
  <c r="D1191" i="4"/>
  <c r="C1191" i="4"/>
  <c r="B1191" i="4"/>
  <c r="A1191" i="4"/>
  <c r="N1190" i="4"/>
  <c r="M1190" i="4"/>
  <c r="L1190" i="4"/>
  <c r="K1190" i="4"/>
  <c r="J1190" i="4"/>
  <c r="I1190" i="4"/>
  <c r="H1190" i="4"/>
  <c r="G1190" i="4"/>
  <c r="F1190" i="4"/>
  <c r="E1190" i="4"/>
  <c r="D1190" i="4"/>
  <c r="C1190" i="4"/>
  <c r="B1190" i="4"/>
  <c r="A1190" i="4"/>
  <c r="N1189" i="4"/>
  <c r="M1189" i="4"/>
  <c r="L1189" i="4"/>
  <c r="K1189" i="4"/>
  <c r="J1189" i="4"/>
  <c r="I1189" i="4"/>
  <c r="H1189" i="4"/>
  <c r="G1189" i="4"/>
  <c r="F1189" i="4"/>
  <c r="E1189" i="4"/>
  <c r="D1189" i="4"/>
  <c r="C1189" i="4"/>
  <c r="B1189" i="4"/>
  <c r="A1189" i="4"/>
  <c r="N1188" i="4"/>
  <c r="M1188" i="4"/>
  <c r="L1188" i="4"/>
  <c r="K1188" i="4"/>
  <c r="J1188" i="4"/>
  <c r="I1188" i="4"/>
  <c r="H1188" i="4"/>
  <c r="G1188" i="4"/>
  <c r="F1188" i="4"/>
  <c r="E1188" i="4"/>
  <c r="D1188" i="4"/>
  <c r="C1188" i="4"/>
  <c r="B1188" i="4"/>
  <c r="A1188" i="4"/>
  <c r="N1187" i="4"/>
  <c r="M1187" i="4"/>
  <c r="L1187" i="4"/>
  <c r="K1187" i="4"/>
  <c r="J1187" i="4"/>
  <c r="I1187" i="4"/>
  <c r="H1187" i="4"/>
  <c r="G1187" i="4"/>
  <c r="F1187" i="4"/>
  <c r="E1187" i="4"/>
  <c r="D1187" i="4"/>
  <c r="C1187" i="4"/>
  <c r="B1187" i="4"/>
  <c r="A1187" i="4"/>
  <c r="N1186" i="4"/>
  <c r="M1186" i="4"/>
  <c r="L1186" i="4"/>
  <c r="K1186" i="4"/>
  <c r="J1186" i="4"/>
  <c r="I1186" i="4"/>
  <c r="H1186" i="4"/>
  <c r="G1186" i="4"/>
  <c r="F1186" i="4"/>
  <c r="E1186" i="4"/>
  <c r="D1186" i="4"/>
  <c r="C1186" i="4"/>
  <c r="B1186" i="4"/>
  <c r="A1186" i="4"/>
  <c r="N1185" i="4"/>
  <c r="M1185" i="4"/>
  <c r="L1185" i="4"/>
  <c r="K1185" i="4"/>
  <c r="J1185" i="4"/>
  <c r="I1185" i="4"/>
  <c r="H1185" i="4"/>
  <c r="G1185" i="4"/>
  <c r="F1185" i="4"/>
  <c r="E1185" i="4"/>
  <c r="D1185" i="4"/>
  <c r="C1185" i="4"/>
  <c r="B1185" i="4"/>
  <c r="A1185" i="4"/>
  <c r="N1184" i="4"/>
  <c r="M1184" i="4"/>
  <c r="L1184" i="4"/>
  <c r="K1184" i="4"/>
  <c r="J1184" i="4"/>
  <c r="I1184" i="4"/>
  <c r="H1184" i="4"/>
  <c r="G1184" i="4"/>
  <c r="F1184" i="4"/>
  <c r="E1184" i="4"/>
  <c r="D1184" i="4"/>
  <c r="C1184" i="4"/>
  <c r="B1184" i="4"/>
  <c r="A1184" i="4"/>
  <c r="N1183" i="4"/>
  <c r="M1183" i="4"/>
  <c r="L1183" i="4"/>
  <c r="K1183" i="4"/>
  <c r="J1183" i="4"/>
  <c r="I1183" i="4"/>
  <c r="H1183" i="4"/>
  <c r="G1183" i="4"/>
  <c r="F1183" i="4"/>
  <c r="E1183" i="4"/>
  <c r="D1183" i="4"/>
  <c r="C1183" i="4"/>
  <c r="B1183" i="4"/>
  <c r="A1183" i="4"/>
  <c r="N1182" i="4"/>
  <c r="M1182" i="4"/>
  <c r="L1182" i="4"/>
  <c r="K1182" i="4"/>
  <c r="J1182" i="4"/>
  <c r="I1182" i="4"/>
  <c r="H1182" i="4"/>
  <c r="G1182" i="4"/>
  <c r="F1182" i="4"/>
  <c r="E1182" i="4"/>
  <c r="D1182" i="4"/>
  <c r="C1182" i="4"/>
  <c r="B1182" i="4"/>
  <c r="A1182" i="4"/>
  <c r="N1181" i="4"/>
  <c r="M1181" i="4"/>
  <c r="L1181" i="4"/>
  <c r="K1181" i="4"/>
  <c r="J1181" i="4"/>
  <c r="I1181" i="4"/>
  <c r="H1181" i="4"/>
  <c r="G1181" i="4"/>
  <c r="F1181" i="4"/>
  <c r="E1181" i="4"/>
  <c r="D1181" i="4"/>
  <c r="C1181" i="4"/>
  <c r="B1181" i="4"/>
  <c r="A1181" i="4"/>
  <c r="N1180" i="4"/>
  <c r="M1180" i="4"/>
  <c r="L1180" i="4"/>
  <c r="K1180" i="4"/>
  <c r="J1180" i="4"/>
  <c r="I1180" i="4"/>
  <c r="H1180" i="4"/>
  <c r="G1180" i="4"/>
  <c r="F1180" i="4"/>
  <c r="E1180" i="4"/>
  <c r="D1180" i="4"/>
  <c r="C1180" i="4"/>
  <c r="B1180" i="4"/>
  <c r="A1180" i="4"/>
  <c r="N1179" i="4"/>
  <c r="M1179" i="4"/>
  <c r="L1179" i="4"/>
  <c r="K1179" i="4"/>
  <c r="J1179" i="4"/>
  <c r="I1179" i="4"/>
  <c r="H1179" i="4"/>
  <c r="G1179" i="4"/>
  <c r="F1179" i="4"/>
  <c r="E1179" i="4"/>
  <c r="D1179" i="4"/>
  <c r="C1179" i="4"/>
  <c r="B1179" i="4"/>
  <c r="A1179" i="4"/>
  <c r="N1178" i="4"/>
  <c r="M1178" i="4"/>
  <c r="L1178" i="4"/>
  <c r="K1178" i="4"/>
  <c r="J1178" i="4"/>
  <c r="I1178" i="4"/>
  <c r="H1178" i="4"/>
  <c r="G1178" i="4"/>
  <c r="F1178" i="4"/>
  <c r="E1178" i="4"/>
  <c r="D1178" i="4"/>
  <c r="C1178" i="4"/>
  <c r="B1178" i="4"/>
  <c r="A1178" i="4"/>
  <c r="N1177" i="4"/>
  <c r="M1177" i="4"/>
  <c r="L1177" i="4"/>
  <c r="K1177" i="4"/>
  <c r="J1177" i="4"/>
  <c r="I1177" i="4"/>
  <c r="H1177" i="4"/>
  <c r="G1177" i="4"/>
  <c r="F1177" i="4"/>
  <c r="E1177" i="4"/>
  <c r="D1177" i="4"/>
  <c r="C1177" i="4"/>
  <c r="B1177" i="4"/>
  <c r="A1177" i="4"/>
  <c r="N1176" i="4"/>
  <c r="M1176" i="4"/>
  <c r="L1176" i="4"/>
  <c r="K1176" i="4"/>
  <c r="J1176" i="4"/>
  <c r="I1176" i="4"/>
  <c r="H1176" i="4"/>
  <c r="G1176" i="4"/>
  <c r="F1176" i="4"/>
  <c r="E1176" i="4"/>
  <c r="D1176" i="4"/>
  <c r="C1176" i="4"/>
  <c r="B1176" i="4"/>
  <c r="A1176" i="4"/>
  <c r="N1175" i="4"/>
  <c r="M1175" i="4"/>
  <c r="L1175" i="4"/>
  <c r="K1175" i="4"/>
  <c r="J1175" i="4"/>
  <c r="I1175" i="4"/>
  <c r="H1175" i="4"/>
  <c r="G1175" i="4"/>
  <c r="F1175" i="4"/>
  <c r="E1175" i="4"/>
  <c r="D1175" i="4"/>
  <c r="C1175" i="4"/>
  <c r="B1175" i="4"/>
  <c r="A1175" i="4"/>
  <c r="N1174" i="4"/>
  <c r="M1174" i="4"/>
  <c r="L1174" i="4"/>
  <c r="K1174" i="4"/>
  <c r="J1174" i="4"/>
  <c r="I1174" i="4"/>
  <c r="H1174" i="4"/>
  <c r="G1174" i="4"/>
  <c r="F1174" i="4"/>
  <c r="E1174" i="4"/>
  <c r="D1174" i="4"/>
  <c r="C1174" i="4"/>
  <c r="B1174" i="4"/>
  <c r="A1174" i="4"/>
  <c r="N1173" i="4"/>
  <c r="M1173" i="4"/>
  <c r="L1173" i="4"/>
  <c r="K1173" i="4"/>
  <c r="J1173" i="4"/>
  <c r="I1173" i="4"/>
  <c r="H1173" i="4"/>
  <c r="G1173" i="4"/>
  <c r="F1173" i="4"/>
  <c r="E1173" i="4"/>
  <c r="D1173" i="4"/>
  <c r="C1173" i="4"/>
  <c r="B1173" i="4"/>
  <c r="A1173" i="4"/>
  <c r="N1172" i="4"/>
  <c r="M1172" i="4"/>
  <c r="L1172" i="4"/>
  <c r="K1172" i="4"/>
  <c r="J1172" i="4"/>
  <c r="I1172" i="4"/>
  <c r="H1172" i="4"/>
  <c r="G1172" i="4"/>
  <c r="F1172" i="4"/>
  <c r="E1172" i="4"/>
  <c r="D1172" i="4"/>
  <c r="C1172" i="4"/>
  <c r="B1172" i="4"/>
  <c r="A1172" i="4"/>
  <c r="N1171" i="4"/>
  <c r="M1171" i="4"/>
  <c r="L1171" i="4"/>
  <c r="K1171" i="4"/>
  <c r="J1171" i="4"/>
  <c r="I1171" i="4"/>
  <c r="H1171" i="4"/>
  <c r="G1171" i="4"/>
  <c r="F1171" i="4"/>
  <c r="E1171" i="4"/>
  <c r="D1171" i="4"/>
  <c r="C1171" i="4"/>
  <c r="B1171" i="4"/>
  <c r="A1171" i="4"/>
  <c r="N1170" i="4"/>
  <c r="M1170" i="4"/>
  <c r="L1170" i="4"/>
  <c r="K1170" i="4"/>
  <c r="J1170" i="4"/>
  <c r="I1170" i="4"/>
  <c r="H1170" i="4"/>
  <c r="G1170" i="4"/>
  <c r="F1170" i="4"/>
  <c r="E1170" i="4"/>
  <c r="D1170" i="4"/>
  <c r="C1170" i="4"/>
  <c r="B1170" i="4"/>
  <c r="A1170" i="4"/>
  <c r="N1169" i="4"/>
  <c r="M1169" i="4"/>
  <c r="L1169" i="4"/>
  <c r="K1169" i="4"/>
  <c r="J1169" i="4"/>
  <c r="I1169" i="4"/>
  <c r="H1169" i="4"/>
  <c r="G1169" i="4"/>
  <c r="F1169" i="4"/>
  <c r="E1169" i="4"/>
  <c r="D1169" i="4"/>
  <c r="C1169" i="4"/>
  <c r="B1169" i="4"/>
  <c r="A1169" i="4"/>
  <c r="N1168" i="4"/>
  <c r="M1168" i="4"/>
  <c r="L1168" i="4"/>
  <c r="K1168" i="4"/>
  <c r="J1168" i="4"/>
  <c r="I1168" i="4"/>
  <c r="H1168" i="4"/>
  <c r="G1168" i="4"/>
  <c r="F1168" i="4"/>
  <c r="E1168" i="4"/>
  <c r="D1168" i="4"/>
  <c r="C1168" i="4"/>
  <c r="B1168" i="4"/>
  <c r="A1168" i="4"/>
  <c r="N1167" i="4"/>
  <c r="M1167" i="4"/>
  <c r="L1167" i="4"/>
  <c r="K1167" i="4"/>
  <c r="J1167" i="4"/>
  <c r="I1167" i="4"/>
  <c r="H1167" i="4"/>
  <c r="G1167" i="4"/>
  <c r="F1167" i="4"/>
  <c r="E1167" i="4"/>
  <c r="D1167" i="4"/>
  <c r="C1167" i="4"/>
  <c r="B1167" i="4"/>
  <c r="A1167" i="4"/>
  <c r="N1166" i="4"/>
  <c r="M1166" i="4"/>
  <c r="L1166" i="4"/>
  <c r="K1166" i="4"/>
  <c r="J1166" i="4"/>
  <c r="I1166" i="4"/>
  <c r="H1166" i="4"/>
  <c r="G1166" i="4"/>
  <c r="F1166" i="4"/>
  <c r="E1166" i="4"/>
  <c r="D1166" i="4"/>
  <c r="C1166" i="4"/>
  <c r="B1166" i="4"/>
  <c r="A1166" i="4"/>
  <c r="N1165" i="4"/>
  <c r="M1165" i="4"/>
  <c r="L1165" i="4"/>
  <c r="K1165" i="4"/>
  <c r="J1165" i="4"/>
  <c r="I1165" i="4"/>
  <c r="H1165" i="4"/>
  <c r="G1165" i="4"/>
  <c r="F1165" i="4"/>
  <c r="E1165" i="4"/>
  <c r="D1165" i="4"/>
  <c r="C1165" i="4"/>
  <c r="B1165" i="4"/>
  <c r="A1165" i="4"/>
  <c r="N1164" i="4"/>
  <c r="M1164" i="4"/>
  <c r="L1164" i="4"/>
  <c r="K1164" i="4"/>
  <c r="J1164" i="4"/>
  <c r="I1164" i="4"/>
  <c r="H1164" i="4"/>
  <c r="G1164" i="4"/>
  <c r="F1164" i="4"/>
  <c r="E1164" i="4"/>
  <c r="D1164" i="4"/>
  <c r="C1164" i="4"/>
  <c r="B1164" i="4"/>
  <c r="A1164" i="4"/>
  <c r="N1163" i="4"/>
  <c r="M1163" i="4"/>
  <c r="L1163" i="4"/>
  <c r="K1163" i="4"/>
  <c r="J1163" i="4"/>
  <c r="I1163" i="4"/>
  <c r="H1163" i="4"/>
  <c r="G1163" i="4"/>
  <c r="F1163" i="4"/>
  <c r="E1163" i="4"/>
  <c r="D1163" i="4"/>
  <c r="C1163" i="4"/>
  <c r="B1163" i="4"/>
  <c r="A1163" i="4"/>
  <c r="N1162" i="4"/>
  <c r="M1162" i="4"/>
  <c r="L1162" i="4"/>
  <c r="K1162" i="4"/>
  <c r="J1162" i="4"/>
  <c r="I1162" i="4"/>
  <c r="H1162" i="4"/>
  <c r="G1162" i="4"/>
  <c r="F1162" i="4"/>
  <c r="E1162" i="4"/>
  <c r="D1162" i="4"/>
  <c r="C1162" i="4"/>
  <c r="B1162" i="4"/>
  <c r="A1162" i="4"/>
  <c r="N1161" i="4"/>
  <c r="M1161" i="4"/>
  <c r="L1161" i="4"/>
  <c r="K1161" i="4"/>
  <c r="J1161" i="4"/>
  <c r="I1161" i="4"/>
  <c r="H1161" i="4"/>
  <c r="G1161" i="4"/>
  <c r="F1161" i="4"/>
  <c r="E1161" i="4"/>
  <c r="D1161" i="4"/>
  <c r="C1161" i="4"/>
  <c r="B1161" i="4"/>
  <c r="A1161" i="4"/>
  <c r="N1160" i="4"/>
  <c r="M1160" i="4"/>
  <c r="L1160" i="4"/>
  <c r="K1160" i="4"/>
  <c r="J1160" i="4"/>
  <c r="I1160" i="4"/>
  <c r="H1160" i="4"/>
  <c r="G1160" i="4"/>
  <c r="F1160" i="4"/>
  <c r="E1160" i="4"/>
  <c r="D1160" i="4"/>
  <c r="C1160" i="4"/>
  <c r="B1160" i="4"/>
  <c r="A1160" i="4"/>
  <c r="N1159" i="4"/>
  <c r="M1159" i="4"/>
  <c r="L1159" i="4"/>
  <c r="K1159" i="4"/>
  <c r="J1159" i="4"/>
  <c r="I1159" i="4"/>
  <c r="H1159" i="4"/>
  <c r="G1159" i="4"/>
  <c r="F1159" i="4"/>
  <c r="E1159" i="4"/>
  <c r="D1159" i="4"/>
  <c r="C1159" i="4"/>
  <c r="B1159" i="4"/>
  <c r="A1159" i="4"/>
  <c r="N1158" i="4"/>
  <c r="M1158" i="4"/>
  <c r="L1158" i="4"/>
  <c r="K1158" i="4"/>
  <c r="J1158" i="4"/>
  <c r="I1158" i="4"/>
  <c r="H1158" i="4"/>
  <c r="G1158" i="4"/>
  <c r="F1158" i="4"/>
  <c r="E1158" i="4"/>
  <c r="D1158" i="4"/>
  <c r="C1158" i="4"/>
  <c r="B1158" i="4"/>
  <c r="A1158" i="4"/>
  <c r="N1157" i="4"/>
  <c r="M1157" i="4"/>
  <c r="L1157" i="4"/>
  <c r="K1157" i="4"/>
  <c r="J1157" i="4"/>
  <c r="I1157" i="4"/>
  <c r="H1157" i="4"/>
  <c r="G1157" i="4"/>
  <c r="F1157" i="4"/>
  <c r="E1157" i="4"/>
  <c r="D1157" i="4"/>
  <c r="C1157" i="4"/>
  <c r="B1157" i="4"/>
  <c r="A1157" i="4"/>
  <c r="N1156" i="4"/>
  <c r="M1156" i="4"/>
  <c r="L1156" i="4"/>
  <c r="K1156" i="4"/>
  <c r="J1156" i="4"/>
  <c r="I1156" i="4"/>
  <c r="H1156" i="4"/>
  <c r="G1156" i="4"/>
  <c r="F1156" i="4"/>
  <c r="E1156" i="4"/>
  <c r="D1156" i="4"/>
  <c r="C1156" i="4"/>
  <c r="B1156" i="4"/>
  <c r="A1156" i="4"/>
  <c r="N1155" i="4"/>
  <c r="M1155" i="4"/>
  <c r="L1155" i="4"/>
  <c r="K1155" i="4"/>
  <c r="J1155" i="4"/>
  <c r="I1155" i="4"/>
  <c r="H1155" i="4"/>
  <c r="G1155" i="4"/>
  <c r="F1155" i="4"/>
  <c r="E1155" i="4"/>
  <c r="D1155" i="4"/>
  <c r="C1155" i="4"/>
  <c r="B1155" i="4"/>
  <c r="A1155" i="4"/>
  <c r="N1154" i="4"/>
  <c r="M1154" i="4"/>
  <c r="L1154" i="4"/>
  <c r="K1154" i="4"/>
  <c r="J1154" i="4"/>
  <c r="I1154" i="4"/>
  <c r="H1154" i="4"/>
  <c r="G1154" i="4"/>
  <c r="F1154" i="4"/>
  <c r="E1154" i="4"/>
  <c r="D1154" i="4"/>
  <c r="C1154" i="4"/>
  <c r="B1154" i="4"/>
  <c r="A1154" i="4"/>
  <c r="N1153" i="4"/>
  <c r="M1153" i="4"/>
  <c r="L1153" i="4"/>
  <c r="K1153" i="4"/>
  <c r="J1153" i="4"/>
  <c r="I1153" i="4"/>
  <c r="H1153" i="4"/>
  <c r="G1153" i="4"/>
  <c r="F1153" i="4"/>
  <c r="E1153" i="4"/>
  <c r="D1153" i="4"/>
  <c r="C1153" i="4"/>
  <c r="B1153" i="4"/>
  <c r="A1153" i="4"/>
  <c r="N1152" i="4"/>
  <c r="M1152" i="4"/>
  <c r="L1152" i="4"/>
  <c r="K1152" i="4"/>
  <c r="J1152" i="4"/>
  <c r="I1152" i="4"/>
  <c r="H1152" i="4"/>
  <c r="G1152" i="4"/>
  <c r="F1152" i="4"/>
  <c r="E1152" i="4"/>
  <c r="D1152" i="4"/>
  <c r="C1152" i="4"/>
  <c r="B1152" i="4"/>
  <c r="A1152" i="4"/>
  <c r="N1151" i="4"/>
  <c r="M1151" i="4"/>
  <c r="L1151" i="4"/>
  <c r="K1151" i="4"/>
  <c r="J1151" i="4"/>
  <c r="I1151" i="4"/>
  <c r="H1151" i="4"/>
  <c r="G1151" i="4"/>
  <c r="F1151" i="4"/>
  <c r="E1151" i="4"/>
  <c r="D1151" i="4"/>
  <c r="C1151" i="4"/>
  <c r="B1151" i="4"/>
  <c r="A1151" i="4"/>
  <c r="N1150" i="4"/>
  <c r="M1150" i="4"/>
  <c r="L1150" i="4"/>
  <c r="K1150" i="4"/>
  <c r="J1150" i="4"/>
  <c r="I1150" i="4"/>
  <c r="H1150" i="4"/>
  <c r="G1150" i="4"/>
  <c r="F1150" i="4"/>
  <c r="E1150" i="4"/>
  <c r="D1150" i="4"/>
  <c r="C1150" i="4"/>
  <c r="B1150" i="4"/>
  <c r="A1150" i="4"/>
  <c r="N1149" i="4"/>
  <c r="M1149" i="4"/>
  <c r="L1149" i="4"/>
  <c r="K1149" i="4"/>
  <c r="J1149" i="4"/>
  <c r="I1149" i="4"/>
  <c r="H1149" i="4"/>
  <c r="G1149" i="4"/>
  <c r="F1149" i="4"/>
  <c r="E1149" i="4"/>
  <c r="D1149" i="4"/>
  <c r="C1149" i="4"/>
  <c r="B1149" i="4"/>
  <c r="A1149" i="4"/>
  <c r="N1148" i="4"/>
  <c r="M1148" i="4"/>
  <c r="L1148" i="4"/>
  <c r="K1148" i="4"/>
  <c r="J1148" i="4"/>
  <c r="I1148" i="4"/>
  <c r="H1148" i="4"/>
  <c r="G1148" i="4"/>
  <c r="F1148" i="4"/>
  <c r="E1148" i="4"/>
  <c r="D1148" i="4"/>
  <c r="C1148" i="4"/>
  <c r="B1148" i="4"/>
  <c r="A1148" i="4"/>
  <c r="N1147" i="4"/>
  <c r="M1147" i="4"/>
  <c r="L1147" i="4"/>
  <c r="K1147" i="4"/>
  <c r="J1147" i="4"/>
  <c r="I1147" i="4"/>
  <c r="H1147" i="4"/>
  <c r="G1147" i="4"/>
  <c r="F1147" i="4"/>
  <c r="E1147" i="4"/>
  <c r="D1147" i="4"/>
  <c r="C1147" i="4"/>
  <c r="B1147" i="4"/>
  <c r="A1147" i="4"/>
  <c r="N1146" i="4"/>
  <c r="M1146" i="4"/>
  <c r="L1146" i="4"/>
  <c r="K1146" i="4"/>
  <c r="J1146" i="4"/>
  <c r="I1146" i="4"/>
  <c r="H1146" i="4"/>
  <c r="G1146" i="4"/>
  <c r="F1146" i="4"/>
  <c r="E1146" i="4"/>
  <c r="D1146" i="4"/>
  <c r="C1146" i="4"/>
  <c r="B1146" i="4"/>
  <c r="A1146" i="4"/>
  <c r="N1145" i="4"/>
  <c r="M1145" i="4"/>
  <c r="L1145" i="4"/>
  <c r="K1145" i="4"/>
  <c r="J1145" i="4"/>
  <c r="I1145" i="4"/>
  <c r="H1145" i="4"/>
  <c r="G1145" i="4"/>
  <c r="F1145" i="4"/>
  <c r="E1145" i="4"/>
  <c r="D1145" i="4"/>
  <c r="C1145" i="4"/>
  <c r="B1145" i="4"/>
  <c r="A1145" i="4"/>
  <c r="N1144" i="4"/>
  <c r="M1144" i="4"/>
  <c r="L1144" i="4"/>
  <c r="K1144" i="4"/>
  <c r="J1144" i="4"/>
  <c r="I1144" i="4"/>
  <c r="H1144" i="4"/>
  <c r="G1144" i="4"/>
  <c r="F1144" i="4"/>
  <c r="E1144" i="4"/>
  <c r="D1144" i="4"/>
  <c r="C1144" i="4"/>
  <c r="B1144" i="4"/>
  <c r="A1144" i="4"/>
  <c r="N1143" i="4"/>
  <c r="M1143" i="4"/>
  <c r="L1143" i="4"/>
  <c r="K1143" i="4"/>
  <c r="J1143" i="4"/>
  <c r="I1143" i="4"/>
  <c r="H1143" i="4"/>
  <c r="G1143" i="4"/>
  <c r="F1143" i="4"/>
  <c r="E1143" i="4"/>
  <c r="D1143" i="4"/>
  <c r="C1143" i="4"/>
  <c r="B1143" i="4"/>
  <c r="A1143" i="4"/>
  <c r="N1142" i="4"/>
  <c r="M1142" i="4"/>
  <c r="L1142" i="4"/>
  <c r="K1142" i="4"/>
  <c r="J1142" i="4"/>
  <c r="I1142" i="4"/>
  <c r="H1142" i="4"/>
  <c r="G1142" i="4"/>
  <c r="F1142" i="4"/>
  <c r="E1142" i="4"/>
  <c r="D1142" i="4"/>
  <c r="C1142" i="4"/>
  <c r="B1142" i="4"/>
  <c r="A1142" i="4"/>
  <c r="N1141" i="4"/>
  <c r="M1141" i="4"/>
  <c r="L1141" i="4"/>
  <c r="K1141" i="4"/>
  <c r="J1141" i="4"/>
  <c r="I1141" i="4"/>
  <c r="H1141" i="4"/>
  <c r="G1141" i="4"/>
  <c r="F1141" i="4"/>
  <c r="E1141" i="4"/>
  <c r="D1141" i="4"/>
  <c r="C1141" i="4"/>
  <c r="B1141" i="4"/>
  <c r="A1141" i="4"/>
  <c r="N1140" i="4"/>
  <c r="M1140" i="4"/>
  <c r="L1140" i="4"/>
  <c r="K1140" i="4"/>
  <c r="J1140" i="4"/>
  <c r="I1140" i="4"/>
  <c r="H1140" i="4"/>
  <c r="G1140" i="4"/>
  <c r="F1140" i="4"/>
  <c r="E1140" i="4"/>
  <c r="D1140" i="4"/>
  <c r="C1140" i="4"/>
  <c r="B1140" i="4"/>
  <c r="A1140" i="4"/>
  <c r="N1139" i="4"/>
  <c r="M1139" i="4"/>
  <c r="L1139" i="4"/>
  <c r="K1139" i="4"/>
  <c r="J1139" i="4"/>
  <c r="I1139" i="4"/>
  <c r="H1139" i="4"/>
  <c r="G1139" i="4"/>
  <c r="F1139" i="4"/>
  <c r="E1139" i="4"/>
  <c r="D1139" i="4"/>
  <c r="C1139" i="4"/>
  <c r="B1139" i="4"/>
  <c r="A1139" i="4"/>
  <c r="N1138" i="4"/>
  <c r="M1138" i="4"/>
  <c r="L1138" i="4"/>
  <c r="K1138" i="4"/>
  <c r="J1138" i="4"/>
  <c r="I1138" i="4"/>
  <c r="H1138" i="4"/>
  <c r="G1138" i="4"/>
  <c r="F1138" i="4"/>
  <c r="E1138" i="4"/>
  <c r="D1138" i="4"/>
  <c r="C1138" i="4"/>
  <c r="B1138" i="4"/>
  <c r="A1138" i="4"/>
  <c r="N1137" i="4"/>
  <c r="M1137" i="4"/>
  <c r="L1137" i="4"/>
  <c r="K1137" i="4"/>
  <c r="J1137" i="4"/>
  <c r="I1137" i="4"/>
  <c r="H1137" i="4"/>
  <c r="G1137" i="4"/>
  <c r="F1137" i="4"/>
  <c r="E1137" i="4"/>
  <c r="D1137" i="4"/>
  <c r="C1137" i="4"/>
  <c r="B1137" i="4"/>
  <c r="A1137" i="4"/>
  <c r="N1136" i="4"/>
  <c r="M1136" i="4"/>
  <c r="L1136" i="4"/>
  <c r="K1136" i="4"/>
  <c r="J1136" i="4"/>
  <c r="I1136" i="4"/>
  <c r="H1136" i="4"/>
  <c r="G1136" i="4"/>
  <c r="F1136" i="4"/>
  <c r="E1136" i="4"/>
  <c r="D1136" i="4"/>
  <c r="C1136" i="4"/>
  <c r="B1136" i="4"/>
  <c r="A1136" i="4"/>
  <c r="N1135" i="4"/>
  <c r="M1135" i="4"/>
  <c r="L1135" i="4"/>
  <c r="K1135" i="4"/>
  <c r="J1135" i="4"/>
  <c r="I1135" i="4"/>
  <c r="H1135" i="4"/>
  <c r="G1135" i="4"/>
  <c r="F1135" i="4"/>
  <c r="E1135" i="4"/>
  <c r="D1135" i="4"/>
  <c r="C1135" i="4"/>
  <c r="B1135" i="4"/>
  <c r="A1135" i="4"/>
  <c r="N1134" i="4"/>
  <c r="M1134" i="4"/>
  <c r="L1134" i="4"/>
  <c r="K1134" i="4"/>
  <c r="J1134" i="4"/>
  <c r="I1134" i="4"/>
  <c r="H1134" i="4"/>
  <c r="G1134" i="4"/>
  <c r="F1134" i="4"/>
  <c r="E1134" i="4"/>
  <c r="D1134" i="4"/>
  <c r="C1134" i="4"/>
  <c r="B1134" i="4"/>
  <c r="A1134" i="4"/>
  <c r="N1133" i="4"/>
  <c r="M1133" i="4"/>
  <c r="L1133" i="4"/>
  <c r="K1133" i="4"/>
  <c r="J1133" i="4"/>
  <c r="I1133" i="4"/>
  <c r="H1133" i="4"/>
  <c r="G1133" i="4"/>
  <c r="F1133" i="4"/>
  <c r="E1133" i="4"/>
  <c r="D1133" i="4"/>
  <c r="C1133" i="4"/>
  <c r="B1133" i="4"/>
  <c r="A1133" i="4"/>
  <c r="N1132" i="4"/>
  <c r="M1132" i="4"/>
  <c r="L1132" i="4"/>
  <c r="K1132" i="4"/>
  <c r="J1132" i="4"/>
  <c r="I1132" i="4"/>
  <c r="H1132" i="4"/>
  <c r="G1132" i="4"/>
  <c r="F1132" i="4"/>
  <c r="E1132" i="4"/>
  <c r="D1132" i="4"/>
  <c r="C1132" i="4"/>
  <c r="B1132" i="4"/>
  <c r="A1132" i="4"/>
  <c r="N1131" i="4"/>
  <c r="M1131" i="4"/>
  <c r="L1131" i="4"/>
  <c r="K1131" i="4"/>
  <c r="J1131" i="4"/>
  <c r="I1131" i="4"/>
  <c r="H1131" i="4"/>
  <c r="G1131" i="4"/>
  <c r="F1131" i="4"/>
  <c r="E1131" i="4"/>
  <c r="D1131" i="4"/>
  <c r="C1131" i="4"/>
  <c r="B1131" i="4"/>
  <c r="A1131" i="4"/>
  <c r="N1130" i="4"/>
  <c r="M1130" i="4"/>
  <c r="L1130" i="4"/>
  <c r="K1130" i="4"/>
  <c r="J1130" i="4"/>
  <c r="I1130" i="4"/>
  <c r="H1130" i="4"/>
  <c r="G1130" i="4"/>
  <c r="F1130" i="4"/>
  <c r="E1130" i="4"/>
  <c r="D1130" i="4"/>
  <c r="C1130" i="4"/>
  <c r="B1130" i="4"/>
  <c r="A1130" i="4"/>
  <c r="N1129" i="4"/>
  <c r="M1129" i="4"/>
  <c r="L1129" i="4"/>
  <c r="K1129" i="4"/>
  <c r="J1129" i="4"/>
  <c r="I1129" i="4"/>
  <c r="H1129" i="4"/>
  <c r="G1129" i="4"/>
  <c r="F1129" i="4"/>
  <c r="E1129" i="4"/>
  <c r="D1129" i="4"/>
  <c r="C1129" i="4"/>
  <c r="B1129" i="4"/>
  <c r="A1129" i="4"/>
  <c r="N1128" i="4"/>
  <c r="M1128" i="4"/>
  <c r="L1128" i="4"/>
  <c r="K1128" i="4"/>
  <c r="J1128" i="4"/>
  <c r="I1128" i="4"/>
  <c r="H1128" i="4"/>
  <c r="G1128" i="4"/>
  <c r="F1128" i="4"/>
  <c r="E1128" i="4"/>
  <c r="D1128" i="4"/>
  <c r="C1128" i="4"/>
  <c r="B1128" i="4"/>
  <c r="A1128" i="4"/>
  <c r="N1127" i="4"/>
  <c r="M1127" i="4"/>
  <c r="L1127" i="4"/>
  <c r="K1127" i="4"/>
  <c r="J1127" i="4"/>
  <c r="I1127" i="4"/>
  <c r="H1127" i="4"/>
  <c r="G1127" i="4"/>
  <c r="F1127" i="4"/>
  <c r="E1127" i="4"/>
  <c r="D1127" i="4"/>
  <c r="C1127" i="4"/>
  <c r="B1127" i="4"/>
  <c r="A1127" i="4"/>
  <c r="N1126" i="4"/>
  <c r="M1126" i="4"/>
  <c r="L1126" i="4"/>
  <c r="K1126" i="4"/>
  <c r="J1126" i="4"/>
  <c r="I1126" i="4"/>
  <c r="H1126" i="4"/>
  <c r="G1126" i="4"/>
  <c r="F1126" i="4"/>
  <c r="E1126" i="4"/>
  <c r="D1126" i="4"/>
  <c r="C1126" i="4"/>
  <c r="B1126" i="4"/>
  <c r="A1126" i="4"/>
  <c r="N1125" i="4"/>
  <c r="M1125" i="4"/>
  <c r="L1125" i="4"/>
  <c r="K1125" i="4"/>
  <c r="J1125" i="4"/>
  <c r="I1125" i="4"/>
  <c r="H1125" i="4"/>
  <c r="G1125" i="4"/>
  <c r="F1125" i="4"/>
  <c r="E1125" i="4"/>
  <c r="D1125" i="4"/>
  <c r="C1125" i="4"/>
  <c r="B1125" i="4"/>
  <c r="A1125" i="4"/>
  <c r="N1124" i="4"/>
  <c r="M1124" i="4"/>
  <c r="L1124" i="4"/>
  <c r="K1124" i="4"/>
  <c r="J1124" i="4"/>
  <c r="I1124" i="4"/>
  <c r="H1124" i="4"/>
  <c r="G1124" i="4"/>
  <c r="F1124" i="4"/>
  <c r="E1124" i="4"/>
  <c r="D1124" i="4"/>
  <c r="C1124" i="4"/>
  <c r="B1124" i="4"/>
  <c r="A1124" i="4"/>
  <c r="N1123" i="4"/>
  <c r="M1123" i="4"/>
  <c r="L1123" i="4"/>
  <c r="K1123" i="4"/>
  <c r="J1123" i="4"/>
  <c r="I1123" i="4"/>
  <c r="H1123" i="4"/>
  <c r="G1123" i="4"/>
  <c r="F1123" i="4"/>
  <c r="E1123" i="4"/>
  <c r="D1123" i="4"/>
  <c r="C1123" i="4"/>
  <c r="B1123" i="4"/>
  <c r="A1123" i="4"/>
  <c r="N1122" i="4"/>
  <c r="M1122" i="4"/>
  <c r="L1122" i="4"/>
  <c r="K1122" i="4"/>
  <c r="J1122" i="4"/>
  <c r="I1122" i="4"/>
  <c r="H1122" i="4"/>
  <c r="G1122" i="4"/>
  <c r="F1122" i="4"/>
  <c r="E1122" i="4"/>
  <c r="D1122" i="4"/>
  <c r="C1122" i="4"/>
  <c r="B1122" i="4"/>
  <c r="A1122" i="4"/>
  <c r="N1121" i="4"/>
  <c r="M1121" i="4"/>
  <c r="L1121" i="4"/>
  <c r="K1121" i="4"/>
  <c r="J1121" i="4"/>
  <c r="I1121" i="4"/>
  <c r="H1121" i="4"/>
  <c r="G1121" i="4"/>
  <c r="F1121" i="4"/>
  <c r="E1121" i="4"/>
  <c r="D1121" i="4"/>
  <c r="C1121" i="4"/>
  <c r="B1121" i="4"/>
  <c r="A1121" i="4"/>
  <c r="N1120" i="4"/>
  <c r="M1120" i="4"/>
  <c r="L1120" i="4"/>
  <c r="K1120" i="4"/>
  <c r="J1120" i="4"/>
  <c r="I1120" i="4"/>
  <c r="H1120" i="4"/>
  <c r="G1120" i="4"/>
  <c r="F1120" i="4"/>
  <c r="E1120" i="4"/>
  <c r="D1120" i="4"/>
  <c r="C1120" i="4"/>
  <c r="B1120" i="4"/>
  <c r="A1120" i="4"/>
  <c r="N1119" i="4"/>
  <c r="M1119" i="4"/>
  <c r="L1119" i="4"/>
  <c r="K1119" i="4"/>
  <c r="J1119" i="4"/>
  <c r="I1119" i="4"/>
  <c r="H1119" i="4"/>
  <c r="G1119" i="4"/>
  <c r="F1119" i="4"/>
  <c r="E1119" i="4"/>
  <c r="D1119" i="4"/>
  <c r="C1119" i="4"/>
  <c r="B1119" i="4"/>
  <c r="A1119" i="4"/>
  <c r="N1118" i="4"/>
  <c r="M1118" i="4"/>
  <c r="L1118" i="4"/>
  <c r="K1118" i="4"/>
  <c r="J1118" i="4"/>
  <c r="I1118" i="4"/>
  <c r="H1118" i="4"/>
  <c r="G1118" i="4"/>
  <c r="F1118" i="4"/>
  <c r="E1118" i="4"/>
  <c r="D1118" i="4"/>
  <c r="C1118" i="4"/>
  <c r="B1118" i="4"/>
  <c r="A1118" i="4"/>
  <c r="N1117" i="4"/>
  <c r="M1117" i="4"/>
  <c r="L1117" i="4"/>
  <c r="K1117" i="4"/>
  <c r="J1117" i="4"/>
  <c r="I1117" i="4"/>
  <c r="H1117" i="4"/>
  <c r="G1117" i="4"/>
  <c r="F1117" i="4"/>
  <c r="E1117" i="4"/>
  <c r="D1117" i="4"/>
  <c r="C1117" i="4"/>
  <c r="B1117" i="4"/>
  <c r="A1117" i="4"/>
  <c r="N1116" i="4"/>
  <c r="M1116" i="4"/>
  <c r="L1116" i="4"/>
  <c r="K1116" i="4"/>
  <c r="J1116" i="4"/>
  <c r="I1116" i="4"/>
  <c r="H1116" i="4"/>
  <c r="G1116" i="4"/>
  <c r="F1116" i="4"/>
  <c r="E1116" i="4"/>
  <c r="D1116" i="4"/>
  <c r="C1116" i="4"/>
  <c r="B1116" i="4"/>
  <c r="A1116" i="4"/>
  <c r="N1115" i="4"/>
  <c r="M1115" i="4"/>
  <c r="L1115" i="4"/>
  <c r="K1115" i="4"/>
  <c r="J1115" i="4"/>
  <c r="I1115" i="4"/>
  <c r="H1115" i="4"/>
  <c r="G1115" i="4"/>
  <c r="F1115" i="4"/>
  <c r="E1115" i="4"/>
  <c r="D1115" i="4"/>
  <c r="C1115" i="4"/>
  <c r="B1115" i="4"/>
  <c r="A1115" i="4"/>
  <c r="N1114" i="4"/>
  <c r="M1114" i="4"/>
  <c r="L1114" i="4"/>
  <c r="K1114" i="4"/>
  <c r="J1114" i="4"/>
  <c r="I1114" i="4"/>
  <c r="H1114" i="4"/>
  <c r="G1114" i="4"/>
  <c r="F1114" i="4"/>
  <c r="E1114" i="4"/>
  <c r="D1114" i="4"/>
  <c r="C1114" i="4"/>
  <c r="B1114" i="4"/>
  <c r="A1114" i="4"/>
  <c r="N1113" i="4"/>
  <c r="M1113" i="4"/>
  <c r="L1113" i="4"/>
  <c r="K1113" i="4"/>
  <c r="J1113" i="4"/>
  <c r="I1113" i="4"/>
  <c r="H1113" i="4"/>
  <c r="G1113" i="4"/>
  <c r="F1113" i="4"/>
  <c r="E1113" i="4"/>
  <c r="D1113" i="4"/>
  <c r="C1113" i="4"/>
  <c r="B1113" i="4"/>
  <c r="A1113" i="4"/>
  <c r="N1112" i="4"/>
  <c r="M1112" i="4"/>
  <c r="L1112" i="4"/>
  <c r="K1112" i="4"/>
  <c r="J1112" i="4"/>
  <c r="I1112" i="4"/>
  <c r="H1112" i="4"/>
  <c r="G1112" i="4"/>
  <c r="F1112" i="4"/>
  <c r="E1112" i="4"/>
  <c r="D1112" i="4"/>
  <c r="C1112" i="4"/>
  <c r="B1112" i="4"/>
  <c r="A1112" i="4"/>
  <c r="N1111" i="4"/>
  <c r="M1111" i="4"/>
  <c r="L1111" i="4"/>
  <c r="K1111" i="4"/>
  <c r="J1111" i="4"/>
  <c r="I1111" i="4"/>
  <c r="H1111" i="4"/>
  <c r="G1111" i="4"/>
  <c r="F1111" i="4"/>
  <c r="E1111" i="4"/>
  <c r="D1111" i="4"/>
  <c r="C1111" i="4"/>
  <c r="B1111" i="4"/>
  <c r="A1111" i="4"/>
  <c r="N1110" i="4"/>
  <c r="M1110" i="4"/>
  <c r="L1110" i="4"/>
  <c r="K1110" i="4"/>
  <c r="J1110" i="4"/>
  <c r="I1110" i="4"/>
  <c r="H1110" i="4"/>
  <c r="G1110" i="4"/>
  <c r="F1110" i="4"/>
  <c r="E1110" i="4"/>
  <c r="D1110" i="4"/>
  <c r="C1110" i="4"/>
  <c r="B1110" i="4"/>
  <c r="A1110" i="4"/>
  <c r="N1109" i="4"/>
  <c r="M1109" i="4"/>
  <c r="L1109" i="4"/>
  <c r="K1109" i="4"/>
  <c r="J1109" i="4"/>
  <c r="I1109" i="4"/>
  <c r="H1109" i="4"/>
  <c r="G1109" i="4"/>
  <c r="F1109" i="4"/>
  <c r="E1109" i="4"/>
  <c r="D1109" i="4"/>
  <c r="C1109" i="4"/>
  <c r="B1109" i="4"/>
  <c r="A1109" i="4"/>
  <c r="N1108" i="4"/>
  <c r="M1108" i="4"/>
  <c r="L1108" i="4"/>
  <c r="K1108" i="4"/>
  <c r="J1108" i="4"/>
  <c r="I1108" i="4"/>
  <c r="H1108" i="4"/>
  <c r="G1108" i="4"/>
  <c r="F1108" i="4"/>
  <c r="E1108" i="4"/>
  <c r="D1108" i="4"/>
  <c r="C1108" i="4"/>
  <c r="B1108" i="4"/>
  <c r="A1108" i="4"/>
  <c r="N1107" i="4"/>
  <c r="M1107" i="4"/>
  <c r="L1107" i="4"/>
  <c r="K1107" i="4"/>
  <c r="J1107" i="4"/>
  <c r="I1107" i="4"/>
  <c r="H1107" i="4"/>
  <c r="G1107" i="4"/>
  <c r="F1107" i="4"/>
  <c r="E1107" i="4"/>
  <c r="D1107" i="4"/>
  <c r="C1107" i="4"/>
  <c r="B1107" i="4"/>
  <c r="A1107" i="4"/>
  <c r="N1106" i="4"/>
  <c r="M1106" i="4"/>
  <c r="L1106" i="4"/>
  <c r="K1106" i="4"/>
  <c r="J1106" i="4"/>
  <c r="I1106" i="4"/>
  <c r="H1106" i="4"/>
  <c r="G1106" i="4"/>
  <c r="F1106" i="4"/>
  <c r="E1106" i="4"/>
  <c r="D1106" i="4"/>
  <c r="C1106" i="4"/>
  <c r="B1106" i="4"/>
  <c r="A1106" i="4"/>
  <c r="N1105" i="4"/>
  <c r="M1105" i="4"/>
  <c r="L1105" i="4"/>
  <c r="K1105" i="4"/>
  <c r="J1105" i="4"/>
  <c r="I1105" i="4"/>
  <c r="H1105" i="4"/>
  <c r="G1105" i="4"/>
  <c r="F1105" i="4"/>
  <c r="E1105" i="4"/>
  <c r="D1105" i="4"/>
  <c r="C1105" i="4"/>
  <c r="B1105" i="4"/>
  <c r="A1105" i="4"/>
  <c r="N1104" i="4"/>
  <c r="M1104" i="4"/>
  <c r="L1104" i="4"/>
  <c r="K1104" i="4"/>
  <c r="J1104" i="4"/>
  <c r="I1104" i="4"/>
  <c r="H1104" i="4"/>
  <c r="G1104" i="4"/>
  <c r="F1104" i="4"/>
  <c r="E1104" i="4"/>
  <c r="D1104" i="4"/>
  <c r="C1104" i="4"/>
  <c r="B1104" i="4"/>
  <c r="A1104" i="4"/>
  <c r="N1103" i="4"/>
  <c r="M1103" i="4"/>
  <c r="L1103" i="4"/>
  <c r="K1103" i="4"/>
  <c r="J1103" i="4"/>
  <c r="I1103" i="4"/>
  <c r="H1103" i="4"/>
  <c r="G1103" i="4"/>
  <c r="F1103" i="4"/>
  <c r="E1103" i="4"/>
  <c r="D1103" i="4"/>
  <c r="C1103" i="4"/>
  <c r="B1103" i="4"/>
  <c r="A1103" i="4"/>
  <c r="N1102" i="4"/>
  <c r="M1102" i="4"/>
  <c r="L1102" i="4"/>
  <c r="K1102" i="4"/>
  <c r="J1102" i="4"/>
  <c r="I1102" i="4"/>
  <c r="H1102" i="4"/>
  <c r="G1102" i="4"/>
  <c r="F1102" i="4"/>
  <c r="E1102" i="4"/>
  <c r="D1102" i="4"/>
  <c r="C1102" i="4"/>
  <c r="B1102" i="4"/>
  <c r="A1102" i="4"/>
  <c r="N1101" i="4"/>
  <c r="M1101" i="4"/>
  <c r="L1101" i="4"/>
  <c r="K1101" i="4"/>
  <c r="J1101" i="4"/>
  <c r="I1101" i="4"/>
  <c r="H1101" i="4"/>
  <c r="G1101" i="4"/>
  <c r="F1101" i="4"/>
  <c r="E1101" i="4"/>
  <c r="D1101" i="4"/>
  <c r="C1101" i="4"/>
  <c r="B1101" i="4"/>
  <c r="A1101" i="4"/>
  <c r="N1100" i="4"/>
  <c r="M1100" i="4"/>
  <c r="L1100" i="4"/>
  <c r="K1100" i="4"/>
  <c r="J1100" i="4"/>
  <c r="I1100" i="4"/>
  <c r="H1100" i="4"/>
  <c r="G1100" i="4"/>
  <c r="F1100" i="4"/>
  <c r="E1100" i="4"/>
  <c r="D1100" i="4"/>
  <c r="C1100" i="4"/>
  <c r="B1100" i="4"/>
  <c r="A1100" i="4"/>
  <c r="N1099" i="4"/>
  <c r="M1099" i="4"/>
  <c r="L1099" i="4"/>
  <c r="K1099" i="4"/>
  <c r="J1099" i="4"/>
  <c r="I1099" i="4"/>
  <c r="H1099" i="4"/>
  <c r="G1099" i="4"/>
  <c r="F1099" i="4"/>
  <c r="E1099" i="4"/>
  <c r="D1099" i="4"/>
  <c r="C1099" i="4"/>
  <c r="B1099" i="4"/>
  <c r="A1099" i="4"/>
  <c r="N1098" i="4"/>
  <c r="M1098" i="4"/>
  <c r="L1098" i="4"/>
  <c r="K1098" i="4"/>
  <c r="J1098" i="4"/>
  <c r="I1098" i="4"/>
  <c r="H1098" i="4"/>
  <c r="G1098" i="4"/>
  <c r="F1098" i="4"/>
  <c r="E1098" i="4"/>
  <c r="D1098" i="4"/>
  <c r="C1098" i="4"/>
  <c r="B1098" i="4"/>
  <c r="A1098" i="4"/>
  <c r="N1097" i="4"/>
  <c r="M1097" i="4"/>
  <c r="L1097" i="4"/>
  <c r="K1097" i="4"/>
  <c r="J1097" i="4"/>
  <c r="I1097" i="4"/>
  <c r="H1097" i="4"/>
  <c r="G1097" i="4"/>
  <c r="F1097" i="4"/>
  <c r="E1097" i="4"/>
  <c r="D1097" i="4"/>
  <c r="C1097" i="4"/>
  <c r="B1097" i="4"/>
  <c r="A1097" i="4"/>
  <c r="N1096" i="4"/>
  <c r="M1096" i="4"/>
  <c r="L1096" i="4"/>
  <c r="K1096" i="4"/>
  <c r="J1096" i="4"/>
  <c r="I1096" i="4"/>
  <c r="H1096" i="4"/>
  <c r="G1096" i="4"/>
  <c r="F1096" i="4"/>
  <c r="E1096" i="4"/>
  <c r="D1096" i="4"/>
  <c r="C1096" i="4"/>
  <c r="B1096" i="4"/>
  <c r="A1096" i="4"/>
  <c r="N1095" i="4"/>
  <c r="M1095" i="4"/>
  <c r="L1095" i="4"/>
  <c r="K1095" i="4"/>
  <c r="J1095" i="4"/>
  <c r="I1095" i="4"/>
  <c r="H1095" i="4"/>
  <c r="G1095" i="4"/>
  <c r="F1095" i="4"/>
  <c r="E1095" i="4"/>
  <c r="D1095" i="4"/>
  <c r="C1095" i="4"/>
  <c r="B1095" i="4"/>
  <c r="A1095" i="4"/>
  <c r="N1094" i="4"/>
  <c r="M1094" i="4"/>
  <c r="L1094" i="4"/>
  <c r="K1094" i="4"/>
  <c r="J1094" i="4"/>
  <c r="I1094" i="4"/>
  <c r="H1094" i="4"/>
  <c r="G1094" i="4"/>
  <c r="F1094" i="4"/>
  <c r="E1094" i="4"/>
  <c r="D1094" i="4"/>
  <c r="C1094" i="4"/>
  <c r="B1094" i="4"/>
  <c r="A1094" i="4"/>
  <c r="N1093" i="4"/>
  <c r="M1093" i="4"/>
  <c r="L1093" i="4"/>
  <c r="K1093" i="4"/>
  <c r="J1093" i="4"/>
  <c r="I1093" i="4"/>
  <c r="H1093" i="4"/>
  <c r="G1093" i="4"/>
  <c r="F1093" i="4"/>
  <c r="E1093" i="4"/>
  <c r="D1093" i="4"/>
  <c r="C1093" i="4"/>
  <c r="B1093" i="4"/>
  <c r="A1093" i="4"/>
  <c r="N1092" i="4"/>
  <c r="M1092" i="4"/>
  <c r="L1092" i="4"/>
  <c r="K1092" i="4"/>
  <c r="J1092" i="4"/>
  <c r="I1092" i="4"/>
  <c r="H1092" i="4"/>
  <c r="G1092" i="4"/>
  <c r="F1092" i="4"/>
  <c r="E1092" i="4"/>
  <c r="D1092" i="4"/>
  <c r="C1092" i="4"/>
  <c r="B1092" i="4"/>
  <c r="A1092" i="4"/>
  <c r="N1091" i="4"/>
  <c r="M1091" i="4"/>
  <c r="L1091" i="4"/>
  <c r="K1091" i="4"/>
  <c r="J1091" i="4"/>
  <c r="I1091" i="4"/>
  <c r="H1091" i="4"/>
  <c r="G1091" i="4"/>
  <c r="F1091" i="4"/>
  <c r="E1091" i="4"/>
  <c r="D1091" i="4"/>
  <c r="C1091" i="4"/>
  <c r="B1091" i="4"/>
  <c r="A1091" i="4"/>
  <c r="N1090" i="4"/>
  <c r="M1090" i="4"/>
  <c r="L1090" i="4"/>
  <c r="K1090" i="4"/>
  <c r="J1090" i="4"/>
  <c r="I1090" i="4"/>
  <c r="H1090" i="4"/>
  <c r="G1090" i="4"/>
  <c r="F1090" i="4"/>
  <c r="E1090" i="4"/>
  <c r="D1090" i="4"/>
  <c r="C1090" i="4"/>
  <c r="B1090" i="4"/>
  <c r="A1090" i="4"/>
  <c r="N1089" i="4"/>
  <c r="M1089" i="4"/>
  <c r="L1089" i="4"/>
  <c r="K1089" i="4"/>
  <c r="J1089" i="4"/>
  <c r="I1089" i="4"/>
  <c r="H1089" i="4"/>
  <c r="G1089" i="4"/>
  <c r="F1089" i="4"/>
  <c r="E1089" i="4"/>
  <c r="D1089" i="4"/>
  <c r="C1089" i="4"/>
  <c r="B1089" i="4"/>
  <c r="A1089" i="4"/>
  <c r="N1088" i="4"/>
  <c r="M1088" i="4"/>
  <c r="L1088" i="4"/>
  <c r="K1088" i="4"/>
  <c r="J1088" i="4"/>
  <c r="I1088" i="4"/>
  <c r="H1088" i="4"/>
  <c r="G1088" i="4"/>
  <c r="F1088" i="4"/>
  <c r="E1088" i="4"/>
  <c r="D1088" i="4"/>
  <c r="C1088" i="4"/>
  <c r="B1088" i="4"/>
  <c r="A1088" i="4"/>
  <c r="N1087" i="4"/>
  <c r="M1087" i="4"/>
  <c r="L1087" i="4"/>
  <c r="K1087" i="4"/>
  <c r="J1087" i="4"/>
  <c r="I1087" i="4"/>
  <c r="H1087" i="4"/>
  <c r="G1087" i="4"/>
  <c r="F1087" i="4"/>
  <c r="E1087" i="4"/>
  <c r="D1087" i="4"/>
  <c r="C1087" i="4"/>
  <c r="B1087" i="4"/>
  <c r="A1087" i="4"/>
  <c r="N1086" i="4"/>
  <c r="M1086" i="4"/>
  <c r="L1086" i="4"/>
  <c r="K1086" i="4"/>
  <c r="J1086" i="4"/>
  <c r="I1086" i="4"/>
  <c r="H1086" i="4"/>
  <c r="G1086" i="4"/>
  <c r="F1086" i="4"/>
  <c r="E1086" i="4"/>
  <c r="D1086" i="4"/>
  <c r="C1086" i="4"/>
  <c r="B1086" i="4"/>
  <c r="A1086" i="4"/>
  <c r="N1085" i="4"/>
  <c r="M1085" i="4"/>
  <c r="L1085" i="4"/>
  <c r="K1085" i="4"/>
  <c r="J1085" i="4"/>
  <c r="I1085" i="4"/>
  <c r="H1085" i="4"/>
  <c r="G1085" i="4"/>
  <c r="F1085" i="4"/>
  <c r="E1085" i="4"/>
  <c r="D1085" i="4"/>
  <c r="C1085" i="4"/>
  <c r="B1085" i="4"/>
  <c r="A1085" i="4"/>
  <c r="N1084" i="4"/>
  <c r="M1084" i="4"/>
  <c r="L1084" i="4"/>
  <c r="K1084" i="4"/>
  <c r="J1084" i="4"/>
  <c r="I1084" i="4"/>
  <c r="H1084" i="4"/>
  <c r="G1084" i="4"/>
  <c r="F1084" i="4"/>
  <c r="E1084" i="4"/>
  <c r="D1084" i="4"/>
  <c r="C1084" i="4"/>
  <c r="B1084" i="4"/>
  <c r="A1084" i="4"/>
  <c r="N1083" i="4"/>
  <c r="M1083" i="4"/>
  <c r="L1083" i="4"/>
  <c r="K1083" i="4"/>
  <c r="J1083" i="4"/>
  <c r="I1083" i="4"/>
  <c r="H1083" i="4"/>
  <c r="G1083" i="4"/>
  <c r="F1083" i="4"/>
  <c r="E1083" i="4"/>
  <c r="D1083" i="4"/>
  <c r="C1083" i="4"/>
  <c r="B1083" i="4"/>
  <c r="A1083" i="4"/>
  <c r="N1082" i="4"/>
  <c r="M1082" i="4"/>
  <c r="L1082" i="4"/>
  <c r="K1082" i="4"/>
  <c r="J1082" i="4"/>
  <c r="I1082" i="4"/>
  <c r="H1082" i="4"/>
  <c r="G1082" i="4"/>
  <c r="F1082" i="4"/>
  <c r="E1082" i="4"/>
  <c r="D1082" i="4"/>
  <c r="C1082" i="4"/>
  <c r="B1082" i="4"/>
  <c r="A1082" i="4"/>
  <c r="N1081" i="4"/>
  <c r="M1081" i="4"/>
  <c r="L1081" i="4"/>
  <c r="K1081" i="4"/>
  <c r="J1081" i="4"/>
  <c r="I1081" i="4"/>
  <c r="H1081" i="4"/>
  <c r="G1081" i="4"/>
  <c r="F1081" i="4"/>
  <c r="E1081" i="4"/>
  <c r="D1081" i="4"/>
  <c r="C1081" i="4"/>
  <c r="B1081" i="4"/>
  <c r="A1081" i="4"/>
  <c r="N1080" i="4"/>
  <c r="M1080" i="4"/>
  <c r="L1080" i="4"/>
  <c r="K1080" i="4"/>
  <c r="J1080" i="4"/>
  <c r="I1080" i="4"/>
  <c r="H1080" i="4"/>
  <c r="G1080" i="4"/>
  <c r="F1080" i="4"/>
  <c r="E1080" i="4"/>
  <c r="D1080" i="4"/>
  <c r="C1080" i="4"/>
  <c r="B1080" i="4"/>
  <c r="A1080" i="4"/>
  <c r="N1079" i="4"/>
  <c r="M1079" i="4"/>
  <c r="L1079" i="4"/>
  <c r="K1079" i="4"/>
  <c r="J1079" i="4"/>
  <c r="I1079" i="4"/>
  <c r="H1079" i="4"/>
  <c r="G1079" i="4"/>
  <c r="F1079" i="4"/>
  <c r="E1079" i="4"/>
  <c r="D1079" i="4"/>
  <c r="C1079" i="4"/>
  <c r="B1079" i="4"/>
  <c r="A1079" i="4"/>
  <c r="N1078" i="4"/>
  <c r="M1078" i="4"/>
  <c r="L1078" i="4"/>
  <c r="K1078" i="4"/>
  <c r="J1078" i="4"/>
  <c r="I1078" i="4"/>
  <c r="H1078" i="4"/>
  <c r="G1078" i="4"/>
  <c r="F1078" i="4"/>
  <c r="E1078" i="4"/>
  <c r="D1078" i="4"/>
  <c r="C1078" i="4"/>
  <c r="B1078" i="4"/>
  <c r="A1078" i="4"/>
  <c r="N1077" i="4"/>
  <c r="M1077" i="4"/>
  <c r="L1077" i="4"/>
  <c r="K1077" i="4"/>
  <c r="J1077" i="4"/>
  <c r="I1077" i="4"/>
  <c r="H1077" i="4"/>
  <c r="G1077" i="4"/>
  <c r="F1077" i="4"/>
  <c r="E1077" i="4"/>
  <c r="D1077" i="4"/>
  <c r="C1077" i="4"/>
  <c r="B1077" i="4"/>
  <c r="A1077" i="4"/>
  <c r="N1076" i="4"/>
  <c r="M1076" i="4"/>
  <c r="L1076" i="4"/>
  <c r="K1076" i="4"/>
  <c r="J1076" i="4"/>
  <c r="I1076" i="4"/>
  <c r="H1076" i="4"/>
  <c r="G1076" i="4"/>
  <c r="F1076" i="4"/>
  <c r="E1076" i="4"/>
  <c r="D1076" i="4"/>
  <c r="C1076" i="4"/>
  <c r="B1076" i="4"/>
  <c r="A1076" i="4"/>
  <c r="N1075" i="4"/>
  <c r="M1075" i="4"/>
  <c r="L1075" i="4"/>
  <c r="K1075" i="4"/>
  <c r="J1075" i="4"/>
  <c r="I1075" i="4"/>
  <c r="H1075" i="4"/>
  <c r="G1075" i="4"/>
  <c r="F1075" i="4"/>
  <c r="E1075" i="4"/>
  <c r="D1075" i="4"/>
  <c r="C1075" i="4"/>
  <c r="B1075" i="4"/>
  <c r="A1075" i="4"/>
  <c r="N1074" i="4"/>
  <c r="M1074" i="4"/>
  <c r="L1074" i="4"/>
  <c r="K1074" i="4"/>
  <c r="J1074" i="4"/>
  <c r="I1074" i="4"/>
  <c r="H1074" i="4"/>
  <c r="G1074" i="4"/>
  <c r="F1074" i="4"/>
  <c r="E1074" i="4"/>
  <c r="D1074" i="4"/>
  <c r="C1074" i="4"/>
  <c r="B1074" i="4"/>
  <c r="A1074" i="4"/>
  <c r="N1073" i="4"/>
  <c r="M1073" i="4"/>
  <c r="L1073" i="4"/>
  <c r="K1073" i="4"/>
  <c r="J1073" i="4"/>
  <c r="I1073" i="4"/>
  <c r="H1073" i="4"/>
  <c r="G1073" i="4"/>
  <c r="F1073" i="4"/>
  <c r="E1073" i="4"/>
  <c r="D1073" i="4"/>
  <c r="C1073" i="4"/>
  <c r="B1073" i="4"/>
  <c r="A1073" i="4"/>
  <c r="N1072" i="4"/>
  <c r="M1072" i="4"/>
  <c r="L1072" i="4"/>
  <c r="K1072" i="4"/>
  <c r="J1072" i="4"/>
  <c r="I1072" i="4"/>
  <c r="H1072" i="4"/>
  <c r="G1072" i="4"/>
  <c r="F1072" i="4"/>
  <c r="E1072" i="4"/>
  <c r="D1072" i="4"/>
  <c r="C1072" i="4"/>
  <c r="B1072" i="4"/>
  <c r="A1072" i="4"/>
  <c r="N1071" i="4"/>
  <c r="M1071" i="4"/>
  <c r="L1071" i="4"/>
  <c r="K1071" i="4"/>
  <c r="J1071" i="4"/>
  <c r="I1071" i="4"/>
  <c r="H1071" i="4"/>
  <c r="G1071" i="4"/>
  <c r="F1071" i="4"/>
  <c r="E1071" i="4"/>
  <c r="D1071" i="4"/>
  <c r="C1071" i="4"/>
  <c r="B1071" i="4"/>
  <c r="A1071" i="4"/>
  <c r="N1070" i="4"/>
  <c r="M1070" i="4"/>
  <c r="L1070" i="4"/>
  <c r="K1070" i="4"/>
  <c r="J1070" i="4"/>
  <c r="I1070" i="4"/>
  <c r="H1070" i="4"/>
  <c r="G1070" i="4"/>
  <c r="F1070" i="4"/>
  <c r="E1070" i="4"/>
  <c r="D1070" i="4"/>
  <c r="C1070" i="4"/>
  <c r="B1070" i="4"/>
  <c r="A1070" i="4"/>
  <c r="N1069" i="4"/>
  <c r="M1069" i="4"/>
  <c r="L1069" i="4"/>
  <c r="K1069" i="4"/>
  <c r="J1069" i="4"/>
  <c r="I1069" i="4"/>
  <c r="H1069" i="4"/>
  <c r="G1069" i="4"/>
  <c r="F1069" i="4"/>
  <c r="E1069" i="4"/>
  <c r="D1069" i="4"/>
  <c r="C1069" i="4"/>
  <c r="B1069" i="4"/>
  <c r="A1069" i="4"/>
  <c r="N1068" i="4"/>
  <c r="M1068" i="4"/>
  <c r="L1068" i="4"/>
  <c r="K1068" i="4"/>
  <c r="J1068" i="4"/>
  <c r="I1068" i="4"/>
  <c r="H1068" i="4"/>
  <c r="G1068" i="4"/>
  <c r="F1068" i="4"/>
  <c r="E1068" i="4"/>
  <c r="D1068" i="4"/>
  <c r="C1068" i="4"/>
  <c r="B1068" i="4"/>
  <c r="A1068" i="4"/>
  <c r="N1067" i="4"/>
  <c r="M1067" i="4"/>
  <c r="L1067" i="4"/>
  <c r="K1067" i="4"/>
  <c r="J1067" i="4"/>
  <c r="I1067" i="4"/>
  <c r="H1067" i="4"/>
  <c r="G1067" i="4"/>
  <c r="F1067" i="4"/>
  <c r="E1067" i="4"/>
  <c r="D1067" i="4"/>
  <c r="C1067" i="4"/>
  <c r="B1067" i="4"/>
  <c r="A1067" i="4"/>
  <c r="N1066" i="4"/>
  <c r="M1066" i="4"/>
  <c r="L1066" i="4"/>
  <c r="K1066" i="4"/>
  <c r="J1066" i="4"/>
  <c r="I1066" i="4"/>
  <c r="H1066" i="4"/>
  <c r="G1066" i="4"/>
  <c r="F1066" i="4"/>
  <c r="E1066" i="4"/>
  <c r="D1066" i="4"/>
  <c r="C1066" i="4"/>
  <c r="B1066" i="4"/>
  <c r="A1066" i="4"/>
  <c r="N1065" i="4"/>
  <c r="M1065" i="4"/>
  <c r="L1065" i="4"/>
  <c r="K1065" i="4"/>
  <c r="J1065" i="4"/>
  <c r="I1065" i="4"/>
  <c r="H1065" i="4"/>
  <c r="G1065" i="4"/>
  <c r="F1065" i="4"/>
  <c r="E1065" i="4"/>
  <c r="D1065" i="4"/>
  <c r="C1065" i="4"/>
  <c r="B1065" i="4"/>
  <c r="A1065" i="4"/>
  <c r="N1064" i="4"/>
  <c r="M1064" i="4"/>
  <c r="L1064" i="4"/>
  <c r="K1064" i="4"/>
  <c r="J1064" i="4"/>
  <c r="I1064" i="4"/>
  <c r="H1064" i="4"/>
  <c r="G1064" i="4"/>
  <c r="F1064" i="4"/>
  <c r="E1064" i="4"/>
  <c r="D1064" i="4"/>
  <c r="C1064" i="4"/>
  <c r="B1064" i="4"/>
  <c r="A1064" i="4"/>
  <c r="N1063" i="4"/>
  <c r="M1063" i="4"/>
  <c r="L1063" i="4"/>
  <c r="K1063" i="4"/>
  <c r="J1063" i="4"/>
  <c r="I1063" i="4"/>
  <c r="H1063" i="4"/>
  <c r="G1063" i="4"/>
  <c r="F1063" i="4"/>
  <c r="E1063" i="4"/>
  <c r="D1063" i="4"/>
  <c r="C1063" i="4"/>
  <c r="B1063" i="4"/>
  <c r="A1063" i="4"/>
  <c r="N1062" i="4"/>
  <c r="M1062" i="4"/>
  <c r="L1062" i="4"/>
  <c r="K1062" i="4"/>
  <c r="J1062" i="4"/>
  <c r="I1062" i="4"/>
  <c r="H1062" i="4"/>
  <c r="G1062" i="4"/>
  <c r="F1062" i="4"/>
  <c r="E1062" i="4"/>
  <c r="D1062" i="4"/>
  <c r="C1062" i="4"/>
  <c r="B1062" i="4"/>
  <c r="A1062" i="4"/>
  <c r="N1061" i="4"/>
  <c r="M1061" i="4"/>
  <c r="L1061" i="4"/>
  <c r="K1061" i="4"/>
  <c r="J1061" i="4"/>
  <c r="I1061" i="4"/>
  <c r="H1061" i="4"/>
  <c r="G1061" i="4"/>
  <c r="F1061" i="4"/>
  <c r="E1061" i="4"/>
  <c r="D1061" i="4"/>
  <c r="C1061" i="4"/>
  <c r="B1061" i="4"/>
  <c r="A1061" i="4"/>
  <c r="N1060" i="4"/>
  <c r="M1060" i="4"/>
  <c r="L1060" i="4"/>
  <c r="K1060" i="4"/>
  <c r="J1060" i="4"/>
  <c r="I1060" i="4"/>
  <c r="H1060" i="4"/>
  <c r="G1060" i="4"/>
  <c r="F1060" i="4"/>
  <c r="E1060" i="4"/>
  <c r="D1060" i="4"/>
  <c r="C1060" i="4"/>
  <c r="B1060" i="4"/>
  <c r="A1060" i="4"/>
  <c r="N1059" i="4"/>
  <c r="M1059" i="4"/>
  <c r="L1059" i="4"/>
  <c r="K1059" i="4"/>
  <c r="J1059" i="4"/>
  <c r="I1059" i="4"/>
  <c r="H1059" i="4"/>
  <c r="G1059" i="4"/>
  <c r="F1059" i="4"/>
  <c r="E1059" i="4"/>
  <c r="D1059" i="4"/>
  <c r="C1059" i="4"/>
  <c r="B1059" i="4"/>
  <c r="A1059" i="4"/>
  <c r="N1058" i="4"/>
  <c r="M1058" i="4"/>
  <c r="L1058" i="4"/>
  <c r="K1058" i="4"/>
  <c r="J1058" i="4"/>
  <c r="I1058" i="4"/>
  <c r="H1058" i="4"/>
  <c r="G1058" i="4"/>
  <c r="F1058" i="4"/>
  <c r="E1058" i="4"/>
  <c r="D1058" i="4"/>
  <c r="C1058" i="4"/>
  <c r="B1058" i="4"/>
  <c r="A1058" i="4"/>
  <c r="N1057" i="4"/>
  <c r="M1057" i="4"/>
  <c r="L1057" i="4"/>
  <c r="K1057" i="4"/>
  <c r="J1057" i="4"/>
  <c r="I1057" i="4"/>
  <c r="H1057" i="4"/>
  <c r="G1057" i="4"/>
  <c r="F1057" i="4"/>
  <c r="E1057" i="4"/>
  <c r="D1057" i="4"/>
  <c r="C1057" i="4"/>
  <c r="B1057" i="4"/>
  <c r="A1057" i="4"/>
  <c r="N1056" i="4"/>
  <c r="M1056" i="4"/>
  <c r="L1056" i="4"/>
  <c r="K1056" i="4"/>
  <c r="J1056" i="4"/>
  <c r="I1056" i="4"/>
  <c r="H1056" i="4"/>
  <c r="G1056" i="4"/>
  <c r="F1056" i="4"/>
  <c r="E1056" i="4"/>
  <c r="D1056" i="4"/>
  <c r="C1056" i="4"/>
  <c r="B1056" i="4"/>
  <c r="A1056" i="4"/>
  <c r="N1055" i="4"/>
  <c r="M1055" i="4"/>
  <c r="L1055" i="4"/>
  <c r="K1055" i="4"/>
  <c r="J1055" i="4"/>
  <c r="I1055" i="4"/>
  <c r="H1055" i="4"/>
  <c r="G1055" i="4"/>
  <c r="F1055" i="4"/>
  <c r="E1055" i="4"/>
  <c r="D1055" i="4"/>
  <c r="C1055" i="4"/>
  <c r="B1055" i="4"/>
  <c r="A1055" i="4"/>
  <c r="N1054" i="4"/>
  <c r="M1054" i="4"/>
  <c r="L1054" i="4"/>
  <c r="K1054" i="4"/>
  <c r="J1054" i="4"/>
  <c r="I1054" i="4"/>
  <c r="H1054" i="4"/>
  <c r="G1054" i="4"/>
  <c r="F1054" i="4"/>
  <c r="E1054" i="4"/>
  <c r="D1054" i="4"/>
  <c r="C1054" i="4"/>
  <c r="B1054" i="4"/>
  <c r="A1054" i="4"/>
  <c r="N1053" i="4"/>
  <c r="M1053" i="4"/>
  <c r="L1053" i="4"/>
  <c r="K1053" i="4"/>
  <c r="J1053" i="4"/>
  <c r="I1053" i="4"/>
  <c r="H1053" i="4"/>
  <c r="G1053" i="4"/>
  <c r="F1053" i="4"/>
  <c r="E1053" i="4"/>
  <c r="D1053" i="4"/>
  <c r="C1053" i="4"/>
  <c r="B1053" i="4"/>
  <c r="A1053" i="4"/>
  <c r="N1052" i="4"/>
  <c r="M1052" i="4"/>
  <c r="L1052" i="4"/>
  <c r="K1052" i="4"/>
  <c r="J1052" i="4"/>
  <c r="I1052" i="4"/>
  <c r="H1052" i="4"/>
  <c r="G1052" i="4"/>
  <c r="F1052" i="4"/>
  <c r="E1052" i="4"/>
  <c r="D1052" i="4"/>
  <c r="C1052" i="4"/>
  <c r="B1052" i="4"/>
  <c r="A1052" i="4"/>
  <c r="N1051" i="4"/>
  <c r="M1051" i="4"/>
  <c r="L1051" i="4"/>
  <c r="K1051" i="4"/>
  <c r="J1051" i="4"/>
  <c r="I1051" i="4"/>
  <c r="H1051" i="4"/>
  <c r="G1051" i="4"/>
  <c r="F1051" i="4"/>
  <c r="E1051" i="4"/>
  <c r="D1051" i="4"/>
  <c r="C1051" i="4"/>
  <c r="B1051" i="4"/>
  <c r="A1051" i="4"/>
  <c r="N1050" i="4"/>
  <c r="M1050" i="4"/>
  <c r="L1050" i="4"/>
  <c r="K1050" i="4"/>
  <c r="J1050" i="4"/>
  <c r="I1050" i="4"/>
  <c r="H1050" i="4"/>
  <c r="G1050" i="4"/>
  <c r="F1050" i="4"/>
  <c r="E1050" i="4"/>
  <c r="D1050" i="4"/>
  <c r="C1050" i="4"/>
  <c r="B1050" i="4"/>
  <c r="A1050" i="4"/>
  <c r="N1049" i="4"/>
  <c r="M1049" i="4"/>
  <c r="L1049" i="4"/>
  <c r="K1049" i="4"/>
  <c r="J1049" i="4"/>
  <c r="I1049" i="4"/>
  <c r="H1049" i="4"/>
  <c r="G1049" i="4"/>
  <c r="F1049" i="4"/>
  <c r="E1049" i="4"/>
  <c r="D1049" i="4"/>
  <c r="C1049" i="4"/>
  <c r="B1049" i="4"/>
  <c r="A1049" i="4"/>
  <c r="N1048" i="4"/>
  <c r="M1048" i="4"/>
  <c r="L1048" i="4"/>
  <c r="K1048" i="4"/>
  <c r="J1048" i="4"/>
  <c r="I1048" i="4"/>
  <c r="H1048" i="4"/>
  <c r="G1048" i="4"/>
  <c r="F1048" i="4"/>
  <c r="E1048" i="4"/>
  <c r="D1048" i="4"/>
  <c r="C1048" i="4"/>
  <c r="B1048" i="4"/>
  <c r="A1048" i="4"/>
  <c r="N1047" i="4"/>
  <c r="M1047" i="4"/>
  <c r="L1047" i="4"/>
  <c r="K1047" i="4"/>
  <c r="J1047" i="4"/>
  <c r="I1047" i="4"/>
  <c r="H1047" i="4"/>
  <c r="G1047" i="4"/>
  <c r="F1047" i="4"/>
  <c r="E1047" i="4"/>
  <c r="D1047" i="4"/>
  <c r="C1047" i="4"/>
  <c r="B1047" i="4"/>
  <c r="A1047" i="4"/>
  <c r="N1046" i="4"/>
  <c r="M1046" i="4"/>
  <c r="L1046" i="4"/>
  <c r="K1046" i="4"/>
  <c r="J1046" i="4"/>
  <c r="I1046" i="4"/>
  <c r="H1046" i="4"/>
  <c r="G1046" i="4"/>
  <c r="F1046" i="4"/>
  <c r="E1046" i="4"/>
  <c r="D1046" i="4"/>
  <c r="C1046" i="4"/>
  <c r="B1046" i="4"/>
  <c r="A1046" i="4"/>
  <c r="N1045" i="4"/>
  <c r="M1045" i="4"/>
  <c r="L1045" i="4"/>
  <c r="K1045" i="4"/>
  <c r="J1045" i="4"/>
  <c r="I1045" i="4"/>
  <c r="H1045" i="4"/>
  <c r="G1045" i="4"/>
  <c r="F1045" i="4"/>
  <c r="E1045" i="4"/>
  <c r="D1045" i="4"/>
  <c r="C1045" i="4"/>
  <c r="B1045" i="4"/>
  <c r="A1045" i="4"/>
  <c r="N1044" i="4"/>
  <c r="M1044" i="4"/>
  <c r="L1044" i="4"/>
  <c r="K1044" i="4"/>
  <c r="J1044" i="4"/>
  <c r="I1044" i="4"/>
  <c r="H1044" i="4"/>
  <c r="G1044" i="4"/>
  <c r="F1044" i="4"/>
  <c r="E1044" i="4"/>
  <c r="D1044" i="4"/>
  <c r="C1044" i="4"/>
  <c r="B1044" i="4"/>
  <c r="A1044" i="4"/>
  <c r="N1043" i="4"/>
  <c r="M1043" i="4"/>
  <c r="L1043" i="4"/>
  <c r="K1043" i="4"/>
  <c r="J1043" i="4"/>
  <c r="I1043" i="4"/>
  <c r="H1043" i="4"/>
  <c r="G1043" i="4"/>
  <c r="F1043" i="4"/>
  <c r="E1043" i="4"/>
  <c r="D1043" i="4"/>
  <c r="C1043" i="4"/>
  <c r="B1043" i="4"/>
  <c r="A1043" i="4"/>
  <c r="N1042" i="4"/>
  <c r="M1042" i="4"/>
  <c r="L1042" i="4"/>
  <c r="K1042" i="4"/>
  <c r="J1042" i="4"/>
  <c r="I1042" i="4"/>
  <c r="H1042" i="4"/>
  <c r="G1042" i="4"/>
  <c r="F1042" i="4"/>
  <c r="E1042" i="4"/>
  <c r="D1042" i="4"/>
  <c r="C1042" i="4"/>
  <c r="B1042" i="4"/>
  <c r="A1042" i="4"/>
  <c r="N1041" i="4"/>
  <c r="M1041" i="4"/>
  <c r="L1041" i="4"/>
  <c r="K1041" i="4"/>
  <c r="J1041" i="4"/>
  <c r="I1041" i="4"/>
  <c r="H1041" i="4"/>
  <c r="G1041" i="4"/>
  <c r="F1041" i="4"/>
  <c r="E1041" i="4"/>
  <c r="D1041" i="4"/>
  <c r="C1041" i="4"/>
  <c r="B1041" i="4"/>
  <c r="A1041" i="4"/>
  <c r="N1040" i="4"/>
  <c r="M1040" i="4"/>
  <c r="L1040" i="4"/>
  <c r="K1040" i="4"/>
  <c r="J1040" i="4"/>
  <c r="I1040" i="4"/>
  <c r="H1040" i="4"/>
  <c r="G1040" i="4"/>
  <c r="F1040" i="4"/>
  <c r="E1040" i="4"/>
  <c r="D1040" i="4"/>
  <c r="C1040" i="4"/>
  <c r="B1040" i="4"/>
  <c r="A1040" i="4"/>
  <c r="N1039" i="4"/>
  <c r="M1039" i="4"/>
  <c r="L1039" i="4"/>
  <c r="K1039" i="4"/>
  <c r="J1039" i="4"/>
  <c r="I1039" i="4"/>
  <c r="H1039" i="4"/>
  <c r="G1039" i="4"/>
  <c r="F1039" i="4"/>
  <c r="E1039" i="4"/>
  <c r="D1039" i="4"/>
  <c r="C1039" i="4"/>
  <c r="B1039" i="4"/>
  <c r="A1039" i="4"/>
  <c r="N1038" i="4"/>
  <c r="M1038" i="4"/>
  <c r="L1038" i="4"/>
  <c r="K1038" i="4"/>
  <c r="J1038" i="4"/>
  <c r="I1038" i="4"/>
  <c r="H1038" i="4"/>
  <c r="G1038" i="4"/>
  <c r="F1038" i="4"/>
  <c r="E1038" i="4"/>
  <c r="D1038" i="4"/>
  <c r="C1038" i="4"/>
  <c r="B1038" i="4"/>
  <c r="A1038" i="4"/>
  <c r="N1037" i="4"/>
  <c r="M1037" i="4"/>
  <c r="L1037" i="4"/>
  <c r="K1037" i="4"/>
  <c r="J1037" i="4"/>
  <c r="I1037" i="4"/>
  <c r="H1037" i="4"/>
  <c r="G1037" i="4"/>
  <c r="F1037" i="4"/>
  <c r="E1037" i="4"/>
  <c r="D1037" i="4"/>
  <c r="C1037" i="4"/>
  <c r="B1037" i="4"/>
  <c r="A1037" i="4"/>
  <c r="N1036" i="4"/>
  <c r="M1036" i="4"/>
  <c r="L1036" i="4"/>
  <c r="K1036" i="4"/>
  <c r="J1036" i="4"/>
  <c r="I1036" i="4"/>
  <c r="H1036" i="4"/>
  <c r="G1036" i="4"/>
  <c r="F1036" i="4"/>
  <c r="E1036" i="4"/>
  <c r="D1036" i="4"/>
  <c r="C1036" i="4"/>
  <c r="B1036" i="4"/>
  <c r="A1036" i="4"/>
  <c r="N1035" i="4"/>
  <c r="M1035" i="4"/>
  <c r="L1035" i="4"/>
  <c r="K1035" i="4"/>
  <c r="J1035" i="4"/>
  <c r="I1035" i="4"/>
  <c r="H1035" i="4"/>
  <c r="G1035" i="4"/>
  <c r="F1035" i="4"/>
  <c r="E1035" i="4"/>
  <c r="D1035" i="4"/>
  <c r="C1035" i="4"/>
  <c r="B1035" i="4"/>
  <c r="A1035" i="4"/>
  <c r="N1034" i="4"/>
  <c r="M1034" i="4"/>
  <c r="L1034" i="4"/>
  <c r="K1034" i="4"/>
  <c r="J1034" i="4"/>
  <c r="I1034" i="4"/>
  <c r="H1034" i="4"/>
  <c r="G1034" i="4"/>
  <c r="F1034" i="4"/>
  <c r="E1034" i="4"/>
  <c r="D1034" i="4"/>
  <c r="C1034" i="4"/>
  <c r="B1034" i="4"/>
  <c r="A1034" i="4"/>
  <c r="N1033" i="4"/>
  <c r="M1033" i="4"/>
  <c r="L1033" i="4"/>
  <c r="K1033" i="4"/>
  <c r="J1033" i="4"/>
  <c r="I1033" i="4"/>
  <c r="H1033" i="4"/>
  <c r="G1033" i="4"/>
  <c r="F1033" i="4"/>
  <c r="E1033" i="4"/>
  <c r="D1033" i="4"/>
  <c r="C1033" i="4"/>
  <c r="B1033" i="4"/>
  <c r="A1033" i="4"/>
  <c r="N1032" i="4"/>
  <c r="M1032" i="4"/>
  <c r="L1032" i="4"/>
  <c r="K1032" i="4"/>
  <c r="J1032" i="4"/>
  <c r="I1032" i="4"/>
  <c r="H1032" i="4"/>
  <c r="G1032" i="4"/>
  <c r="F1032" i="4"/>
  <c r="E1032" i="4"/>
  <c r="D1032" i="4"/>
  <c r="C1032" i="4"/>
  <c r="B1032" i="4"/>
  <c r="A1032" i="4"/>
  <c r="N1031" i="4"/>
  <c r="M1031" i="4"/>
  <c r="L1031" i="4"/>
  <c r="K1031" i="4"/>
  <c r="J1031" i="4"/>
  <c r="I1031" i="4"/>
  <c r="H1031" i="4"/>
  <c r="G1031" i="4"/>
  <c r="F1031" i="4"/>
  <c r="E1031" i="4"/>
  <c r="D1031" i="4"/>
  <c r="C1031" i="4"/>
  <c r="B1031" i="4"/>
  <c r="A1031" i="4"/>
  <c r="N1030" i="4"/>
  <c r="M1030" i="4"/>
  <c r="L1030" i="4"/>
  <c r="K1030" i="4"/>
  <c r="J1030" i="4"/>
  <c r="I1030" i="4"/>
  <c r="H1030" i="4"/>
  <c r="G1030" i="4"/>
  <c r="F1030" i="4"/>
  <c r="E1030" i="4"/>
  <c r="D1030" i="4"/>
  <c r="C1030" i="4"/>
  <c r="B1030" i="4"/>
  <c r="A1030" i="4"/>
  <c r="N1029" i="4"/>
  <c r="M1029" i="4"/>
  <c r="L1029" i="4"/>
  <c r="K1029" i="4"/>
  <c r="J1029" i="4"/>
  <c r="I1029" i="4"/>
  <c r="H1029" i="4"/>
  <c r="G1029" i="4"/>
  <c r="F1029" i="4"/>
  <c r="E1029" i="4"/>
  <c r="D1029" i="4"/>
  <c r="C1029" i="4"/>
  <c r="B1029" i="4"/>
  <c r="A1029" i="4"/>
  <c r="N1028" i="4"/>
  <c r="M1028" i="4"/>
  <c r="L1028" i="4"/>
  <c r="K1028" i="4"/>
  <c r="J1028" i="4"/>
  <c r="I1028" i="4"/>
  <c r="H1028" i="4"/>
  <c r="G1028" i="4"/>
  <c r="F1028" i="4"/>
  <c r="E1028" i="4"/>
  <c r="D1028" i="4"/>
  <c r="C1028" i="4"/>
  <c r="B1028" i="4"/>
  <c r="A1028" i="4"/>
  <c r="N1027" i="4"/>
  <c r="M1027" i="4"/>
  <c r="L1027" i="4"/>
  <c r="K1027" i="4"/>
  <c r="J1027" i="4"/>
  <c r="I1027" i="4"/>
  <c r="H1027" i="4"/>
  <c r="G1027" i="4"/>
  <c r="F1027" i="4"/>
  <c r="E1027" i="4"/>
  <c r="D1027" i="4"/>
  <c r="C1027" i="4"/>
  <c r="B1027" i="4"/>
  <c r="A1027" i="4"/>
  <c r="N1026" i="4"/>
  <c r="M1026" i="4"/>
  <c r="L1026" i="4"/>
  <c r="K1026" i="4"/>
  <c r="J1026" i="4"/>
  <c r="I1026" i="4"/>
  <c r="H1026" i="4"/>
  <c r="G1026" i="4"/>
  <c r="F1026" i="4"/>
  <c r="E1026" i="4"/>
  <c r="D1026" i="4"/>
  <c r="C1026" i="4"/>
  <c r="B1026" i="4"/>
  <c r="A1026" i="4"/>
  <c r="N1025" i="4"/>
  <c r="M1025" i="4"/>
  <c r="L1025" i="4"/>
  <c r="K1025" i="4"/>
  <c r="J1025" i="4"/>
  <c r="I1025" i="4"/>
  <c r="H1025" i="4"/>
  <c r="G1025" i="4"/>
  <c r="F1025" i="4"/>
  <c r="E1025" i="4"/>
  <c r="D1025" i="4"/>
  <c r="C1025" i="4"/>
  <c r="B1025" i="4"/>
  <c r="A1025" i="4"/>
  <c r="N1024" i="4"/>
  <c r="M1024" i="4"/>
  <c r="L1024" i="4"/>
  <c r="K1024" i="4"/>
  <c r="J1024" i="4"/>
  <c r="I1024" i="4"/>
  <c r="H1024" i="4"/>
  <c r="G1024" i="4"/>
  <c r="F1024" i="4"/>
  <c r="E1024" i="4"/>
  <c r="D1024" i="4"/>
  <c r="C1024" i="4"/>
  <c r="B1024" i="4"/>
  <c r="A1024" i="4"/>
  <c r="N1023" i="4"/>
  <c r="M1023" i="4"/>
  <c r="L1023" i="4"/>
  <c r="K1023" i="4"/>
  <c r="J1023" i="4"/>
  <c r="I1023" i="4"/>
  <c r="H1023" i="4"/>
  <c r="G1023" i="4"/>
  <c r="F1023" i="4"/>
  <c r="E1023" i="4"/>
  <c r="D1023" i="4"/>
  <c r="C1023" i="4"/>
  <c r="B1023" i="4"/>
  <c r="A1023" i="4"/>
  <c r="N1022" i="4"/>
  <c r="M1022" i="4"/>
  <c r="L1022" i="4"/>
  <c r="K1022" i="4"/>
  <c r="J1022" i="4"/>
  <c r="I1022" i="4"/>
  <c r="H1022" i="4"/>
  <c r="G1022" i="4"/>
  <c r="F1022" i="4"/>
  <c r="E1022" i="4"/>
  <c r="D1022" i="4"/>
  <c r="C1022" i="4"/>
  <c r="B1022" i="4"/>
  <c r="A1022" i="4"/>
  <c r="N1021" i="4"/>
  <c r="M1021" i="4"/>
  <c r="L1021" i="4"/>
  <c r="K1021" i="4"/>
  <c r="J1021" i="4"/>
  <c r="I1021" i="4"/>
  <c r="H1021" i="4"/>
  <c r="G1021" i="4"/>
  <c r="F1021" i="4"/>
  <c r="E1021" i="4"/>
  <c r="D1021" i="4"/>
  <c r="C1021" i="4"/>
  <c r="B1021" i="4"/>
  <c r="A1021" i="4"/>
  <c r="N1020" i="4"/>
  <c r="M1020" i="4"/>
  <c r="L1020" i="4"/>
  <c r="K1020" i="4"/>
  <c r="J1020" i="4"/>
  <c r="I1020" i="4"/>
  <c r="H1020" i="4"/>
  <c r="G1020" i="4"/>
  <c r="F1020" i="4"/>
  <c r="E1020" i="4"/>
  <c r="D1020" i="4"/>
  <c r="C1020" i="4"/>
  <c r="B1020" i="4"/>
  <c r="A1020" i="4"/>
  <c r="N1019" i="4"/>
  <c r="M1019" i="4"/>
  <c r="L1019" i="4"/>
  <c r="K1019" i="4"/>
  <c r="J1019" i="4"/>
  <c r="I1019" i="4"/>
  <c r="H1019" i="4"/>
  <c r="G1019" i="4"/>
  <c r="F1019" i="4"/>
  <c r="E1019" i="4"/>
  <c r="D1019" i="4"/>
  <c r="C1019" i="4"/>
  <c r="B1019" i="4"/>
  <c r="A1019" i="4"/>
  <c r="N1018" i="4"/>
  <c r="M1018" i="4"/>
  <c r="L1018" i="4"/>
  <c r="K1018" i="4"/>
  <c r="J1018" i="4"/>
  <c r="I1018" i="4"/>
  <c r="H1018" i="4"/>
  <c r="G1018" i="4"/>
  <c r="F1018" i="4"/>
  <c r="E1018" i="4"/>
  <c r="D1018" i="4"/>
  <c r="C1018" i="4"/>
  <c r="B1018" i="4"/>
  <c r="A1018" i="4"/>
  <c r="N1017" i="4"/>
  <c r="M1017" i="4"/>
  <c r="L1017" i="4"/>
  <c r="K1017" i="4"/>
  <c r="J1017" i="4"/>
  <c r="I1017" i="4"/>
  <c r="H1017" i="4"/>
  <c r="G1017" i="4"/>
  <c r="F1017" i="4"/>
  <c r="E1017" i="4"/>
  <c r="D1017" i="4"/>
  <c r="C1017" i="4"/>
  <c r="B1017" i="4"/>
  <c r="A1017" i="4"/>
  <c r="N1016" i="4"/>
  <c r="M1016" i="4"/>
  <c r="L1016" i="4"/>
  <c r="K1016" i="4"/>
  <c r="J1016" i="4"/>
  <c r="I1016" i="4"/>
  <c r="H1016" i="4"/>
  <c r="G1016" i="4"/>
  <c r="F1016" i="4"/>
  <c r="E1016" i="4"/>
  <c r="D1016" i="4"/>
  <c r="C1016" i="4"/>
  <c r="B1016" i="4"/>
  <c r="A1016" i="4"/>
  <c r="N1015" i="4"/>
  <c r="M1015" i="4"/>
  <c r="L1015" i="4"/>
  <c r="K1015" i="4"/>
  <c r="J1015" i="4"/>
  <c r="I1015" i="4"/>
  <c r="H1015" i="4"/>
  <c r="G1015" i="4"/>
  <c r="F1015" i="4"/>
  <c r="E1015" i="4"/>
  <c r="D1015" i="4"/>
  <c r="C1015" i="4"/>
  <c r="B1015" i="4"/>
  <c r="A1015" i="4"/>
  <c r="N1014" i="4"/>
  <c r="M1014" i="4"/>
  <c r="L1014" i="4"/>
  <c r="K1014" i="4"/>
  <c r="J1014" i="4"/>
  <c r="I1014" i="4"/>
  <c r="H1014" i="4"/>
  <c r="G1014" i="4"/>
  <c r="F1014" i="4"/>
  <c r="E1014" i="4"/>
  <c r="D1014" i="4"/>
  <c r="C1014" i="4"/>
  <c r="B1014" i="4"/>
  <c r="A1014" i="4"/>
  <c r="N1013" i="4"/>
  <c r="M1013" i="4"/>
  <c r="L1013" i="4"/>
  <c r="K1013" i="4"/>
  <c r="J1013" i="4"/>
  <c r="I1013" i="4"/>
  <c r="H1013" i="4"/>
  <c r="G1013" i="4"/>
  <c r="F1013" i="4"/>
  <c r="E1013" i="4"/>
  <c r="D1013" i="4"/>
  <c r="C1013" i="4"/>
  <c r="B1013" i="4"/>
  <c r="A1013" i="4"/>
  <c r="N1012" i="4"/>
  <c r="M1012" i="4"/>
  <c r="L1012" i="4"/>
  <c r="K1012" i="4"/>
  <c r="J1012" i="4"/>
  <c r="I1012" i="4"/>
  <c r="H1012" i="4"/>
  <c r="G1012" i="4"/>
  <c r="F1012" i="4"/>
  <c r="E1012" i="4"/>
  <c r="D1012" i="4"/>
  <c r="C1012" i="4"/>
  <c r="B1012" i="4"/>
  <c r="A1012" i="4"/>
  <c r="N1011" i="4"/>
  <c r="M1011" i="4"/>
  <c r="L1011" i="4"/>
  <c r="K1011" i="4"/>
  <c r="J1011" i="4"/>
  <c r="I1011" i="4"/>
  <c r="H1011" i="4"/>
  <c r="G1011" i="4"/>
  <c r="F1011" i="4"/>
  <c r="E1011" i="4"/>
  <c r="D1011" i="4"/>
  <c r="C1011" i="4"/>
  <c r="B1011" i="4"/>
  <c r="A1011" i="4"/>
  <c r="N1010" i="4"/>
  <c r="M1010" i="4"/>
  <c r="L1010" i="4"/>
  <c r="K1010" i="4"/>
  <c r="J1010" i="4"/>
  <c r="I1010" i="4"/>
  <c r="H1010" i="4"/>
  <c r="G1010" i="4"/>
  <c r="F1010" i="4"/>
  <c r="E1010" i="4"/>
  <c r="D1010" i="4"/>
  <c r="C1010" i="4"/>
  <c r="B1010" i="4"/>
  <c r="A1010" i="4"/>
  <c r="N1009" i="4"/>
  <c r="M1009" i="4"/>
  <c r="L1009" i="4"/>
  <c r="K1009" i="4"/>
  <c r="J1009" i="4"/>
  <c r="I1009" i="4"/>
  <c r="H1009" i="4"/>
  <c r="G1009" i="4"/>
  <c r="F1009" i="4"/>
  <c r="E1009" i="4"/>
  <c r="D1009" i="4"/>
  <c r="C1009" i="4"/>
  <c r="B1009" i="4"/>
  <c r="A1009" i="4"/>
  <c r="N1008" i="4"/>
  <c r="M1008" i="4"/>
  <c r="L1008" i="4"/>
  <c r="K1008" i="4"/>
  <c r="J1008" i="4"/>
  <c r="I1008" i="4"/>
  <c r="H1008" i="4"/>
  <c r="G1008" i="4"/>
  <c r="F1008" i="4"/>
  <c r="E1008" i="4"/>
  <c r="D1008" i="4"/>
  <c r="C1008" i="4"/>
  <c r="B1008" i="4"/>
  <c r="A1008" i="4"/>
  <c r="N1007" i="4"/>
  <c r="M1007" i="4"/>
  <c r="L1007" i="4"/>
  <c r="K1007" i="4"/>
  <c r="J1007" i="4"/>
  <c r="I1007" i="4"/>
  <c r="H1007" i="4"/>
  <c r="G1007" i="4"/>
  <c r="F1007" i="4"/>
  <c r="E1007" i="4"/>
  <c r="D1007" i="4"/>
  <c r="C1007" i="4"/>
  <c r="B1007" i="4"/>
  <c r="A1007" i="4"/>
  <c r="N1006" i="4"/>
  <c r="M1006" i="4"/>
  <c r="L1006" i="4"/>
  <c r="K1006" i="4"/>
  <c r="J1006" i="4"/>
  <c r="I1006" i="4"/>
  <c r="H1006" i="4"/>
  <c r="G1006" i="4"/>
  <c r="F1006" i="4"/>
  <c r="E1006" i="4"/>
  <c r="D1006" i="4"/>
  <c r="C1006" i="4"/>
  <c r="B1006" i="4"/>
  <c r="A1006" i="4"/>
  <c r="N1005" i="4"/>
  <c r="M1005" i="4"/>
  <c r="L1005" i="4"/>
  <c r="K1005" i="4"/>
  <c r="J1005" i="4"/>
  <c r="I1005" i="4"/>
  <c r="H1005" i="4"/>
  <c r="G1005" i="4"/>
  <c r="F1005" i="4"/>
  <c r="E1005" i="4"/>
  <c r="D1005" i="4"/>
  <c r="C1005" i="4"/>
  <c r="B1005" i="4"/>
  <c r="A1005" i="4"/>
  <c r="N1004" i="4"/>
  <c r="M1004" i="4"/>
  <c r="L1004" i="4"/>
  <c r="K1004" i="4"/>
  <c r="J1004" i="4"/>
  <c r="I1004" i="4"/>
  <c r="H1004" i="4"/>
  <c r="G1004" i="4"/>
  <c r="F1004" i="4"/>
  <c r="E1004" i="4"/>
  <c r="D1004" i="4"/>
  <c r="C1004" i="4"/>
  <c r="B1004" i="4"/>
  <c r="A1004" i="4"/>
  <c r="N1003" i="4"/>
  <c r="M1003" i="4"/>
  <c r="L1003" i="4"/>
  <c r="K1003" i="4"/>
  <c r="J1003" i="4"/>
  <c r="I1003" i="4"/>
  <c r="H1003" i="4"/>
  <c r="G1003" i="4"/>
  <c r="F1003" i="4"/>
  <c r="E1003" i="4"/>
  <c r="D1003" i="4"/>
  <c r="C1003" i="4"/>
  <c r="B1003" i="4"/>
  <c r="A1003" i="4"/>
  <c r="N1002" i="4"/>
  <c r="M1002" i="4"/>
  <c r="L1002" i="4"/>
  <c r="K1002" i="4"/>
  <c r="J1002" i="4"/>
  <c r="I1002" i="4"/>
  <c r="H1002" i="4"/>
  <c r="G1002" i="4"/>
  <c r="F1002" i="4"/>
  <c r="E1002" i="4"/>
  <c r="D1002" i="4"/>
  <c r="C1002" i="4"/>
  <c r="B1002" i="4"/>
  <c r="A1002" i="4"/>
  <c r="N1001" i="4"/>
  <c r="M1001" i="4"/>
  <c r="L1001" i="4"/>
  <c r="K1001" i="4"/>
  <c r="J1001" i="4"/>
  <c r="I1001" i="4"/>
  <c r="H1001" i="4"/>
  <c r="G1001" i="4"/>
  <c r="F1001" i="4"/>
  <c r="E1001" i="4"/>
  <c r="D1001" i="4"/>
  <c r="C1001" i="4"/>
  <c r="B1001" i="4"/>
  <c r="A1001" i="4"/>
  <c r="N1000" i="4"/>
  <c r="M1000" i="4"/>
  <c r="L1000" i="4"/>
  <c r="K1000" i="4"/>
  <c r="J1000" i="4"/>
  <c r="I1000" i="4"/>
  <c r="H1000" i="4"/>
  <c r="G1000" i="4"/>
  <c r="F1000" i="4"/>
  <c r="E1000" i="4"/>
  <c r="D1000" i="4"/>
  <c r="C1000" i="4"/>
  <c r="B1000" i="4"/>
  <c r="A1000" i="4"/>
  <c r="N999" i="4"/>
  <c r="M999" i="4"/>
  <c r="L999" i="4"/>
  <c r="K999" i="4"/>
  <c r="J999" i="4"/>
  <c r="I999" i="4"/>
  <c r="H999" i="4"/>
  <c r="G999" i="4"/>
  <c r="F999" i="4"/>
  <c r="E999" i="4"/>
  <c r="D999" i="4"/>
  <c r="C999" i="4"/>
  <c r="B999" i="4"/>
  <c r="A999" i="4"/>
  <c r="N998" i="4"/>
  <c r="M998" i="4"/>
  <c r="L998" i="4"/>
  <c r="K998" i="4"/>
  <c r="J998" i="4"/>
  <c r="I998" i="4"/>
  <c r="H998" i="4"/>
  <c r="G998" i="4"/>
  <c r="F998" i="4"/>
  <c r="E998" i="4"/>
  <c r="D998" i="4"/>
  <c r="C998" i="4"/>
  <c r="B998" i="4"/>
  <c r="A998" i="4"/>
  <c r="N997" i="4"/>
  <c r="M997" i="4"/>
  <c r="L997" i="4"/>
  <c r="K997" i="4"/>
  <c r="J997" i="4"/>
  <c r="I997" i="4"/>
  <c r="H997" i="4"/>
  <c r="G997" i="4"/>
  <c r="F997" i="4"/>
  <c r="E997" i="4"/>
  <c r="D997" i="4"/>
  <c r="C997" i="4"/>
  <c r="B997" i="4"/>
  <c r="A997" i="4"/>
  <c r="N996" i="4"/>
  <c r="M996" i="4"/>
  <c r="L996" i="4"/>
  <c r="K996" i="4"/>
  <c r="J996" i="4"/>
  <c r="I996" i="4"/>
  <c r="H996" i="4"/>
  <c r="G996" i="4"/>
  <c r="F996" i="4"/>
  <c r="E996" i="4"/>
  <c r="D996" i="4"/>
  <c r="C996" i="4"/>
  <c r="B996" i="4"/>
  <c r="A996" i="4"/>
  <c r="N995" i="4"/>
  <c r="M995" i="4"/>
  <c r="L995" i="4"/>
  <c r="K995" i="4"/>
  <c r="J995" i="4"/>
  <c r="I995" i="4"/>
  <c r="H995" i="4"/>
  <c r="G995" i="4"/>
  <c r="F995" i="4"/>
  <c r="E995" i="4"/>
  <c r="D995" i="4"/>
  <c r="C995" i="4"/>
  <c r="B995" i="4"/>
  <c r="A995" i="4"/>
  <c r="N994" i="4"/>
  <c r="M994" i="4"/>
  <c r="L994" i="4"/>
  <c r="K994" i="4"/>
  <c r="J994" i="4"/>
  <c r="I994" i="4"/>
  <c r="H994" i="4"/>
  <c r="G994" i="4"/>
  <c r="F994" i="4"/>
  <c r="E994" i="4"/>
  <c r="D994" i="4"/>
  <c r="C994" i="4"/>
  <c r="B994" i="4"/>
  <c r="A994" i="4"/>
  <c r="N993" i="4"/>
  <c r="M993" i="4"/>
  <c r="L993" i="4"/>
  <c r="K993" i="4"/>
  <c r="J993" i="4"/>
  <c r="I993" i="4"/>
  <c r="H993" i="4"/>
  <c r="G993" i="4"/>
  <c r="F993" i="4"/>
  <c r="E993" i="4"/>
  <c r="D993" i="4"/>
  <c r="C993" i="4"/>
  <c r="B993" i="4"/>
  <c r="A993" i="4"/>
  <c r="N992" i="4"/>
  <c r="M992" i="4"/>
  <c r="L992" i="4"/>
  <c r="K992" i="4"/>
  <c r="J992" i="4"/>
  <c r="I992" i="4"/>
  <c r="H992" i="4"/>
  <c r="G992" i="4"/>
  <c r="F992" i="4"/>
  <c r="E992" i="4"/>
  <c r="D992" i="4"/>
  <c r="C992" i="4"/>
  <c r="B992" i="4"/>
  <c r="A992" i="4"/>
  <c r="N991" i="4"/>
  <c r="M991" i="4"/>
  <c r="L991" i="4"/>
  <c r="K991" i="4"/>
  <c r="J991" i="4"/>
  <c r="I991" i="4"/>
  <c r="H991" i="4"/>
  <c r="G991" i="4"/>
  <c r="F991" i="4"/>
  <c r="E991" i="4"/>
  <c r="D991" i="4"/>
  <c r="C991" i="4"/>
  <c r="B991" i="4"/>
  <c r="A991" i="4"/>
  <c r="N990" i="4"/>
  <c r="M990" i="4"/>
  <c r="L990" i="4"/>
  <c r="K990" i="4"/>
  <c r="J990" i="4"/>
  <c r="I990" i="4"/>
  <c r="H990" i="4"/>
  <c r="G990" i="4"/>
  <c r="F990" i="4"/>
  <c r="E990" i="4"/>
  <c r="D990" i="4"/>
  <c r="C990" i="4"/>
  <c r="B990" i="4"/>
  <c r="A990" i="4"/>
  <c r="N989" i="4"/>
  <c r="M989" i="4"/>
  <c r="L989" i="4"/>
  <c r="K989" i="4"/>
  <c r="J989" i="4"/>
  <c r="I989" i="4"/>
  <c r="H989" i="4"/>
  <c r="G989" i="4"/>
  <c r="F989" i="4"/>
  <c r="E989" i="4"/>
  <c r="D989" i="4"/>
  <c r="C989" i="4"/>
  <c r="B989" i="4"/>
  <c r="A989" i="4"/>
  <c r="N988" i="4"/>
  <c r="M988" i="4"/>
  <c r="L988" i="4"/>
  <c r="K988" i="4"/>
  <c r="J988" i="4"/>
  <c r="I988" i="4"/>
  <c r="H988" i="4"/>
  <c r="G988" i="4"/>
  <c r="F988" i="4"/>
  <c r="E988" i="4"/>
  <c r="D988" i="4"/>
  <c r="C988" i="4"/>
  <c r="B988" i="4"/>
  <c r="A988" i="4"/>
  <c r="N987" i="4"/>
  <c r="M987" i="4"/>
  <c r="L987" i="4"/>
  <c r="K987" i="4"/>
  <c r="J987" i="4"/>
  <c r="I987" i="4"/>
  <c r="H987" i="4"/>
  <c r="G987" i="4"/>
  <c r="F987" i="4"/>
  <c r="E987" i="4"/>
  <c r="D987" i="4"/>
  <c r="C987" i="4"/>
  <c r="B987" i="4"/>
  <c r="A987" i="4"/>
  <c r="N986" i="4"/>
  <c r="M986" i="4"/>
  <c r="L986" i="4"/>
  <c r="K986" i="4"/>
  <c r="J986" i="4"/>
  <c r="I986" i="4"/>
  <c r="H986" i="4"/>
  <c r="G986" i="4"/>
  <c r="F986" i="4"/>
  <c r="E986" i="4"/>
  <c r="D986" i="4"/>
  <c r="C986" i="4"/>
  <c r="B986" i="4"/>
  <c r="A986" i="4"/>
  <c r="N985" i="4"/>
  <c r="M985" i="4"/>
  <c r="L985" i="4"/>
  <c r="K985" i="4"/>
  <c r="J985" i="4"/>
  <c r="I985" i="4"/>
  <c r="H985" i="4"/>
  <c r="G985" i="4"/>
  <c r="F985" i="4"/>
  <c r="E985" i="4"/>
  <c r="D985" i="4"/>
  <c r="C985" i="4"/>
  <c r="B985" i="4"/>
  <c r="A985" i="4"/>
  <c r="N984" i="4"/>
  <c r="M984" i="4"/>
  <c r="L984" i="4"/>
  <c r="K984" i="4"/>
  <c r="J984" i="4"/>
  <c r="I984" i="4"/>
  <c r="H984" i="4"/>
  <c r="G984" i="4"/>
  <c r="F984" i="4"/>
  <c r="E984" i="4"/>
  <c r="D984" i="4"/>
  <c r="C984" i="4"/>
  <c r="B984" i="4"/>
  <c r="A984" i="4"/>
  <c r="N983" i="4"/>
  <c r="M983" i="4"/>
  <c r="L983" i="4"/>
  <c r="K983" i="4"/>
  <c r="J983" i="4"/>
  <c r="I983" i="4"/>
  <c r="H983" i="4"/>
  <c r="G983" i="4"/>
  <c r="F983" i="4"/>
  <c r="E983" i="4"/>
  <c r="D983" i="4"/>
  <c r="C983" i="4"/>
  <c r="B983" i="4"/>
  <c r="A983" i="4"/>
  <c r="N982" i="4"/>
  <c r="M982" i="4"/>
  <c r="L982" i="4"/>
  <c r="K982" i="4"/>
  <c r="J982" i="4"/>
  <c r="I982" i="4"/>
  <c r="H982" i="4"/>
  <c r="G982" i="4"/>
  <c r="F982" i="4"/>
  <c r="E982" i="4"/>
  <c r="D982" i="4"/>
  <c r="C982" i="4"/>
  <c r="B982" i="4"/>
  <c r="A982" i="4"/>
  <c r="N981" i="4"/>
  <c r="M981" i="4"/>
  <c r="L981" i="4"/>
  <c r="K981" i="4"/>
  <c r="J981" i="4"/>
  <c r="I981" i="4"/>
  <c r="H981" i="4"/>
  <c r="G981" i="4"/>
  <c r="F981" i="4"/>
  <c r="E981" i="4"/>
  <c r="D981" i="4"/>
  <c r="C981" i="4"/>
  <c r="B981" i="4"/>
  <c r="A981" i="4"/>
  <c r="N980" i="4"/>
  <c r="M980" i="4"/>
  <c r="L980" i="4"/>
  <c r="K980" i="4"/>
  <c r="J980" i="4"/>
  <c r="I980" i="4"/>
  <c r="H980" i="4"/>
  <c r="G980" i="4"/>
  <c r="F980" i="4"/>
  <c r="E980" i="4"/>
  <c r="D980" i="4"/>
  <c r="C980" i="4"/>
  <c r="B980" i="4"/>
  <c r="A980" i="4"/>
  <c r="N979" i="4"/>
  <c r="M979" i="4"/>
  <c r="L979" i="4"/>
  <c r="K979" i="4"/>
  <c r="J979" i="4"/>
  <c r="I979" i="4"/>
  <c r="H979" i="4"/>
  <c r="G979" i="4"/>
  <c r="F979" i="4"/>
  <c r="E979" i="4"/>
  <c r="D979" i="4"/>
  <c r="C979" i="4"/>
  <c r="B979" i="4"/>
  <c r="A979" i="4"/>
  <c r="N978" i="4"/>
  <c r="M978" i="4"/>
  <c r="L978" i="4"/>
  <c r="K978" i="4"/>
  <c r="J978" i="4"/>
  <c r="I978" i="4"/>
  <c r="H978" i="4"/>
  <c r="G978" i="4"/>
  <c r="F978" i="4"/>
  <c r="E978" i="4"/>
  <c r="D978" i="4"/>
  <c r="C978" i="4"/>
  <c r="B978" i="4"/>
  <c r="A978" i="4"/>
  <c r="N977" i="4"/>
  <c r="M977" i="4"/>
  <c r="L977" i="4"/>
  <c r="K977" i="4"/>
  <c r="J977" i="4"/>
  <c r="I977" i="4"/>
  <c r="H977" i="4"/>
  <c r="G977" i="4"/>
  <c r="F977" i="4"/>
  <c r="E977" i="4"/>
  <c r="D977" i="4"/>
  <c r="C977" i="4"/>
  <c r="B977" i="4"/>
  <c r="A977" i="4"/>
  <c r="N976" i="4"/>
  <c r="M976" i="4"/>
  <c r="L976" i="4"/>
  <c r="K976" i="4"/>
  <c r="J976" i="4"/>
  <c r="I976" i="4"/>
  <c r="H976" i="4"/>
  <c r="G976" i="4"/>
  <c r="F976" i="4"/>
  <c r="E976" i="4"/>
  <c r="D976" i="4"/>
  <c r="C976" i="4"/>
  <c r="B976" i="4"/>
  <c r="A976" i="4"/>
  <c r="N975" i="4"/>
  <c r="M975" i="4"/>
  <c r="L975" i="4"/>
  <c r="K975" i="4"/>
  <c r="J975" i="4"/>
  <c r="I975" i="4"/>
  <c r="H975" i="4"/>
  <c r="G975" i="4"/>
  <c r="F975" i="4"/>
  <c r="E975" i="4"/>
  <c r="D975" i="4"/>
  <c r="C975" i="4"/>
  <c r="B975" i="4"/>
  <c r="A975" i="4"/>
  <c r="N974" i="4"/>
  <c r="M974" i="4"/>
  <c r="L974" i="4"/>
  <c r="K974" i="4"/>
  <c r="J974" i="4"/>
  <c r="I974" i="4"/>
  <c r="H974" i="4"/>
  <c r="G974" i="4"/>
  <c r="F974" i="4"/>
  <c r="E974" i="4"/>
  <c r="D974" i="4"/>
  <c r="C974" i="4"/>
  <c r="B974" i="4"/>
  <c r="A974" i="4"/>
  <c r="N973" i="4"/>
  <c r="M973" i="4"/>
  <c r="L973" i="4"/>
  <c r="K973" i="4"/>
  <c r="J973" i="4"/>
  <c r="I973" i="4"/>
  <c r="H973" i="4"/>
  <c r="G973" i="4"/>
  <c r="F973" i="4"/>
  <c r="E973" i="4"/>
  <c r="D973" i="4"/>
  <c r="C973" i="4"/>
  <c r="B973" i="4"/>
  <c r="A973" i="4"/>
  <c r="N972" i="4"/>
  <c r="M972" i="4"/>
  <c r="L972" i="4"/>
  <c r="K972" i="4"/>
  <c r="J972" i="4"/>
  <c r="I972" i="4"/>
  <c r="H972" i="4"/>
  <c r="G972" i="4"/>
  <c r="F972" i="4"/>
  <c r="E972" i="4"/>
  <c r="D972" i="4"/>
  <c r="C972" i="4"/>
  <c r="B972" i="4"/>
  <c r="A972" i="4"/>
  <c r="N971" i="4"/>
  <c r="M971" i="4"/>
  <c r="L971" i="4"/>
  <c r="K971" i="4"/>
  <c r="J971" i="4"/>
  <c r="I971" i="4"/>
  <c r="H971" i="4"/>
  <c r="G971" i="4"/>
  <c r="F971" i="4"/>
  <c r="E971" i="4"/>
  <c r="D971" i="4"/>
  <c r="C971" i="4"/>
  <c r="B971" i="4"/>
  <c r="A971" i="4"/>
  <c r="N970" i="4"/>
  <c r="M970" i="4"/>
  <c r="L970" i="4"/>
  <c r="K970" i="4"/>
  <c r="J970" i="4"/>
  <c r="I970" i="4"/>
  <c r="H970" i="4"/>
  <c r="G970" i="4"/>
  <c r="F970" i="4"/>
  <c r="E970" i="4"/>
  <c r="D970" i="4"/>
  <c r="C970" i="4"/>
  <c r="B970" i="4"/>
  <c r="A970" i="4"/>
  <c r="N969" i="4"/>
  <c r="M969" i="4"/>
  <c r="L969" i="4"/>
  <c r="K969" i="4"/>
  <c r="J969" i="4"/>
  <c r="I969" i="4"/>
  <c r="H969" i="4"/>
  <c r="G969" i="4"/>
  <c r="F969" i="4"/>
  <c r="E969" i="4"/>
  <c r="D969" i="4"/>
  <c r="C969" i="4"/>
  <c r="B969" i="4"/>
  <c r="A969" i="4"/>
  <c r="N968" i="4"/>
  <c r="M968" i="4"/>
  <c r="L968" i="4"/>
  <c r="K968" i="4"/>
  <c r="J968" i="4"/>
  <c r="I968" i="4"/>
  <c r="H968" i="4"/>
  <c r="G968" i="4"/>
  <c r="F968" i="4"/>
  <c r="E968" i="4"/>
  <c r="D968" i="4"/>
  <c r="C968" i="4"/>
  <c r="B968" i="4"/>
  <c r="A968" i="4"/>
  <c r="N967" i="4"/>
  <c r="M967" i="4"/>
  <c r="L967" i="4"/>
  <c r="K967" i="4"/>
  <c r="J967" i="4"/>
  <c r="I967" i="4"/>
  <c r="H967" i="4"/>
  <c r="G967" i="4"/>
  <c r="F967" i="4"/>
  <c r="E967" i="4"/>
  <c r="D967" i="4"/>
  <c r="C967" i="4"/>
  <c r="B967" i="4"/>
  <c r="A967" i="4"/>
  <c r="N966" i="4"/>
  <c r="M966" i="4"/>
  <c r="L966" i="4"/>
  <c r="K966" i="4"/>
  <c r="J966" i="4"/>
  <c r="I966" i="4"/>
  <c r="H966" i="4"/>
  <c r="G966" i="4"/>
  <c r="F966" i="4"/>
  <c r="E966" i="4"/>
  <c r="D966" i="4"/>
  <c r="C966" i="4"/>
  <c r="B966" i="4"/>
  <c r="A966" i="4"/>
  <c r="N965" i="4"/>
  <c r="M965" i="4"/>
  <c r="L965" i="4"/>
  <c r="K965" i="4"/>
  <c r="J965" i="4"/>
  <c r="I965" i="4"/>
  <c r="H965" i="4"/>
  <c r="G965" i="4"/>
  <c r="F965" i="4"/>
  <c r="E965" i="4"/>
  <c r="D965" i="4"/>
  <c r="C965" i="4"/>
  <c r="B965" i="4"/>
  <c r="A965" i="4"/>
  <c r="N964" i="4"/>
  <c r="M964" i="4"/>
  <c r="L964" i="4"/>
  <c r="K964" i="4"/>
  <c r="J964" i="4"/>
  <c r="I964" i="4"/>
  <c r="H964" i="4"/>
  <c r="G964" i="4"/>
  <c r="F964" i="4"/>
  <c r="E964" i="4"/>
  <c r="D964" i="4"/>
  <c r="C964" i="4"/>
  <c r="B964" i="4"/>
  <c r="A964" i="4"/>
  <c r="N963" i="4"/>
  <c r="M963" i="4"/>
  <c r="L963" i="4"/>
  <c r="K963" i="4"/>
  <c r="J963" i="4"/>
  <c r="I963" i="4"/>
  <c r="H963" i="4"/>
  <c r="G963" i="4"/>
  <c r="F963" i="4"/>
  <c r="E963" i="4"/>
  <c r="D963" i="4"/>
  <c r="C963" i="4"/>
  <c r="B963" i="4"/>
  <c r="A963" i="4"/>
  <c r="N962" i="4"/>
  <c r="M962" i="4"/>
  <c r="L962" i="4"/>
  <c r="K962" i="4"/>
  <c r="J962" i="4"/>
  <c r="I962" i="4"/>
  <c r="H962" i="4"/>
  <c r="G962" i="4"/>
  <c r="F962" i="4"/>
  <c r="E962" i="4"/>
  <c r="D962" i="4"/>
  <c r="C962" i="4"/>
  <c r="B962" i="4"/>
  <c r="A962" i="4"/>
  <c r="N961" i="4"/>
  <c r="M961" i="4"/>
  <c r="L961" i="4"/>
  <c r="K961" i="4"/>
  <c r="J961" i="4"/>
  <c r="I961" i="4"/>
  <c r="H961" i="4"/>
  <c r="G961" i="4"/>
  <c r="F961" i="4"/>
  <c r="E961" i="4"/>
  <c r="D961" i="4"/>
  <c r="C961" i="4"/>
  <c r="B961" i="4"/>
  <c r="A961" i="4"/>
  <c r="N960" i="4"/>
  <c r="M960" i="4"/>
  <c r="L960" i="4"/>
  <c r="K960" i="4"/>
  <c r="J960" i="4"/>
  <c r="I960" i="4"/>
  <c r="H960" i="4"/>
  <c r="G960" i="4"/>
  <c r="F960" i="4"/>
  <c r="E960" i="4"/>
  <c r="D960" i="4"/>
  <c r="C960" i="4"/>
  <c r="B960" i="4"/>
  <c r="A960" i="4"/>
  <c r="N959" i="4"/>
  <c r="M959" i="4"/>
  <c r="L959" i="4"/>
  <c r="K959" i="4"/>
  <c r="J959" i="4"/>
  <c r="I959" i="4"/>
  <c r="H959" i="4"/>
  <c r="G959" i="4"/>
  <c r="F959" i="4"/>
  <c r="E959" i="4"/>
  <c r="D959" i="4"/>
  <c r="C959" i="4"/>
  <c r="B959" i="4"/>
  <c r="A959" i="4"/>
  <c r="N958" i="4"/>
  <c r="M958" i="4"/>
  <c r="L958" i="4"/>
  <c r="K958" i="4"/>
  <c r="J958" i="4"/>
  <c r="I958" i="4"/>
  <c r="H958" i="4"/>
  <c r="G958" i="4"/>
  <c r="F958" i="4"/>
  <c r="E958" i="4"/>
  <c r="D958" i="4"/>
  <c r="C958" i="4"/>
  <c r="B958" i="4"/>
  <c r="A958" i="4"/>
  <c r="N957" i="4"/>
  <c r="M957" i="4"/>
  <c r="L957" i="4"/>
  <c r="K957" i="4"/>
  <c r="J957" i="4"/>
  <c r="I957" i="4"/>
  <c r="H957" i="4"/>
  <c r="G957" i="4"/>
  <c r="F957" i="4"/>
  <c r="E957" i="4"/>
  <c r="D957" i="4"/>
  <c r="C957" i="4"/>
  <c r="B957" i="4"/>
  <c r="A957" i="4"/>
  <c r="N956" i="4"/>
  <c r="M956" i="4"/>
  <c r="L956" i="4"/>
  <c r="K956" i="4"/>
  <c r="J956" i="4"/>
  <c r="I956" i="4"/>
  <c r="H956" i="4"/>
  <c r="G956" i="4"/>
  <c r="F956" i="4"/>
  <c r="E956" i="4"/>
  <c r="D956" i="4"/>
  <c r="C956" i="4"/>
  <c r="B956" i="4"/>
  <c r="A956" i="4"/>
  <c r="N955" i="4"/>
  <c r="M955" i="4"/>
  <c r="L955" i="4"/>
  <c r="K955" i="4"/>
  <c r="J955" i="4"/>
  <c r="I955" i="4"/>
  <c r="H955" i="4"/>
  <c r="G955" i="4"/>
  <c r="F955" i="4"/>
  <c r="E955" i="4"/>
  <c r="D955" i="4"/>
  <c r="C955" i="4"/>
  <c r="B955" i="4"/>
  <c r="A955" i="4"/>
  <c r="N954" i="4"/>
  <c r="M954" i="4"/>
  <c r="L954" i="4"/>
  <c r="K954" i="4"/>
  <c r="J954" i="4"/>
  <c r="I954" i="4"/>
  <c r="H954" i="4"/>
  <c r="G954" i="4"/>
  <c r="F954" i="4"/>
  <c r="E954" i="4"/>
  <c r="D954" i="4"/>
  <c r="C954" i="4"/>
  <c r="B954" i="4"/>
  <c r="A954" i="4"/>
  <c r="N953" i="4"/>
  <c r="M953" i="4"/>
  <c r="L953" i="4"/>
  <c r="K953" i="4"/>
  <c r="J953" i="4"/>
  <c r="I953" i="4"/>
  <c r="H953" i="4"/>
  <c r="G953" i="4"/>
  <c r="F953" i="4"/>
  <c r="E953" i="4"/>
  <c r="D953" i="4"/>
  <c r="C953" i="4"/>
  <c r="B953" i="4"/>
  <c r="A953" i="4"/>
  <c r="N952" i="4"/>
  <c r="M952" i="4"/>
  <c r="L952" i="4"/>
  <c r="K952" i="4"/>
  <c r="J952" i="4"/>
  <c r="I952" i="4"/>
  <c r="H952" i="4"/>
  <c r="G952" i="4"/>
  <c r="F952" i="4"/>
  <c r="E952" i="4"/>
  <c r="D952" i="4"/>
  <c r="C952" i="4"/>
  <c r="B952" i="4"/>
  <c r="A952" i="4"/>
  <c r="N951" i="4"/>
  <c r="M951" i="4"/>
  <c r="L951" i="4"/>
  <c r="K951" i="4"/>
  <c r="J951" i="4"/>
  <c r="I951" i="4"/>
  <c r="H951" i="4"/>
  <c r="G951" i="4"/>
  <c r="F951" i="4"/>
  <c r="E951" i="4"/>
  <c r="D951" i="4"/>
  <c r="C951" i="4"/>
  <c r="B951" i="4"/>
  <c r="A951" i="4"/>
  <c r="N950" i="4"/>
  <c r="M950" i="4"/>
  <c r="L950" i="4"/>
  <c r="K950" i="4"/>
  <c r="J950" i="4"/>
  <c r="I950" i="4"/>
  <c r="H950" i="4"/>
  <c r="G950" i="4"/>
  <c r="F950" i="4"/>
  <c r="E950" i="4"/>
  <c r="D950" i="4"/>
  <c r="C950" i="4"/>
  <c r="B950" i="4"/>
  <c r="A950" i="4"/>
  <c r="N949" i="4"/>
  <c r="M949" i="4"/>
  <c r="L949" i="4"/>
  <c r="K949" i="4"/>
  <c r="J949" i="4"/>
  <c r="I949" i="4"/>
  <c r="H949" i="4"/>
  <c r="G949" i="4"/>
  <c r="F949" i="4"/>
  <c r="E949" i="4"/>
  <c r="D949" i="4"/>
  <c r="C949" i="4"/>
  <c r="B949" i="4"/>
  <c r="A949" i="4"/>
  <c r="N948" i="4"/>
  <c r="M948" i="4"/>
  <c r="L948" i="4"/>
  <c r="K948" i="4"/>
  <c r="J948" i="4"/>
  <c r="I948" i="4"/>
  <c r="H948" i="4"/>
  <c r="G948" i="4"/>
  <c r="F948" i="4"/>
  <c r="E948" i="4"/>
  <c r="D948" i="4"/>
  <c r="C948" i="4"/>
  <c r="B948" i="4"/>
  <c r="A948" i="4"/>
  <c r="N947" i="4"/>
  <c r="M947" i="4"/>
  <c r="L947" i="4"/>
  <c r="K947" i="4"/>
  <c r="J947" i="4"/>
  <c r="I947" i="4"/>
  <c r="H947" i="4"/>
  <c r="G947" i="4"/>
  <c r="F947" i="4"/>
  <c r="E947" i="4"/>
  <c r="D947" i="4"/>
  <c r="C947" i="4"/>
  <c r="B947" i="4"/>
  <c r="A947" i="4"/>
  <c r="N946" i="4"/>
  <c r="M946" i="4"/>
  <c r="L946" i="4"/>
  <c r="K946" i="4"/>
  <c r="J946" i="4"/>
  <c r="I946" i="4"/>
  <c r="H946" i="4"/>
  <c r="G946" i="4"/>
  <c r="F946" i="4"/>
  <c r="E946" i="4"/>
  <c r="D946" i="4"/>
  <c r="C946" i="4"/>
  <c r="B946" i="4"/>
  <c r="A946" i="4"/>
  <c r="N945" i="4"/>
  <c r="M945" i="4"/>
  <c r="L945" i="4"/>
  <c r="K945" i="4"/>
  <c r="J945" i="4"/>
  <c r="I945" i="4"/>
  <c r="H945" i="4"/>
  <c r="G945" i="4"/>
  <c r="F945" i="4"/>
  <c r="E945" i="4"/>
  <c r="D945" i="4"/>
  <c r="C945" i="4"/>
  <c r="B945" i="4"/>
  <c r="A945" i="4"/>
  <c r="N944" i="4"/>
  <c r="M944" i="4"/>
  <c r="L944" i="4"/>
  <c r="K944" i="4"/>
  <c r="J944" i="4"/>
  <c r="I944" i="4"/>
  <c r="H944" i="4"/>
  <c r="G944" i="4"/>
  <c r="F944" i="4"/>
  <c r="E944" i="4"/>
  <c r="D944" i="4"/>
  <c r="C944" i="4"/>
  <c r="B944" i="4"/>
  <c r="A944" i="4"/>
  <c r="N943" i="4"/>
  <c r="M943" i="4"/>
  <c r="L943" i="4"/>
  <c r="K943" i="4"/>
  <c r="J943" i="4"/>
  <c r="I943" i="4"/>
  <c r="H943" i="4"/>
  <c r="G943" i="4"/>
  <c r="F943" i="4"/>
  <c r="E943" i="4"/>
  <c r="D943" i="4"/>
  <c r="C943" i="4"/>
  <c r="B943" i="4"/>
  <c r="A943" i="4"/>
  <c r="N942" i="4"/>
  <c r="M942" i="4"/>
  <c r="L942" i="4"/>
  <c r="K942" i="4"/>
  <c r="J942" i="4"/>
  <c r="I942" i="4"/>
  <c r="H942" i="4"/>
  <c r="G942" i="4"/>
  <c r="F942" i="4"/>
  <c r="E942" i="4"/>
  <c r="D942" i="4"/>
  <c r="C942" i="4"/>
  <c r="B942" i="4"/>
  <c r="A942" i="4"/>
  <c r="N941" i="4"/>
  <c r="M941" i="4"/>
  <c r="L941" i="4"/>
  <c r="K941" i="4"/>
  <c r="J941" i="4"/>
  <c r="I941" i="4"/>
  <c r="H941" i="4"/>
  <c r="G941" i="4"/>
  <c r="F941" i="4"/>
  <c r="E941" i="4"/>
  <c r="D941" i="4"/>
  <c r="C941" i="4"/>
  <c r="B941" i="4"/>
  <c r="A941" i="4"/>
  <c r="N940" i="4"/>
  <c r="M940" i="4"/>
  <c r="L940" i="4"/>
  <c r="K940" i="4"/>
  <c r="J940" i="4"/>
  <c r="I940" i="4"/>
  <c r="H940" i="4"/>
  <c r="G940" i="4"/>
  <c r="F940" i="4"/>
  <c r="E940" i="4"/>
  <c r="D940" i="4"/>
  <c r="C940" i="4"/>
  <c r="B940" i="4"/>
  <c r="A940" i="4"/>
  <c r="N939" i="4"/>
  <c r="M939" i="4"/>
  <c r="L939" i="4"/>
  <c r="K939" i="4"/>
  <c r="J939" i="4"/>
  <c r="I939" i="4"/>
  <c r="H939" i="4"/>
  <c r="G939" i="4"/>
  <c r="F939" i="4"/>
  <c r="E939" i="4"/>
  <c r="D939" i="4"/>
  <c r="C939" i="4"/>
  <c r="B939" i="4"/>
  <c r="A939" i="4"/>
  <c r="N938" i="4"/>
  <c r="M938" i="4"/>
  <c r="L938" i="4"/>
  <c r="K938" i="4"/>
  <c r="J938" i="4"/>
  <c r="I938" i="4"/>
  <c r="H938" i="4"/>
  <c r="G938" i="4"/>
  <c r="F938" i="4"/>
  <c r="E938" i="4"/>
  <c r="D938" i="4"/>
  <c r="C938" i="4"/>
  <c r="B938" i="4"/>
  <c r="A938" i="4"/>
  <c r="N937" i="4"/>
  <c r="M937" i="4"/>
  <c r="L937" i="4"/>
  <c r="K937" i="4"/>
  <c r="J937" i="4"/>
  <c r="I937" i="4"/>
  <c r="H937" i="4"/>
  <c r="G937" i="4"/>
  <c r="F937" i="4"/>
  <c r="E937" i="4"/>
  <c r="D937" i="4"/>
  <c r="C937" i="4"/>
  <c r="B937" i="4"/>
  <c r="A937" i="4"/>
  <c r="N936" i="4"/>
  <c r="M936" i="4"/>
  <c r="L936" i="4"/>
  <c r="K936" i="4"/>
  <c r="J936" i="4"/>
  <c r="I936" i="4"/>
  <c r="H936" i="4"/>
  <c r="G936" i="4"/>
  <c r="F936" i="4"/>
  <c r="E936" i="4"/>
  <c r="D936" i="4"/>
  <c r="C936" i="4"/>
  <c r="B936" i="4"/>
  <c r="A936" i="4"/>
  <c r="N935" i="4"/>
  <c r="M935" i="4"/>
  <c r="L935" i="4"/>
  <c r="K935" i="4"/>
  <c r="J935" i="4"/>
  <c r="I935" i="4"/>
  <c r="H935" i="4"/>
  <c r="G935" i="4"/>
  <c r="F935" i="4"/>
  <c r="E935" i="4"/>
  <c r="D935" i="4"/>
  <c r="C935" i="4"/>
  <c r="B935" i="4"/>
  <c r="A935" i="4"/>
  <c r="N934" i="4"/>
  <c r="M934" i="4"/>
  <c r="L934" i="4"/>
  <c r="K934" i="4"/>
  <c r="J934" i="4"/>
  <c r="I934" i="4"/>
  <c r="H934" i="4"/>
  <c r="G934" i="4"/>
  <c r="F934" i="4"/>
  <c r="E934" i="4"/>
  <c r="D934" i="4"/>
  <c r="C934" i="4"/>
  <c r="B934" i="4"/>
  <c r="A934" i="4"/>
  <c r="N933" i="4"/>
  <c r="M933" i="4"/>
  <c r="L933" i="4"/>
  <c r="K933" i="4"/>
  <c r="J933" i="4"/>
  <c r="I933" i="4"/>
  <c r="H933" i="4"/>
  <c r="G933" i="4"/>
  <c r="F933" i="4"/>
  <c r="E933" i="4"/>
  <c r="D933" i="4"/>
  <c r="C933" i="4"/>
  <c r="B933" i="4"/>
  <c r="A933" i="4"/>
  <c r="N932" i="4"/>
  <c r="M932" i="4"/>
  <c r="L932" i="4"/>
  <c r="K932" i="4"/>
  <c r="J932" i="4"/>
  <c r="I932" i="4"/>
  <c r="H932" i="4"/>
  <c r="G932" i="4"/>
  <c r="F932" i="4"/>
  <c r="E932" i="4"/>
  <c r="D932" i="4"/>
  <c r="C932" i="4"/>
  <c r="B932" i="4"/>
  <c r="A932" i="4"/>
  <c r="N931" i="4"/>
  <c r="M931" i="4"/>
  <c r="L931" i="4"/>
  <c r="K931" i="4"/>
  <c r="J931" i="4"/>
  <c r="I931" i="4"/>
  <c r="H931" i="4"/>
  <c r="G931" i="4"/>
  <c r="F931" i="4"/>
  <c r="E931" i="4"/>
  <c r="D931" i="4"/>
  <c r="C931" i="4"/>
  <c r="B931" i="4"/>
  <c r="A931" i="4"/>
  <c r="N930" i="4"/>
  <c r="M930" i="4"/>
  <c r="L930" i="4"/>
  <c r="K930" i="4"/>
  <c r="J930" i="4"/>
  <c r="I930" i="4"/>
  <c r="H930" i="4"/>
  <c r="G930" i="4"/>
  <c r="F930" i="4"/>
  <c r="E930" i="4"/>
  <c r="D930" i="4"/>
  <c r="C930" i="4"/>
  <c r="B930" i="4"/>
  <c r="A930" i="4"/>
  <c r="N929" i="4"/>
  <c r="M929" i="4"/>
  <c r="L929" i="4"/>
  <c r="K929" i="4"/>
  <c r="J929" i="4"/>
  <c r="I929" i="4"/>
  <c r="H929" i="4"/>
  <c r="G929" i="4"/>
  <c r="F929" i="4"/>
  <c r="E929" i="4"/>
  <c r="D929" i="4"/>
  <c r="C929" i="4"/>
  <c r="B929" i="4"/>
  <c r="A929" i="4"/>
  <c r="N928" i="4"/>
  <c r="M928" i="4"/>
  <c r="L928" i="4"/>
  <c r="K928" i="4"/>
  <c r="J928" i="4"/>
  <c r="I928" i="4"/>
  <c r="H928" i="4"/>
  <c r="G928" i="4"/>
  <c r="F928" i="4"/>
  <c r="E928" i="4"/>
  <c r="D928" i="4"/>
  <c r="C928" i="4"/>
  <c r="B928" i="4"/>
  <c r="A928" i="4"/>
  <c r="N927" i="4"/>
  <c r="M927" i="4"/>
  <c r="L927" i="4"/>
  <c r="K927" i="4"/>
  <c r="J927" i="4"/>
  <c r="I927" i="4"/>
  <c r="H927" i="4"/>
  <c r="G927" i="4"/>
  <c r="F927" i="4"/>
  <c r="E927" i="4"/>
  <c r="D927" i="4"/>
  <c r="C927" i="4"/>
  <c r="B927" i="4"/>
  <c r="A927" i="4"/>
  <c r="N926" i="4"/>
  <c r="M926" i="4"/>
  <c r="L926" i="4"/>
  <c r="K926" i="4"/>
  <c r="J926" i="4"/>
  <c r="I926" i="4"/>
  <c r="H926" i="4"/>
  <c r="G926" i="4"/>
  <c r="F926" i="4"/>
  <c r="E926" i="4"/>
  <c r="D926" i="4"/>
  <c r="C926" i="4"/>
  <c r="B926" i="4"/>
  <c r="A926" i="4"/>
  <c r="N925" i="4"/>
  <c r="M925" i="4"/>
  <c r="L925" i="4"/>
  <c r="K925" i="4"/>
  <c r="J925" i="4"/>
  <c r="I925" i="4"/>
  <c r="H925" i="4"/>
  <c r="G925" i="4"/>
  <c r="F925" i="4"/>
  <c r="E925" i="4"/>
  <c r="D925" i="4"/>
  <c r="C925" i="4"/>
  <c r="B925" i="4"/>
  <c r="A925" i="4"/>
  <c r="N924" i="4"/>
  <c r="M924" i="4"/>
  <c r="L924" i="4"/>
  <c r="K924" i="4"/>
  <c r="J924" i="4"/>
  <c r="I924" i="4"/>
  <c r="H924" i="4"/>
  <c r="G924" i="4"/>
  <c r="F924" i="4"/>
  <c r="E924" i="4"/>
  <c r="D924" i="4"/>
  <c r="C924" i="4"/>
  <c r="B924" i="4"/>
  <c r="A924" i="4"/>
  <c r="N923" i="4"/>
  <c r="M923" i="4"/>
  <c r="L923" i="4"/>
  <c r="K923" i="4"/>
  <c r="J923" i="4"/>
  <c r="I923" i="4"/>
  <c r="H923" i="4"/>
  <c r="G923" i="4"/>
  <c r="F923" i="4"/>
  <c r="E923" i="4"/>
  <c r="D923" i="4"/>
  <c r="C923" i="4"/>
  <c r="B923" i="4"/>
  <c r="A923" i="4"/>
  <c r="N922" i="4"/>
  <c r="M922" i="4"/>
  <c r="L922" i="4"/>
  <c r="K922" i="4"/>
  <c r="J922" i="4"/>
  <c r="I922" i="4"/>
  <c r="H922" i="4"/>
  <c r="G922" i="4"/>
  <c r="F922" i="4"/>
  <c r="E922" i="4"/>
  <c r="D922" i="4"/>
  <c r="C922" i="4"/>
  <c r="B922" i="4"/>
  <c r="A922" i="4"/>
  <c r="N921" i="4"/>
  <c r="M921" i="4"/>
  <c r="L921" i="4"/>
  <c r="K921" i="4"/>
  <c r="J921" i="4"/>
  <c r="I921" i="4"/>
  <c r="H921" i="4"/>
  <c r="G921" i="4"/>
  <c r="F921" i="4"/>
  <c r="E921" i="4"/>
  <c r="D921" i="4"/>
  <c r="C921" i="4"/>
  <c r="B921" i="4"/>
  <c r="A921" i="4"/>
  <c r="N920" i="4"/>
  <c r="M920" i="4"/>
  <c r="L920" i="4"/>
  <c r="K920" i="4"/>
  <c r="J920" i="4"/>
  <c r="I920" i="4"/>
  <c r="H920" i="4"/>
  <c r="G920" i="4"/>
  <c r="F920" i="4"/>
  <c r="E920" i="4"/>
  <c r="D920" i="4"/>
  <c r="C920" i="4"/>
  <c r="B920" i="4"/>
  <c r="A920" i="4"/>
  <c r="N919" i="4"/>
  <c r="M919" i="4"/>
  <c r="L919" i="4"/>
  <c r="K919" i="4"/>
  <c r="J919" i="4"/>
  <c r="I919" i="4"/>
  <c r="H919" i="4"/>
  <c r="G919" i="4"/>
  <c r="F919" i="4"/>
  <c r="E919" i="4"/>
  <c r="D919" i="4"/>
  <c r="C919" i="4"/>
  <c r="B919" i="4"/>
  <c r="A919" i="4"/>
  <c r="N918" i="4"/>
  <c r="M918" i="4"/>
  <c r="L918" i="4"/>
  <c r="K918" i="4"/>
  <c r="J918" i="4"/>
  <c r="I918" i="4"/>
  <c r="H918" i="4"/>
  <c r="G918" i="4"/>
  <c r="F918" i="4"/>
  <c r="E918" i="4"/>
  <c r="D918" i="4"/>
  <c r="C918" i="4"/>
  <c r="B918" i="4"/>
  <c r="A918" i="4"/>
  <c r="N917" i="4"/>
  <c r="M917" i="4"/>
  <c r="L917" i="4"/>
  <c r="K917" i="4"/>
  <c r="J917" i="4"/>
  <c r="I917" i="4"/>
  <c r="H917" i="4"/>
  <c r="G917" i="4"/>
  <c r="F917" i="4"/>
  <c r="E917" i="4"/>
  <c r="D917" i="4"/>
  <c r="C917" i="4"/>
  <c r="B917" i="4"/>
  <c r="A917" i="4"/>
  <c r="N916" i="4"/>
  <c r="M916" i="4"/>
  <c r="L916" i="4"/>
  <c r="K916" i="4"/>
  <c r="J916" i="4"/>
  <c r="I916" i="4"/>
  <c r="H916" i="4"/>
  <c r="G916" i="4"/>
  <c r="F916" i="4"/>
  <c r="E916" i="4"/>
  <c r="D916" i="4"/>
  <c r="C916" i="4"/>
  <c r="B916" i="4"/>
  <c r="A916" i="4"/>
  <c r="N915" i="4"/>
  <c r="M915" i="4"/>
  <c r="L915" i="4"/>
  <c r="K915" i="4"/>
  <c r="J915" i="4"/>
  <c r="I915" i="4"/>
  <c r="H915" i="4"/>
  <c r="G915" i="4"/>
  <c r="F915" i="4"/>
  <c r="E915" i="4"/>
  <c r="D915" i="4"/>
  <c r="C915" i="4"/>
  <c r="B915" i="4"/>
  <c r="A915" i="4"/>
  <c r="N914" i="4"/>
  <c r="M914" i="4"/>
  <c r="L914" i="4"/>
  <c r="K914" i="4"/>
  <c r="J914" i="4"/>
  <c r="I914" i="4"/>
  <c r="H914" i="4"/>
  <c r="G914" i="4"/>
  <c r="F914" i="4"/>
  <c r="E914" i="4"/>
  <c r="D914" i="4"/>
  <c r="C914" i="4"/>
  <c r="B914" i="4"/>
  <c r="A914" i="4"/>
  <c r="N913" i="4"/>
  <c r="M913" i="4"/>
  <c r="L913" i="4"/>
  <c r="K913" i="4"/>
  <c r="J913" i="4"/>
  <c r="I913" i="4"/>
  <c r="H913" i="4"/>
  <c r="G913" i="4"/>
  <c r="F913" i="4"/>
  <c r="E913" i="4"/>
  <c r="D913" i="4"/>
  <c r="C913" i="4"/>
  <c r="B913" i="4"/>
  <c r="A913" i="4"/>
  <c r="N912" i="4"/>
  <c r="M912" i="4"/>
  <c r="L912" i="4"/>
  <c r="K912" i="4"/>
  <c r="J912" i="4"/>
  <c r="I912" i="4"/>
  <c r="H912" i="4"/>
  <c r="G912" i="4"/>
  <c r="F912" i="4"/>
  <c r="E912" i="4"/>
  <c r="D912" i="4"/>
  <c r="C912" i="4"/>
  <c r="B912" i="4"/>
  <c r="A912" i="4"/>
  <c r="N911" i="4"/>
  <c r="M911" i="4"/>
  <c r="L911" i="4"/>
  <c r="K911" i="4"/>
  <c r="J911" i="4"/>
  <c r="I911" i="4"/>
  <c r="H911" i="4"/>
  <c r="G911" i="4"/>
  <c r="F911" i="4"/>
  <c r="E911" i="4"/>
  <c r="D911" i="4"/>
  <c r="C911" i="4"/>
  <c r="B911" i="4"/>
  <c r="A911" i="4"/>
  <c r="N910" i="4"/>
  <c r="M910" i="4"/>
  <c r="L910" i="4"/>
  <c r="K910" i="4"/>
  <c r="J910" i="4"/>
  <c r="I910" i="4"/>
  <c r="H910" i="4"/>
  <c r="G910" i="4"/>
  <c r="F910" i="4"/>
  <c r="E910" i="4"/>
  <c r="D910" i="4"/>
  <c r="C910" i="4"/>
  <c r="B910" i="4"/>
  <c r="A910" i="4"/>
  <c r="N909" i="4"/>
  <c r="M909" i="4"/>
  <c r="L909" i="4"/>
  <c r="K909" i="4"/>
  <c r="J909" i="4"/>
  <c r="I909" i="4"/>
  <c r="H909" i="4"/>
  <c r="G909" i="4"/>
  <c r="F909" i="4"/>
  <c r="E909" i="4"/>
  <c r="D909" i="4"/>
  <c r="C909" i="4"/>
  <c r="B909" i="4"/>
  <c r="A909" i="4"/>
  <c r="N908" i="4"/>
  <c r="M908" i="4"/>
  <c r="L908" i="4"/>
  <c r="K908" i="4"/>
  <c r="J908" i="4"/>
  <c r="I908" i="4"/>
  <c r="H908" i="4"/>
  <c r="G908" i="4"/>
  <c r="F908" i="4"/>
  <c r="E908" i="4"/>
  <c r="D908" i="4"/>
  <c r="C908" i="4"/>
  <c r="B908" i="4"/>
  <c r="A908" i="4"/>
  <c r="N907" i="4"/>
  <c r="M907" i="4"/>
  <c r="L907" i="4"/>
  <c r="K907" i="4"/>
  <c r="J907" i="4"/>
  <c r="I907" i="4"/>
  <c r="H907" i="4"/>
  <c r="G907" i="4"/>
  <c r="F907" i="4"/>
  <c r="E907" i="4"/>
  <c r="D907" i="4"/>
  <c r="C907" i="4"/>
  <c r="B907" i="4"/>
  <c r="A907" i="4"/>
  <c r="N906" i="4"/>
  <c r="M906" i="4"/>
  <c r="L906" i="4"/>
  <c r="K906" i="4"/>
  <c r="J906" i="4"/>
  <c r="I906" i="4"/>
  <c r="H906" i="4"/>
  <c r="G906" i="4"/>
  <c r="F906" i="4"/>
  <c r="E906" i="4"/>
  <c r="D906" i="4"/>
  <c r="C906" i="4"/>
  <c r="B906" i="4"/>
  <c r="A906" i="4"/>
  <c r="N905" i="4"/>
  <c r="M905" i="4"/>
  <c r="L905" i="4"/>
  <c r="K905" i="4"/>
  <c r="J905" i="4"/>
  <c r="I905" i="4"/>
  <c r="H905" i="4"/>
  <c r="G905" i="4"/>
  <c r="F905" i="4"/>
  <c r="E905" i="4"/>
  <c r="D905" i="4"/>
  <c r="C905" i="4"/>
  <c r="B905" i="4"/>
  <c r="A905" i="4"/>
  <c r="N904" i="4"/>
  <c r="M904" i="4"/>
  <c r="L904" i="4"/>
  <c r="K904" i="4"/>
  <c r="J904" i="4"/>
  <c r="I904" i="4"/>
  <c r="H904" i="4"/>
  <c r="G904" i="4"/>
  <c r="F904" i="4"/>
  <c r="E904" i="4"/>
  <c r="D904" i="4"/>
  <c r="C904" i="4"/>
  <c r="B904" i="4"/>
  <c r="A904" i="4"/>
  <c r="N903" i="4"/>
  <c r="M903" i="4"/>
  <c r="L903" i="4"/>
  <c r="K903" i="4"/>
  <c r="J903" i="4"/>
  <c r="I903" i="4"/>
  <c r="H903" i="4"/>
  <c r="G903" i="4"/>
  <c r="F903" i="4"/>
  <c r="E903" i="4"/>
  <c r="D903" i="4"/>
  <c r="C903" i="4"/>
  <c r="B903" i="4"/>
  <c r="A903" i="4"/>
  <c r="N902" i="4"/>
  <c r="M902" i="4"/>
  <c r="L902" i="4"/>
  <c r="K902" i="4"/>
  <c r="J902" i="4"/>
  <c r="I902" i="4"/>
  <c r="H902" i="4"/>
  <c r="G902" i="4"/>
  <c r="F902" i="4"/>
  <c r="E902" i="4"/>
  <c r="D902" i="4"/>
  <c r="C902" i="4"/>
  <c r="B902" i="4"/>
  <c r="A902" i="4"/>
  <c r="N901" i="4"/>
  <c r="M901" i="4"/>
  <c r="L901" i="4"/>
  <c r="K901" i="4"/>
  <c r="J901" i="4"/>
  <c r="I901" i="4"/>
  <c r="H901" i="4"/>
  <c r="G901" i="4"/>
  <c r="F901" i="4"/>
  <c r="E901" i="4"/>
  <c r="D901" i="4"/>
  <c r="C901" i="4"/>
  <c r="B901" i="4"/>
  <c r="A901" i="4"/>
  <c r="N900" i="4"/>
  <c r="M900" i="4"/>
  <c r="L900" i="4"/>
  <c r="K900" i="4"/>
  <c r="J900" i="4"/>
  <c r="I900" i="4"/>
  <c r="H900" i="4"/>
  <c r="G900" i="4"/>
  <c r="F900" i="4"/>
  <c r="E900" i="4"/>
  <c r="D900" i="4"/>
  <c r="C900" i="4"/>
  <c r="B900" i="4"/>
  <c r="A900" i="4"/>
  <c r="N899" i="4"/>
  <c r="M899" i="4"/>
  <c r="L899" i="4"/>
  <c r="K899" i="4"/>
  <c r="J899" i="4"/>
  <c r="I899" i="4"/>
  <c r="H899" i="4"/>
  <c r="G899" i="4"/>
  <c r="F899" i="4"/>
  <c r="E899" i="4"/>
  <c r="D899" i="4"/>
  <c r="C899" i="4"/>
  <c r="B899" i="4"/>
  <c r="A899" i="4"/>
  <c r="N898" i="4"/>
  <c r="M898" i="4"/>
  <c r="L898" i="4"/>
  <c r="K898" i="4"/>
  <c r="J898" i="4"/>
  <c r="I898" i="4"/>
  <c r="H898" i="4"/>
  <c r="G898" i="4"/>
  <c r="F898" i="4"/>
  <c r="E898" i="4"/>
  <c r="D898" i="4"/>
  <c r="C898" i="4"/>
  <c r="B898" i="4"/>
  <c r="A898" i="4"/>
  <c r="N897" i="4"/>
  <c r="M897" i="4"/>
  <c r="L897" i="4"/>
  <c r="K897" i="4"/>
  <c r="J897" i="4"/>
  <c r="I897" i="4"/>
  <c r="H897" i="4"/>
  <c r="G897" i="4"/>
  <c r="F897" i="4"/>
  <c r="E897" i="4"/>
  <c r="D897" i="4"/>
  <c r="C897" i="4"/>
  <c r="B897" i="4"/>
  <c r="A897" i="4"/>
  <c r="N896" i="4"/>
  <c r="M896" i="4"/>
  <c r="L896" i="4"/>
  <c r="K896" i="4"/>
  <c r="J896" i="4"/>
  <c r="I896" i="4"/>
  <c r="H896" i="4"/>
  <c r="G896" i="4"/>
  <c r="F896" i="4"/>
  <c r="E896" i="4"/>
  <c r="D896" i="4"/>
  <c r="C896" i="4"/>
  <c r="B896" i="4"/>
  <c r="A896" i="4"/>
  <c r="N895" i="4"/>
  <c r="M895" i="4"/>
  <c r="L895" i="4"/>
  <c r="K895" i="4"/>
  <c r="J895" i="4"/>
  <c r="I895" i="4"/>
  <c r="H895" i="4"/>
  <c r="G895" i="4"/>
  <c r="F895" i="4"/>
  <c r="E895" i="4"/>
  <c r="D895" i="4"/>
  <c r="C895" i="4"/>
  <c r="B895" i="4"/>
  <c r="A895" i="4"/>
  <c r="N894" i="4"/>
  <c r="M894" i="4"/>
  <c r="L894" i="4"/>
  <c r="K894" i="4"/>
  <c r="J894" i="4"/>
  <c r="I894" i="4"/>
  <c r="H894" i="4"/>
  <c r="G894" i="4"/>
  <c r="F894" i="4"/>
  <c r="E894" i="4"/>
  <c r="D894" i="4"/>
  <c r="C894" i="4"/>
  <c r="B894" i="4"/>
  <c r="A894" i="4"/>
  <c r="N893" i="4"/>
  <c r="M893" i="4"/>
  <c r="L893" i="4"/>
  <c r="K893" i="4"/>
  <c r="J893" i="4"/>
  <c r="I893" i="4"/>
  <c r="H893" i="4"/>
  <c r="G893" i="4"/>
  <c r="F893" i="4"/>
  <c r="E893" i="4"/>
  <c r="D893" i="4"/>
  <c r="C893" i="4"/>
  <c r="B893" i="4"/>
  <c r="A893" i="4"/>
  <c r="N892" i="4"/>
  <c r="M892" i="4"/>
  <c r="L892" i="4"/>
  <c r="K892" i="4"/>
  <c r="J892" i="4"/>
  <c r="I892" i="4"/>
  <c r="H892" i="4"/>
  <c r="G892" i="4"/>
  <c r="F892" i="4"/>
  <c r="E892" i="4"/>
  <c r="D892" i="4"/>
  <c r="C892" i="4"/>
  <c r="B892" i="4"/>
  <c r="A892" i="4"/>
  <c r="N891" i="4"/>
  <c r="M891" i="4"/>
  <c r="L891" i="4"/>
  <c r="K891" i="4"/>
  <c r="J891" i="4"/>
  <c r="I891" i="4"/>
  <c r="H891" i="4"/>
  <c r="G891" i="4"/>
  <c r="F891" i="4"/>
  <c r="E891" i="4"/>
  <c r="D891" i="4"/>
  <c r="C891" i="4"/>
  <c r="B891" i="4"/>
  <c r="A891" i="4"/>
  <c r="N890" i="4"/>
  <c r="M890" i="4"/>
  <c r="L890" i="4"/>
  <c r="K890" i="4"/>
  <c r="J890" i="4"/>
  <c r="I890" i="4"/>
  <c r="H890" i="4"/>
  <c r="G890" i="4"/>
  <c r="F890" i="4"/>
  <c r="E890" i="4"/>
  <c r="D890" i="4"/>
  <c r="C890" i="4"/>
  <c r="B890" i="4"/>
  <c r="A890" i="4"/>
  <c r="N889" i="4"/>
  <c r="M889" i="4"/>
  <c r="L889" i="4"/>
  <c r="K889" i="4"/>
  <c r="J889" i="4"/>
  <c r="I889" i="4"/>
  <c r="H889" i="4"/>
  <c r="G889" i="4"/>
  <c r="F889" i="4"/>
  <c r="E889" i="4"/>
  <c r="D889" i="4"/>
  <c r="C889" i="4"/>
  <c r="B889" i="4"/>
  <c r="A889" i="4"/>
  <c r="N888" i="4"/>
  <c r="M888" i="4"/>
  <c r="L888" i="4"/>
  <c r="K888" i="4"/>
  <c r="J888" i="4"/>
  <c r="I888" i="4"/>
  <c r="H888" i="4"/>
  <c r="G888" i="4"/>
  <c r="F888" i="4"/>
  <c r="E888" i="4"/>
  <c r="D888" i="4"/>
  <c r="C888" i="4"/>
  <c r="B888" i="4"/>
  <c r="A888" i="4"/>
  <c r="N887" i="4"/>
  <c r="M887" i="4"/>
  <c r="L887" i="4"/>
  <c r="K887" i="4"/>
  <c r="J887" i="4"/>
  <c r="I887" i="4"/>
  <c r="H887" i="4"/>
  <c r="G887" i="4"/>
  <c r="F887" i="4"/>
  <c r="E887" i="4"/>
  <c r="D887" i="4"/>
  <c r="C887" i="4"/>
  <c r="B887" i="4"/>
  <c r="A887" i="4"/>
  <c r="N886" i="4"/>
  <c r="M886" i="4"/>
  <c r="L886" i="4"/>
  <c r="K886" i="4"/>
  <c r="J886" i="4"/>
  <c r="I886" i="4"/>
  <c r="H886" i="4"/>
  <c r="G886" i="4"/>
  <c r="F886" i="4"/>
  <c r="E886" i="4"/>
  <c r="D886" i="4"/>
  <c r="C886" i="4"/>
  <c r="B886" i="4"/>
  <c r="A886" i="4"/>
  <c r="N885" i="4"/>
  <c r="M885" i="4"/>
  <c r="L885" i="4"/>
  <c r="K885" i="4"/>
  <c r="J885" i="4"/>
  <c r="I885" i="4"/>
  <c r="H885" i="4"/>
  <c r="G885" i="4"/>
  <c r="F885" i="4"/>
  <c r="E885" i="4"/>
  <c r="D885" i="4"/>
  <c r="C885" i="4"/>
  <c r="B885" i="4"/>
  <c r="A885" i="4"/>
  <c r="N884" i="4"/>
  <c r="M884" i="4"/>
  <c r="L884" i="4"/>
  <c r="K884" i="4"/>
  <c r="J884" i="4"/>
  <c r="I884" i="4"/>
  <c r="H884" i="4"/>
  <c r="G884" i="4"/>
  <c r="F884" i="4"/>
  <c r="E884" i="4"/>
  <c r="D884" i="4"/>
  <c r="C884" i="4"/>
  <c r="B884" i="4"/>
  <c r="A884" i="4"/>
  <c r="N883" i="4"/>
  <c r="M883" i="4"/>
  <c r="L883" i="4"/>
  <c r="K883" i="4"/>
  <c r="J883" i="4"/>
  <c r="I883" i="4"/>
  <c r="H883" i="4"/>
  <c r="G883" i="4"/>
  <c r="F883" i="4"/>
  <c r="E883" i="4"/>
  <c r="D883" i="4"/>
  <c r="C883" i="4"/>
  <c r="B883" i="4"/>
  <c r="A883" i="4"/>
  <c r="N882" i="4"/>
  <c r="M882" i="4"/>
  <c r="L882" i="4"/>
  <c r="K882" i="4"/>
  <c r="J882" i="4"/>
  <c r="I882" i="4"/>
  <c r="H882" i="4"/>
  <c r="G882" i="4"/>
  <c r="F882" i="4"/>
  <c r="E882" i="4"/>
  <c r="D882" i="4"/>
  <c r="C882" i="4"/>
  <c r="B882" i="4"/>
  <c r="A882" i="4"/>
  <c r="N881" i="4"/>
  <c r="M881" i="4"/>
  <c r="L881" i="4"/>
  <c r="K881" i="4"/>
  <c r="J881" i="4"/>
  <c r="I881" i="4"/>
  <c r="H881" i="4"/>
  <c r="G881" i="4"/>
  <c r="F881" i="4"/>
  <c r="E881" i="4"/>
  <c r="D881" i="4"/>
  <c r="C881" i="4"/>
  <c r="B881" i="4"/>
  <c r="A881" i="4"/>
  <c r="N880" i="4"/>
  <c r="M880" i="4"/>
  <c r="L880" i="4"/>
  <c r="K880" i="4"/>
  <c r="J880" i="4"/>
  <c r="I880" i="4"/>
  <c r="H880" i="4"/>
  <c r="G880" i="4"/>
  <c r="F880" i="4"/>
  <c r="E880" i="4"/>
  <c r="D880" i="4"/>
  <c r="C880" i="4"/>
  <c r="B880" i="4"/>
  <c r="A880" i="4"/>
  <c r="N879" i="4"/>
  <c r="M879" i="4"/>
  <c r="L879" i="4"/>
  <c r="K879" i="4"/>
  <c r="J879" i="4"/>
  <c r="I879" i="4"/>
  <c r="H879" i="4"/>
  <c r="G879" i="4"/>
  <c r="F879" i="4"/>
  <c r="E879" i="4"/>
  <c r="D879" i="4"/>
  <c r="C879" i="4"/>
  <c r="B879" i="4"/>
  <c r="A879" i="4"/>
  <c r="N878" i="4"/>
  <c r="M878" i="4"/>
  <c r="L878" i="4"/>
  <c r="K878" i="4"/>
  <c r="J878" i="4"/>
  <c r="I878" i="4"/>
  <c r="H878" i="4"/>
  <c r="G878" i="4"/>
  <c r="F878" i="4"/>
  <c r="E878" i="4"/>
  <c r="D878" i="4"/>
  <c r="C878" i="4"/>
  <c r="B878" i="4"/>
  <c r="A878" i="4"/>
  <c r="N877" i="4"/>
  <c r="M877" i="4"/>
  <c r="L877" i="4"/>
  <c r="K877" i="4"/>
  <c r="J877" i="4"/>
  <c r="I877" i="4"/>
  <c r="H877" i="4"/>
  <c r="G877" i="4"/>
  <c r="F877" i="4"/>
  <c r="E877" i="4"/>
  <c r="D877" i="4"/>
  <c r="C877" i="4"/>
  <c r="B877" i="4"/>
  <c r="A877" i="4"/>
  <c r="N876" i="4"/>
  <c r="M876" i="4"/>
  <c r="L876" i="4"/>
  <c r="K876" i="4"/>
  <c r="J876" i="4"/>
  <c r="I876" i="4"/>
  <c r="H876" i="4"/>
  <c r="G876" i="4"/>
  <c r="F876" i="4"/>
  <c r="E876" i="4"/>
  <c r="D876" i="4"/>
  <c r="C876" i="4"/>
  <c r="B876" i="4"/>
  <c r="A876" i="4"/>
  <c r="N875" i="4"/>
  <c r="M875" i="4"/>
  <c r="L875" i="4"/>
  <c r="K875" i="4"/>
  <c r="J875" i="4"/>
  <c r="I875" i="4"/>
  <c r="H875" i="4"/>
  <c r="G875" i="4"/>
  <c r="F875" i="4"/>
  <c r="E875" i="4"/>
  <c r="D875" i="4"/>
  <c r="C875" i="4"/>
  <c r="B875" i="4"/>
  <c r="A875" i="4"/>
  <c r="N874" i="4"/>
  <c r="M874" i="4"/>
  <c r="L874" i="4"/>
  <c r="K874" i="4"/>
  <c r="J874" i="4"/>
  <c r="I874" i="4"/>
  <c r="H874" i="4"/>
  <c r="G874" i="4"/>
  <c r="F874" i="4"/>
  <c r="E874" i="4"/>
  <c r="D874" i="4"/>
  <c r="C874" i="4"/>
  <c r="B874" i="4"/>
  <c r="A874" i="4"/>
  <c r="N873" i="4"/>
  <c r="M873" i="4"/>
  <c r="L873" i="4"/>
  <c r="K873" i="4"/>
  <c r="J873" i="4"/>
  <c r="I873" i="4"/>
  <c r="H873" i="4"/>
  <c r="G873" i="4"/>
  <c r="F873" i="4"/>
  <c r="E873" i="4"/>
  <c r="D873" i="4"/>
  <c r="C873" i="4"/>
  <c r="B873" i="4"/>
  <c r="A873" i="4"/>
  <c r="N872" i="4"/>
  <c r="M872" i="4"/>
  <c r="L872" i="4"/>
  <c r="K872" i="4"/>
  <c r="J872" i="4"/>
  <c r="I872" i="4"/>
  <c r="H872" i="4"/>
  <c r="G872" i="4"/>
  <c r="F872" i="4"/>
  <c r="E872" i="4"/>
  <c r="D872" i="4"/>
  <c r="C872" i="4"/>
  <c r="B872" i="4"/>
  <c r="A872" i="4"/>
  <c r="N871" i="4"/>
  <c r="M871" i="4"/>
  <c r="L871" i="4"/>
  <c r="K871" i="4"/>
  <c r="J871" i="4"/>
  <c r="I871" i="4"/>
  <c r="H871" i="4"/>
  <c r="G871" i="4"/>
  <c r="F871" i="4"/>
  <c r="E871" i="4"/>
  <c r="D871" i="4"/>
  <c r="C871" i="4"/>
  <c r="B871" i="4"/>
  <c r="A871" i="4"/>
  <c r="N870" i="4"/>
  <c r="M870" i="4"/>
  <c r="L870" i="4"/>
  <c r="K870" i="4"/>
  <c r="J870" i="4"/>
  <c r="I870" i="4"/>
  <c r="H870" i="4"/>
  <c r="G870" i="4"/>
  <c r="F870" i="4"/>
  <c r="E870" i="4"/>
  <c r="D870" i="4"/>
  <c r="C870" i="4"/>
  <c r="B870" i="4"/>
  <c r="A870" i="4"/>
  <c r="N869" i="4"/>
  <c r="M869" i="4"/>
  <c r="L869" i="4"/>
  <c r="K869" i="4"/>
  <c r="J869" i="4"/>
  <c r="I869" i="4"/>
  <c r="H869" i="4"/>
  <c r="G869" i="4"/>
  <c r="F869" i="4"/>
  <c r="E869" i="4"/>
  <c r="D869" i="4"/>
  <c r="C869" i="4"/>
  <c r="B869" i="4"/>
  <c r="A869" i="4"/>
  <c r="N868" i="4"/>
  <c r="M868" i="4"/>
  <c r="L868" i="4"/>
  <c r="K868" i="4"/>
  <c r="J868" i="4"/>
  <c r="I868" i="4"/>
  <c r="H868" i="4"/>
  <c r="G868" i="4"/>
  <c r="F868" i="4"/>
  <c r="E868" i="4"/>
  <c r="D868" i="4"/>
  <c r="C868" i="4"/>
  <c r="B868" i="4"/>
  <c r="A868" i="4"/>
  <c r="N867" i="4"/>
  <c r="M867" i="4"/>
  <c r="L867" i="4"/>
  <c r="K867" i="4"/>
  <c r="J867" i="4"/>
  <c r="I867" i="4"/>
  <c r="H867" i="4"/>
  <c r="G867" i="4"/>
  <c r="F867" i="4"/>
  <c r="E867" i="4"/>
  <c r="D867" i="4"/>
  <c r="C867" i="4"/>
  <c r="B867" i="4"/>
  <c r="A867" i="4"/>
  <c r="N866" i="4"/>
  <c r="M866" i="4"/>
  <c r="L866" i="4"/>
  <c r="K866" i="4"/>
  <c r="J866" i="4"/>
  <c r="I866" i="4"/>
  <c r="H866" i="4"/>
  <c r="G866" i="4"/>
  <c r="F866" i="4"/>
  <c r="E866" i="4"/>
  <c r="D866" i="4"/>
  <c r="C866" i="4"/>
  <c r="B866" i="4"/>
  <c r="A866" i="4"/>
  <c r="N865" i="4"/>
  <c r="M865" i="4"/>
  <c r="L865" i="4"/>
  <c r="K865" i="4"/>
  <c r="J865" i="4"/>
  <c r="I865" i="4"/>
  <c r="H865" i="4"/>
  <c r="G865" i="4"/>
  <c r="F865" i="4"/>
  <c r="E865" i="4"/>
  <c r="D865" i="4"/>
  <c r="C865" i="4"/>
  <c r="B865" i="4"/>
  <c r="A865" i="4"/>
  <c r="N864" i="4"/>
  <c r="M864" i="4"/>
  <c r="L864" i="4"/>
  <c r="K864" i="4"/>
  <c r="J864" i="4"/>
  <c r="I864" i="4"/>
  <c r="H864" i="4"/>
  <c r="G864" i="4"/>
  <c r="F864" i="4"/>
  <c r="E864" i="4"/>
  <c r="D864" i="4"/>
  <c r="C864" i="4"/>
  <c r="B864" i="4"/>
  <c r="A864" i="4"/>
  <c r="N863" i="4"/>
  <c r="M863" i="4"/>
  <c r="L863" i="4"/>
  <c r="K863" i="4"/>
  <c r="J863" i="4"/>
  <c r="I863" i="4"/>
  <c r="H863" i="4"/>
  <c r="G863" i="4"/>
  <c r="F863" i="4"/>
  <c r="E863" i="4"/>
  <c r="D863" i="4"/>
  <c r="C863" i="4"/>
  <c r="B863" i="4"/>
  <c r="A863" i="4"/>
  <c r="N862" i="4"/>
  <c r="M862" i="4"/>
  <c r="L862" i="4"/>
  <c r="K862" i="4"/>
  <c r="J862" i="4"/>
  <c r="I862" i="4"/>
  <c r="H862" i="4"/>
  <c r="G862" i="4"/>
  <c r="F862" i="4"/>
  <c r="E862" i="4"/>
  <c r="D862" i="4"/>
  <c r="C862" i="4"/>
  <c r="B862" i="4"/>
  <c r="A862" i="4"/>
  <c r="N861" i="4"/>
  <c r="M861" i="4"/>
  <c r="L861" i="4"/>
  <c r="K861" i="4"/>
  <c r="J861" i="4"/>
  <c r="I861" i="4"/>
  <c r="H861" i="4"/>
  <c r="G861" i="4"/>
  <c r="F861" i="4"/>
  <c r="E861" i="4"/>
  <c r="D861" i="4"/>
  <c r="C861" i="4"/>
  <c r="B861" i="4"/>
  <c r="A861" i="4"/>
  <c r="N860" i="4"/>
  <c r="M860" i="4"/>
  <c r="L860" i="4"/>
  <c r="K860" i="4"/>
  <c r="J860" i="4"/>
  <c r="I860" i="4"/>
  <c r="H860" i="4"/>
  <c r="G860" i="4"/>
  <c r="F860" i="4"/>
  <c r="E860" i="4"/>
  <c r="D860" i="4"/>
  <c r="C860" i="4"/>
  <c r="B860" i="4"/>
  <c r="A860" i="4"/>
  <c r="N859" i="4"/>
  <c r="M859" i="4"/>
  <c r="L859" i="4"/>
  <c r="K859" i="4"/>
  <c r="J859" i="4"/>
  <c r="I859" i="4"/>
  <c r="H859" i="4"/>
  <c r="G859" i="4"/>
  <c r="F859" i="4"/>
  <c r="E859" i="4"/>
  <c r="D859" i="4"/>
  <c r="C859" i="4"/>
  <c r="B859" i="4"/>
  <c r="A859" i="4"/>
  <c r="N858" i="4"/>
  <c r="M858" i="4"/>
  <c r="L858" i="4"/>
  <c r="K858" i="4"/>
  <c r="J858" i="4"/>
  <c r="I858" i="4"/>
  <c r="H858" i="4"/>
  <c r="G858" i="4"/>
  <c r="F858" i="4"/>
  <c r="E858" i="4"/>
  <c r="D858" i="4"/>
  <c r="C858" i="4"/>
  <c r="B858" i="4"/>
  <c r="A858" i="4"/>
  <c r="N857" i="4"/>
  <c r="M857" i="4"/>
  <c r="L857" i="4"/>
  <c r="K857" i="4"/>
  <c r="J857" i="4"/>
  <c r="I857" i="4"/>
  <c r="H857" i="4"/>
  <c r="G857" i="4"/>
  <c r="F857" i="4"/>
  <c r="E857" i="4"/>
  <c r="D857" i="4"/>
  <c r="C857" i="4"/>
  <c r="B857" i="4"/>
  <c r="A857" i="4"/>
  <c r="N856" i="4"/>
  <c r="M856" i="4"/>
  <c r="L856" i="4"/>
  <c r="K856" i="4"/>
  <c r="J856" i="4"/>
  <c r="I856" i="4"/>
  <c r="H856" i="4"/>
  <c r="G856" i="4"/>
  <c r="F856" i="4"/>
  <c r="E856" i="4"/>
  <c r="D856" i="4"/>
  <c r="C856" i="4"/>
  <c r="B856" i="4"/>
  <c r="A856" i="4"/>
  <c r="N855" i="4"/>
  <c r="M855" i="4"/>
  <c r="L855" i="4"/>
  <c r="K855" i="4"/>
  <c r="J855" i="4"/>
  <c r="I855" i="4"/>
  <c r="H855" i="4"/>
  <c r="G855" i="4"/>
  <c r="F855" i="4"/>
  <c r="E855" i="4"/>
  <c r="D855" i="4"/>
  <c r="C855" i="4"/>
  <c r="B855" i="4"/>
  <c r="A855" i="4"/>
  <c r="N854" i="4"/>
  <c r="M854" i="4"/>
  <c r="L854" i="4"/>
  <c r="K854" i="4"/>
  <c r="J854" i="4"/>
  <c r="I854" i="4"/>
  <c r="H854" i="4"/>
  <c r="G854" i="4"/>
  <c r="F854" i="4"/>
  <c r="E854" i="4"/>
  <c r="D854" i="4"/>
  <c r="C854" i="4"/>
  <c r="B854" i="4"/>
  <c r="A854" i="4"/>
  <c r="N853" i="4"/>
  <c r="M853" i="4"/>
  <c r="L853" i="4"/>
  <c r="K853" i="4"/>
  <c r="J853" i="4"/>
  <c r="I853" i="4"/>
  <c r="H853" i="4"/>
  <c r="G853" i="4"/>
  <c r="F853" i="4"/>
  <c r="E853" i="4"/>
  <c r="D853" i="4"/>
  <c r="C853" i="4"/>
  <c r="B853" i="4"/>
  <c r="A853" i="4"/>
  <c r="N852" i="4"/>
  <c r="M852" i="4"/>
  <c r="L852" i="4"/>
  <c r="K852" i="4"/>
  <c r="J852" i="4"/>
  <c r="I852" i="4"/>
  <c r="H852" i="4"/>
  <c r="G852" i="4"/>
  <c r="F852" i="4"/>
  <c r="E852" i="4"/>
  <c r="D852" i="4"/>
  <c r="C852" i="4"/>
  <c r="B852" i="4"/>
  <c r="A852" i="4"/>
  <c r="N851" i="4"/>
  <c r="M851" i="4"/>
  <c r="L851" i="4"/>
  <c r="K851" i="4"/>
  <c r="J851" i="4"/>
  <c r="I851" i="4"/>
  <c r="H851" i="4"/>
  <c r="G851" i="4"/>
  <c r="F851" i="4"/>
  <c r="E851" i="4"/>
  <c r="D851" i="4"/>
  <c r="C851" i="4"/>
  <c r="B851" i="4"/>
  <c r="A851" i="4"/>
  <c r="N850" i="4"/>
  <c r="M850" i="4"/>
  <c r="L850" i="4"/>
  <c r="K850" i="4"/>
  <c r="J850" i="4"/>
  <c r="I850" i="4"/>
  <c r="H850" i="4"/>
  <c r="G850" i="4"/>
  <c r="F850" i="4"/>
  <c r="E850" i="4"/>
  <c r="D850" i="4"/>
  <c r="C850" i="4"/>
  <c r="B850" i="4"/>
  <c r="A850" i="4"/>
  <c r="N849" i="4"/>
  <c r="M849" i="4"/>
  <c r="L849" i="4"/>
  <c r="K849" i="4"/>
  <c r="J849" i="4"/>
  <c r="I849" i="4"/>
  <c r="H849" i="4"/>
  <c r="G849" i="4"/>
  <c r="F849" i="4"/>
  <c r="E849" i="4"/>
  <c r="D849" i="4"/>
  <c r="C849" i="4"/>
  <c r="B849" i="4"/>
  <c r="A849" i="4"/>
  <c r="N848" i="4"/>
  <c r="M848" i="4"/>
  <c r="L848" i="4"/>
  <c r="K848" i="4"/>
  <c r="J848" i="4"/>
  <c r="I848" i="4"/>
  <c r="H848" i="4"/>
  <c r="G848" i="4"/>
  <c r="F848" i="4"/>
  <c r="E848" i="4"/>
  <c r="D848" i="4"/>
  <c r="C848" i="4"/>
  <c r="B848" i="4"/>
  <c r="A848" i="4"/>
  <c r="N847" i="4"/>
  <c r="M847" i="4"/>
  <c r="L847" i="4"/>
  <c r="K847" i="4"/>
  <c r="J847" i="4"/>
  <c r="I847" i="4"/>
  <c r="H847" i="4"/>
  <c r="G847" i="4"/>
  <c r="F847" i="4"/>
  <c r="E847" i="4"/>
  <c r="D847" i="4"/>
  <c r="C847" i="4"/>
  <c r="B847" i="4"/>
  <c r="A847" i="4"/>
  <c r="N846" i="4"/>
  <c r="M846" i="4"/>
  <c r="L846" i="4"/>
  <c r="K846" i="4"/>
  <c r="J846" i="4"/>
  <c r="I846" i="4"/>
  <c r="H846" i="4"/>
  <c r="G846" i="4"/>
  <c r="F846" i="4"/>
  <c r="E846" i="4"/>
  <c r="D846" i="4"/>
  <c r="C846" i="4"/>
  <c r="B846" i="4"/>
  <c r="A846" i="4"/>
  <c r="N845" i="4"/>
  <c r="M845" i="4"/>
  <c r="L845" i="4"/>
  <c r="K845" i="4"/>
  <c r="J845" i="4"/>
  <c r="I845" i="4"/>
  <c r="H845" i="4"/>
  <c r="G845" i="4"/>
  <c r="F845" i="4"/>
  <c r="E845" i="4"/>
  <c r="D845" i="4"/>
  <c r="C845" i="4"/>
  <c r="B845" i="4"/>
  <c r="A845" i="4"/>
  <c r="N844" i="4"/>
  <c r="M844" i="4"/>
  <c r="L844" i="4"/>
  <c r="K844" i="4"/>
  <c r="J844" i="4"/>
  <c r="I844" i="4"/>
  <c r="H844" i="4"/>
  <c r="G844" i="4"/>
  <c r="F844" i="4"/>
  <c r="E844" i="4"/>
  <c r="D844" i="4"/>
  <c r="C844" i="4"/>
  <c r="B844" i="4"/>
  <c r="A844" i="4"/>
  <c r="N843" i="4"/>
  <c r="M843" i="4"/>
  <c r="L843" i="4"/>
  <c r="K843" i="4"/>
  <c r="J843" i="4"/>
  <c r="I843" i="4"/>
  <c r="H843" i="4"/>
  <c r="G843" i="4"/>
  <c r="F843" i="4"/>
  <c r="E843" i="4"/>
  <c r="D843" i="4"/>
  <c r="C843" i="4"/>
  <c r="B843" i="4"/>
  <c r="A843" i="4"/>
  <c r="N842" i="4"/>
  <c r="M842" i="4"/>
  <c r="L842" i="4"/>
  <c r="K842" i="4"/>
  <c r="J842" i="4"/>
  <c r="I842" i="4"/>
  <c r="H842" i="4"/>
  <c r="G842" i="4"/>
  <c r="F842" i="4"/>
  <c r="E842" i="4"/>
  <c r="D842" i="4"/>
  <c r="C842" i="4"/>
  <c r="B842" i="4"/>
  <c r="A842" i="4"/>
  <c r="N841" i="4"/>
  <c r="M841" i="4"/>
  <c r="L841" i="4"/>
  <c r="K841" i="4"/>
  <c r="J841" i="4"/>
  <c r="I841" i="4"/>
  <c r="H841" i="4"/>
  <c r="G841" i="4"/>
  <c r="F841" i="4"/>
  <c r="E841" i="4"/>
  <c r="D841" i="4"/>
  <c r="C841" i="4"/>
  <c r="B841" i="4"/>
  <c r="A841" i="4"/>
  <c r="N840" i="4"/>
  <c r="M840" i="4"/>
  <c r="L840" i="4"/>
  <c r="K840" i="4"/>
  <c r="J840" i="4"/>
  <c r="I840" i="4"/>
  <c r="H840" i="4"/>
  <c r="G840" i="4"/>
  <c r="F840" i="4"/>
  <c r="E840" i="4"/>
  <c r="D840" i="4"/>
  <c r="C840" i="4"/>
  <c r="B840" i="4"/>
  <c r="A840" i="4"/>
  <c r="N839" i="4"/>
  <c r="M839" i="4"/>
  <c r="L839" i="4"/>
  <c r="K839" i="4"/>
  <c r="J839" i="4"/>
  <c r="I839" i="4"/>
  <c r="H839" i="4"/>
  <c r="G839" i="4"/>
  <c r="F839" i="4"/>
  <c r="E839" i="4"/>
  <c r="D839" i="4"/>
  <c r="C839" i="4"/>
  <c r="B839" i="4"/>
  <c r="A839" i="4"/>
  <c r="N838" i="4"/>
  <c r="M838" i="4"/>
  <c r="L838" i="4"/>
  <c r="K838" i="4"/>
  <c r="J838" i="4"/>
  <c r="I838" i="4"/>
  <c r="H838" i="4"/>
  <c r="G838" i="4"/>
  <c r="F838" i="4"/>
  <c r="E838" i="4"/>
  <c r="D838" i="4"/>
  <c r="C838" i="4"/>
  <c r="B838" i="4"/>
  <c r="A838" i="4"/>
  <c r="N837" i="4"/>
  <c r="M837" i="4"/>
  <c r="L837" i="4"/>
  <c r="K837" i="4"/>
  <c r="J837" i="4"/>
  <c r="I837" i="4"/>
  <c r="H837" i="4"/>
  <c r="G837" i="4"/>
  <c r="F837" i="4"/>
  <c r="E837" i="4"/>
  <c r="D837" i="4"/>
  <c r="C837" i="4"/>
  <c r="B837" i="4"/>
  <c r="A837" i="4"/>
  <c r="N836" i="4"/>
  <c r="M836" i="4"/>
  <c r="L836" i="4"/>
  <c r="K836" i="4"/>
  <c r="J836" i="4"/>
  <c r="I836" i="4"/>
  <c r="H836" i="4"/>
  <c r="G836" i="4"/>
  <c r="F836" i="4"/>
  <c r="E836" i="4"/>
  <c r="D836" i="4"/>
  <c r="C836" i="4"/>
  <c r="B836" i="4"/>
  <c r="A836" i="4"/>
  <c r="N835" i="4"/>
  <c r="M835" i="4"/>
  <c r="L835" i="4"/>
  <c r="K835" i="4"/>
  <c r="J835" i="4"/>
  <c r="I835" i="4"/>
  <c r="H835" i="4"/>
  <c r="G835" i="4"/>
  <c r="F835" i="4"/>
  <c r="E835" i="4"/>
  <c r="D835" i="4"/>
  <c r="C835" i="4"/>
  <c r="B835" i="4"/>
  <c r="A835" i="4"/>
  <c r="N834" i="4"/>
  <c r="M834" i="4"/>
  <c r="L834" i="4"/>
  <c r="K834" i="4"/>
  <c r="J834" i="4"/>
  <c r="I834" i="4"/>
  <c r="H834" i="4"/>
  <c r="G834" i="4"/>
  <c r="F834" i="4"/>
  <c r="E834" i="4"/>
  <c r="D834" i="4"/>
  <c r="C834" i="4"/>
  <c r="B834" i="4"/>
  <c r="A834" i="4"/>
  <c r="N833" i="4"/>
  <c r="M833" i="4"/>
  <c r="L833" i="4"/>
  <c r="K833" i="4"/>
  <c r="J833" i="4"/>
  <c r="I833" i="4"/>
  <c r="H833" i="4"/>
  <c r="G833" i="4"/>
  <c r="F833" i="4"/>
  <c r="E833" i="4"/>
  <c r="D833" i="4"/>
  <c r="C833" i="4"/>
  <c r="B833" i="4"/>
  <c r="A833" i="4"/>
  <c r="N832" i="4"/>
  <c r="M832" i="4"/>
  <c r="L832" i="4"/>
  <c r="K832" i="4"/>
  <c r="J832" i="4"/>
  <c r="I832" i="4"/>
  <c r="H832" i="4"/>
  <c r="G832" i="4"/>
  <c r="F832" i="4"/>
  <c r="E832" i="4"/>
  <c r="D832" i="4"/>
  <c r="C832" i="4"/>
  <c r="B832" i="4"/>
  <c r="A832" i="4"/>
  <c r="N831" i="4"/>
  <c r="M831" i="4"/>
  <c r="L831" i="4"/>
  <c r="K831" i="4"/>
  <c r="J831" i="4"/>
  <c r="I831" i="4"/>
  <c r="H831" i="4"/>
  <c r="G831" i="4"/>
  <c r="F831" i="4"/>
  <c r="E831" i="4"/>
  <c r="D831" i="4"/>
  <c r="C831" i="4"/>
  <c r="B831" i="4"/>
  <c r="A831" i="4"/>
  <c r="N830" i="4"/>
  <c r="M830" i="4"/>
  <c r="L830" i="4"/>
  <c r="K830" i="4"/>
  <c r="J830" i="4"/>
  <c r="I830" i="4"/>
  <c r="H830" i="4"/>
  <c r="G830" i="4"/>
  <c r="F830" i="4"/>
  <c r="E830" i="4"/>
  <c r="D830" i="4"/>
  <c r="C830" i="4"/>
  <c r="B830" i="4"/>
  <c r="A830" i="4"/>
  <c r="N829" i="4"/>
  <c r="M829" i="4"/>
  <c r="L829" i="4"/>
  <c r="K829" i="4"/>
  <c r="J829" i="4"/>
  <c r="I829" i="4"/>
  <c r="H829" i="4"/>
  <c r="G829" i="4"/>
  <c r="F829" i="4"/>
  <c r="E829" i="4"/>
  <c r="D829" i="4"/>
  <c r="C829" i="4"/>
  <c r="B829" i="4"/>
  <c r="A829" i="4"/>
  <c r="N828" i="4"/>
  <c r="M828" i="4"/>
  <c r="L828" i="4"/>
  <c r="K828" i="4"/>
  <c r="J828" i="4"/>
  <c r="I828" i="4"/>
  <c r="H828" i="4"/>
  <c r="G828" i="4"/>
  <c r="F828" i="4"/>
  <c r="E828" i="4"/>
  <c r="D828" i="4"/>
  <c r="C828" i="4"/>
  <c r="B828" i="4"/>
  <c r="A828" i="4"/>
  <c r="N827" i="4"/>
  <c r="M827" i="4"/>
  <c r="L827" i="4"/>
  <c r="K827" i="4"/>
  <c r="J827" i="4"/>
  <c r="I827" i="4"/>
  <c r="H827" i="4"/>
  <c r="G827" i="4"/>
  <c r="F827" i="4"/>
  <c r="E827" i="4"/>
  <c r="D827" i="4"/>
  <c r="C827" i="4"/>
  <c r="B827" i="4"/>
  <c r="A827" i="4"/>
  <c r="N826" i="4"/>
  <c r="M826" i="4"/>
  <c r="L826" i="4"/>
  <c r="K826" i="4"/>
  <c r="J826" i="4"/>
  <c r="I826" i="4"/>
  <c r="H826" i="4"/>
  <c r="G826" i="4"/>
  <c r="F826" i="4"/>
  <c r="E826" i="4"/>
  <c r="D826" i="4"/>
  <c r="C826" i="4"/>
  <c r="B826" i="4"/>
  <c r="A826" i="4"/>
  <c r="N825" i="4"/>
  <c r="M825" i="4"/>
  <c r="L825" i="4"/>
  <c r="K825" i="4"/>
  <c r="J825" i="4"/>
  <c r="I825" i="4"/>
  <c r="H825" i="4"/>
  <c r="G825" i="4"/>
  <c r="F825" i="4"/>
  <c r="E825" i="4"/>
  <c r="D825" i="4"/>
  <c r="C825" i="4"/>
  <c r="B825" i="4"/>
  <c r="A825" i="4"/>
  <c r="N824" i="4"/>
  <c r="M824" i="4"/>
  <c r="L824" i="4"/>
  <c r="K824" i="4"/>
  <c r="J824" i="4"/>
  <c r="I824" i="4"/>
  <c r="H824" i="4"/>
  <c r="G824" i="4"/>
  <c r="F824" i="4"/>
  <c r="E824" i="4"/>
  <c r="D824" i="4"/>
  <c r="C824" i="4"/>
  <c r="B824" i="4"/>
  <c r="A824" i="4"/>
  <c r="N823" i="4"/>
  <c r="M823" i="4"/>
  <c r="L823" i="4"/>
  <c r="K823" i="4"/>
  <c r="J823" i="4"/>
  <c r="I823" i="4"/>
  <c r="H823" i="4"/>
  <c r="G823" i="4"/>
  <c r="F823" i="4"/>
  <c r="E823" i="4"/>
  <c r="D823" i="4"/>
  <c r="C823" i="4"/>
  <c r="B823" i="4"/>
  <c r="A823" i="4"/>
  <c r="N822" i="4"/>
  <c r="M822" i="4"/>
  <c r="L822" i="4"/>
  <c r="K822" i="4"/>
  <c r="J822" i="4"/>
  <c r="I822" i="4"/>
  <c r="H822" i="4"/>
  <c r="G822" i="4"/>
  <c r="F822" i="4"/>
  <c r="E822" i="4"/>
  <c r="D822" i="4"/>
  <c r="C822" i="4"/>
  <c r="B822" i="4"/>
  <c r="A822" i="4"/>
  <c r="N821" i="4"/>
  <c r="M821" i="4"/>
  <c r="L821" i="4"/>
  <c r="K821" i="4"/>
  <c r="J821" i="4"/>
  <c r="I821" i="4"/>
  <c r="H821" i="4"/>
  <c r="G821" i="4"/>
  <c r="F821" i="4"/>
  <c r="E821" i="4"/>
  <c r="D821" i="4"/>
  <c r="C821" i="4"/>
  <c r="B821" i="4"/>
  <c r="A821" i="4"/>
  <c r="N820" i="4"/>
  <c r="M820" i="4"/>
  <c r="L820" i="4"/>
  <c r="K820" i="4"/>
  <c r="J820" i="4"/>
  <c r="I820" i="4"/>
  <c r="H820" i="4"/>
  <c r="G820" i="4"/>
  <c r="F820" i="4"/>
  <c r="E820" i="4"/>
  <c r="D820" i="4"/>
  <c r="C820" i="4"/>
  <c r="B820" i="4"/>
  <c r="A820" i="4"/>
  <c r="N819" i="4"/>
  <c r="M819" i="4"/>
  <c r="L819" i="4"/>
  <c r="K819" i="4"/>
  <c r="J819" i="4"/>
  <c r="I819" i="4"/>
  <c r="H819" i="4"/>
  <c r="G819" i="4"/>
  <c r="F819" i="4"/>
  <c r="E819" i="4"/>
  <c r="D819" i="4"/>
  <c r="C819" i="4"/>
  <c r="B819" i="4"/>
  <c r="A819" i="4"/>
  <c r="N818" i="4"/>
  <c r="M818" i="4"/>
  <c r="L818" i="4"/>
  <c r="K818" i="4"/>
  <c r="J818" i="4"/>
  <c r="I818" i="4"/>
  <c r="H818" i="4"/>
  <c r="G818" i="4"/>
  <c r="F818" i="4"/>
  <c r="E818" i="4"/>
  <c r="D818" i="4"/>
  <c r="C818" i="4"/>
  <c r="B818" i="4"/>
  <c r="A818" i="4"/>
  <c r="N817" i="4"/>
  <c r="M817" i="4"/>
  <c r="L817" i="4"/>
  <c r="K817" i="4"/>
  <c r="J817" i="4"/>
  <c r="I817" i="4"/>
  <c r="H817" i="4"/>
  <c r="G817" i="4"/>
  <c r="F817" i="4"/>
  <c r="E817" i="4"/>
  <c r="D817" i="4"/>
  <c r="C817" i="4"/>
  <c r="B817" i="4"/>
  <c r="A817" i="4"/>
  <c r="N816" i="4"/>
  <c r="M816" i="4"/>
  <c r="L816" i="4"/>
  <c r="K816" i="4"/>
  <c r="J816" i="4"/>
  <c r="I816" i="4"/>
  <c r="H816" i="4"/>
  <c r="G816" i="4"/>
  <c r="F816" i="4"/>
  <c r="E816" i="4"/>
  <c r="D816" i="4"/>
  <c r="C816" i="4"/>
  <c r="B816" i="4"/>
  <c r="A816" i="4"/>
  <c r="N815" i="4"/>
  <c r="M815" i="4"/>
  <c r="L815" i="4"/>
  <c r="K815" i="4"/>
  <c r="J815" i="4"/>
  <c r="I815" i="4"/>
  <c r="H815" i="4"/>
  <c r="G815" i="4"/>
  <c r="F815" i="4"/>
  <c r="E815" i="4"/>
  <c r="D815" i="4"/>
  <c r="C815" i="4"/>
  <c r="B815" i="4"/>
  <c r="A815" i="4"/>
  <c r="N814" i="4"/>
  <c r="M814" i="4"/>
  <c r="L814" i="4"/>
  <c r="K814" i="4"/>
  <c r="J814" i="4"/>
  <c r="I814" i="4"/>
  <c r="H814" i="4"/>
  <c r="G814" i="4"/>
  <c r="F814" i="4"/>
  <c r="E814" i="4"/>
  <c r="D814" i="4"/>
  <c r="C814" i="4"/>
  <c r="B814" i="4"/>
  <c r="A814" i="4"/>
  <c r="N813" i="4"/>
  <c r="M813" i="4"/>
  <c r="L813" i="4"/>
  <c r="K813" i="4"/>
  <c r="J813" i="4"/>
  <c r="I813" i="4"/>
  <c r="H813" i="4"/>
  <c r="G813" i="4"/>
  <c r="F813" i="4"/>
  <c r="E813" i="4"/>
  <c r="D813" i="4"/>
  <c r="C813" i="4"/>
  <c r="B813" i="4"/>
  <c r="A813" i="4"/>
  <c r="N812" i="4"/>
  <c r="M812" i="4"/>
  <c r="L812" i="4"/>
  <c r="K812" i="4"/>
  <c r="J812" i="4"/>
  <c r="I812" i="4"/>
  <c r="H812" i="4"/>
  <c r="G812" i="4"/>
  <c r="F812" i="4"/>
  <c r="E812" i="4"/>
  <c r="D812" i="4"/>
  <c r="C812" i="4"/>
  <c r="B812" i="4"/>
  <c r="A812" i="4"/>
  <c r="N811" i="4"/>
  <c r="M811" i="4"/>
  <c r="L811" i="4"/>
  <c r="K811" i="4"/>
  <c r="J811" i="4"/>
  <c r="I811" i="4"/>
  <c r="H811" i="4"/>
  <c r="G811" i="4"/>
  <c r="F811" i="4"/>
  <c r="E811" i="4"/>
  <c r="D811" i="4"/>
  <c r="C811" i="4"/>
  <c r="B811" i="4"/>
  <c r="A811" i="4"/>
  <c r="N810" i="4"/>
  <c r="M810" i="4"/>
  <c r="L810" i="4"/>
  <c r="K810" i="4"/>
  <c r="J810" i="4"/>
  <c r="I810" i="4"/>
  <c r="H810" i="4"/>
  <c r="G810" i="4"/>
  <c r="F810" i="4"/>
  <c r="E810" i="4"/>
  <c r="D810" i="4"/>
  <c r="C810" i="4"/>
  <c r="B810" i="4"/>
  <c r="A810" i="4"/>
  <c r="N809" i="4"/>
  <c r="M809" i="4"/>
  <c r="L809" i="4"/>
  <c r="K809" i="4"/>
  <c r="J809" i="4"/>
  <c r="I809" i="4"/>
  <c r="H809" i="4"/>
  <c r="G809" i="4"/>
  <c r="F809" i="4"/>
  <c r="E809" i="4"/>
  <c r="D809" i="4"/>
  <c r="C809" i="4"/>
  <c r="B809" i="4"/>
  <c r="A809" i="4"/>
  <c r="N808" i="4"/>
  <c r="M808" i="4"/>
  <c r="L808" i="4"/>
  <c r="K808" i="4"/>
  <c r="J808" i="4"/>
  <c r="I808" i="4"/>
  <c r="H808" i="4"/>
  <c r="G808" i="4"/>
  <c r="F808" i="4"/>
  <c r="E808" i="4"/>
  <c r="D808" i="4"/>
  <c r="C808" i="4"/>
  <c r="B808" i="4"/>
  <c r="A808" i="4"/>
  <c r="N807" i="4"/>
  <c r="M807" i="4"/>
  <c r="L807" i="4"/>
  <c r="K807" i="4"/>
  <c r="J807" i="4"/>
  <c r="I807" i="4"/>
  <c r="H807" i="4"/>
  <c r="G807" i="4"/>
  <c r="F807" i="4"/>
  <c r="E807" i="4"/>
  <c r="D807" i="4"/>
  <c r="C807" i="4"/>
  <c r="B807" i="4"/>
  <c r="A807" i="4"/>
  <c r="N806" i="4"/>
  <c r="M806" i="4"/>
  <c r="L806" i="4"/>
  <c r="K806" i="4"/>
  <c r="J806" i="4"/>
  <c r="I806" i="4"/>
  <c r="H806" i="4"/>
  <c r="G806" i="4"/>
  <c r="F806" i="4"/>
  <c r="E806" i="4"/>
  <c r="D806" i="4"/>
  <c r="C806" i="4"/>
  <c r="B806" i="4"/>
  <c r="A806" i="4"/>
  <c r="N805" i="4"/>
  <c r="M805" i="4"/>
  <c r="L805" i="4"/>
  <c r="K805" i="4"/>
  <c r="J805" i="4"/>
  <c r="I805" i="4"/>
  <c r="H805" i="4"/>
  <c r="G805" i="4"/>
  <c r="F805" i="4"/>
  <c r="E805" i="4"/>
  <c r="D805" i="4"/>
  <c r="C805" i="4"/>
  <c r="B805" i="4"/>
  <c r="A805" i="4"/>
  <c r="N804" i="4"/>
  <c r="M804" i="4"/>
  <c r="L804" i="4"/>
  <c r="K804" i="4"/>
  <c r="J804" i="4"/>
  <c r="I804" i="4"/>
  <c r="H804" i="4"/>
  <c r="G804" i="4"/>
  <c r="F804" i="4"/>
  <c r="E804" i="4"/>
  <c r="D804" i="4"/>
  <c r="C804" i="4"/>
  <c r="B804" i="4"/>
  <c r="A804" i="4"/>
  <c r="N803" i="4"/>
  <c r="M803" i="4"/>
  <c r="L803" i="4"/>
  <c r="K803" i="4"/>
  <c r="J803" i="4"/>
  <c r="I803" i="4"/>
  <c r="H803" i="4"/>
  <c r="G803" i="4"/>
  <c r="F803" i="4"/>
  <c r="E803" i="4"/>
  <c r="D803" i="4"/>
  <c r="C803" i="4"/>
  <c r="B803" i="4"/>
  <c r="A803" i="4"/>
  <c r="N802" i="4"/>
  <c r="M802" i="4"/>
  <c r="L802" i="4"/>
  <c r="K802" i="4"/>
  <c r="J802" i="4"/>
  <c r="I802" i="4"/>
  <c r="H802" i="4"/>
  <c r="G802" i="4"/>
  <c r="F802" i="4"/>
  <c r="E802" i="4"/>
  <c r="D802" i="4"/>
  <c r="C802" i="4"/>
  <c r="B802" i="4"/>
  <c r="A802" i="4"/>
  <c r="N801" i="4"/>
  <c r="M801" i="4"/>
  <c r="L801" i="4"/>
  <c r="K801" i="4"/>
  <c r="J801" i="4"/>
  <c r="I801" i="4"/>
  <c r="H801" i="4"/>
  <c r="G801" i="4"/>
  <c r="F801" i="4"/>
  <c r="E801" i="4"/>
  <c r="D801" i="4"/>
  <c r="C801" i="4"/>
  <c r="B801" i="4"/>
  <c r="A801" i="4"/>
  <c r="N800" i="4"/>
  <c r="M800" i="4"/>
  <c r="L800" i="4"/>
  <c r="K800" i="4"/>
  <c r="J800" i="4"/>
  <c r="I800" i="4"/>
  <c r="H800" i="4"/>
  <c r="G800" i="4"/>
  <c r="F800" i="4"/>
  <c r="E800" i="4"/>
  <c r="D800" i="4"/>
  <c r="C800" i="4"/>
  <c r="B800" i="4"/>
  <c r="A800" i="4"/>
  <c r="N799" i="4"/>
  <c r="M799" i="4"/>
  <c r="L799" i="4"/>
  <c r="K799" i="4"/>
  <c r="J799" i="4"/>
  <c r="I799" i="4"/>
  <c r="H799" i="4"/>
  <c r="G799" i="4"/>
  <c r="F799" i="4"/>
  <c r="E799" i="4"/>
  <c r="D799" i="4"/>
  <c r="C799" i="4"/>
  <c r="B799" i="4"/>
  <c r="A799" i="4"/>
  <c r="N798" i="4"/>
  <c r="M798" i="4"/>
  <c r="L798" i="4"/>
  <c r="K798" i="4"/>
  <c r="J798" i="4"/>
  <c r="I798" i="4"/>
  <c r="H798" i="4"/>
  <c r="G798" i="4"/>
  <c r="F798" i="4"/>
  <c r="E798" i="4"/>
  <c r="D798" i="4"/>
  <c r="C798" i="4"/>
  <c r="B798" i="4"/>
  <c r="A798" i="4"/>
  <c r="N797" i="4"/>
  <c r="M797" i="4"/>
  <c r="L797" i="4"/>
  <c r="K797" i="4"/>
  <c r="J797" i="4"/>
  <c r="I797" i="4"/>
  <c r="H797" i="4"/>
  <c r="G797" i="4"/>
  <c r="F797" i="4"/>
  <c r="E797" i="4"/>
  <c r="D797" i="4"/>
  <c r="C797" i="4"/>
  <c r="B797" i="4"/>
  <c r="A797" i="4"/>
  <c r="N796" i="4"/>
  <c r="M796" i="4"/>
  <c r="L796" i="4"/>
  <c r="K796" i="4"/>
  <c r="J796" i="4"/>
  <c r="I796" i="4"/>
  <c r="H796" i="4"/>
  <c r="G796" i="4"/>
  <c r="F796" i="4"/>
  <c r="E796" i="4"/>
  <c r="D796" i="4"/>
  <c r="C796" i="4"/>
  <c r="B796" i="4"/>
  <c r="A796" i="4"/>
  <c r="N795" i="4"/>
  <c r="M795" i="4"/>
  <c r="L795" i="4"/>
  <c r="K795" i="4"/>
  <c r="J795" i="4"/>
  <c r="I795" i="4"/>
  <c r="H795" i="4"/>
  <c r="G795" i="4"/>
  <c r="F795" i="4"/>
  <c r="E795" i="4"/>
  <c r="D795" i="4"/>
  <c r="C795" i="4"/>
  <c r="B795" i="4"/>
  <c r="A795" i="4"/>
  <c r="N794" i="4"/>
  <c r="M794" i="4"/>
  <c r="L794" i="4"/>
  <c r="K794" i="4"/>
  <c r="J794" i="4"/>
  <c r="I794" i="4"/>
  <c r="H794" i="4"/>
  <c r="G794" i="4"/>
  <c r="F794" i="4"/>
  <c r="E794" i="4"/>
  <c r="D794" i="4"/>
  <c r="C794" i="4"/>
  <c r="B794" i="4"/>
  <c r="A794" i="4"/>
  <c r="N793" i="4"/>
  <c r="M793" i="4"/>
  <c r="L793" i="4"/>
  <c r="K793" i="4"/>
  <c r="J793" i="4"/>
  <c r="I793" i="4"/>
  <c r="H793" i="4"/>
  <c r="G793" i="4"/>
  <c r="F793" i="4"/>
  <c r="E793" i="4"/>
  <c r="D793" i="4"/>
  <c r="C793" i="4"/>
  <c r="B793" i="4"/>
  <c r="A793" i="4"/>
  <c r="N792" i="4"/>
  <c r="M792" i="4"/>
  <c r="L792" i="4"/>
  <c r="K792" i="4"/>
  <c r="J792" i="4"/>
  <c r="I792" i="4"/>
  <c r="H792" i="4"/>
  <c r="G792" i="4"/>
  <c r="F792" i="4"/>
  <c r="E792" i="4"/>
  <c r="D792" i="4"/>
  <c r="C792" i="4"/>
  <c r="B792" i="4"/>
  <c r="A792" i="4"/>
  <c r="N791" i="4"/>
  <c r="M791" i="4"/>
  <c r="L791" i="4"/>
  <c r="K791" i="4"/>
  <c r="J791" i="4"/>
  <c r="I791" i="4"/>
  <c r="H791" i="4"/>
  <c r="G791" i="4"/>
  <c r="F791" i="4"/>
  <c r="E791" i="4"/>
  <c r="D791" i="4"/>
  <c r="C791" i="4"/>
  <c r="B791" i="4"/>
  <c r="A791" i="4"/>
  <c r="N790" i="4"/>
  <c r="M790" i="4"/>
  <c r="L790" i="4"/>
  <c r="K790" i="4"/>
  <c r="J790" i="4"/>
  <c r="I790" i="4"/>
  <c r="H790" i="4"/>
  <c r="G790" i="4"/>
  <c r="F790" i="4"/>
  <c r="E790" i="4"/>
  <c r="D790" i="4"/>
  <c r="C790" i="4"/>
  <c r="B790" i="4"/>
  <c r="A790" i="4"/>
  <c r="N789" i="4"/>
  <c r="M789" i="4"/>
  <c r="L789" i="4"/>
  <c r="K789" i="4"/>
  <c r="J789" i="4"/>
  <c r="I789" i="4"/>
  <c r="H789" i="4"/>
  <c r="G789" i="4"/>
  <c r="F789" i="4"/>
  <c r="E789" i="4"/>
  <c r="D789" i="4"/>
  <c r="C789" i="4"/>
  <c r="B789" i="4"/>
  <c r="A789" i="4"/>
  <c r="N788" i="4"/>
  <c r="M788" i="4"/>
  <c r="L788" i="4"/>
  <c r="K788" i="4"/>
  <c r="J788" i="4"/>
  <c r="I788" i="4"/>
  <c r="H788" i="4"/>
  <c r="G788" i="4"/>
  <c r="F788" i="4"/>
  <c r="E788" i="4"/>
  <c r="D788" i="4"/>
  <c r="C788" i="4"/>
  <c r="B788" i="4"/>
  <c r="A788" i="4"/>
  <c r="N787" i="4"/>
  <c r="M787" i="4"/>
  <c r="L787" i="4"/>
  <c r="K787" i="4"/>
  <c r="J787" i="4"/>
  <c r="I787" i="4"/>
  <c r="H787" i="4"/>
  <c r="G787" i="4"/>
  <c r="F787" i="4"/>
  <c r="E787" i="4"/>
  <c r="D787" i="4"/>
  <c r="C787" i="4"/>
  <c r="B787" i="4"/>
  <c r="A787" i="4"/>
  <c r="N786" i="4"/>
  <c r="M786" i="4"/>
  <c r="L786" i="4"/>
  <c r="K786" i="4"/>
  <c r="J786" i="4"/>
  <c r="I786" i="4"/>
  <c r="H786" i="4"/>
  <c r="G786" i="4"/>
  <c r="F786" i="4"/>
  <c r="E786" i="4"/>
  <c r="D786" i="4"/>
  <c r="C786" i="4"/>
  <c r="B786" i="4"/>
  <c r="A786" i="4"/>
  <c r="N785" i="4"/>
  <c r="M785" i="4"/>
  <c r="L785" i="4"/>
  <c r="K785" i="4"/>
  <c r="J785" i="4"/>
  <c r="I785" i="4"/>
  <c r="H785" i="4"/>
  <c r="G785" i="4"/>
  <c r="F785" i="4"/>
  <c r="E785" i="4"/>
  <c r="D785" i="4"/>
  <c r="C785" i="4"/>
  <c r="B785" i="4"/>
  <c r="A785" i="4"/>
  <c r="N784" i="4"/>
  <c r="M784" i="4"/>
  <c r="L784" i="4"/>
  <c r="K784" i="4"/>
  <c r="J784" i="4"/>
  <c r="I784" i="4"/>
  <c r="H784" i="4"/>
  <c r="G784" i="4"/>
  <c r="F784" i="4"/>
  <c r="E784" i="4"/>
  <c r="D784" i="4"/>
  <c r="C784" i="4"/>
  <c r="B784" i="4"/>
  <c r="A784" i="4"/>
  <c r="N783" i="4"/>
  <c r="M783" i="4"/>
  <c r="L783" i="4"/>
  <c r="K783" i="4"/>
  <c r="J783" i="4"/>
  <c r="I783" i="4"/>
  <c r="H783" i="4"/>
  <c r="G783" i="4"/>
  <c r="F783" i="4"/>
  <c r="E783" i="4"/>
  <c r="D783" i="4"/>
  <c r="C783" i="4"/>
  <c r="B783" i="4"/>
  <c r="A783" i="4"/>
  <c r="N782" i="4"/>
  <c r="M782" i="4"/>
  <c r="L782" i="4"/>
  <c r="K782" i="4"/>
  <c r="J782" i="4"/>
  <c r="I782" i="4"/>
  <c r="H782" i="4"/>
  <c r="G782" i="4"/>
  <c r="F782" i="4"/>
  <c r="E782" i="4"/>
  <c r="D782" i="4"/>
  <c r="C782" i="4"/>
  <c r="B782" i="4"/>
  <c r="A782" i="4"/>
  <c r="N781" i="4"/>
  <c r="M781" i="4"/>
  <c r="L781" i="4"/>
  <c r="K781" i="4"/>
  <c r="J781" i="4"/>
  <c r="I781" i="4"/>
  <c r="H781" i="4"/>
  <c r="G781" i="4"/>
  <c r="F781" i="4"/>
  <c r="E781" i="4"/>
  <c r="D781" i="4"/>
  <c r="C781" i="4"/>
  <c r="B781" i="4"/>
  <c r="A781" i="4"/>
  <c r="N780" i="4"/>
  <c r="M780" i="4"/>
  <c r="L780" i="4"/>
  <c r="K780" i="4"/>
  <c r="J780" i="4"/>
  <c r="I780" i="4"/>
  <c r="H780" i="4"/>
  <c r="G780" i="4"/>
  <c r="F780" i="4"/>
  <c r="E780" i="4"/>
  <c r="D780" i="4"/>
  <c r="C780" i="4"/>
  <c r="B780" i="4"/>
  <c r="A780" i="4"/>
  <c r="N779" i="4"/>
  <c r="M779" i="4"/>
  <c r="L779" i="4"/>
  <c r="K779" i="4"/>
  <c r="J779" i="4"/>
  <c r="I779" i="4"/>
  <c r="H779" i="4"/>
  <c r="G779" i="4"/>
  <c r="F779" i="4"/>
  <c r="E779" i="4"/>
  <c r="D779" i="4"/>
  <c r="C779" i="4"/>
  <c r="B779" i="4"/>
  <c r="A779" i="4"/>
  <c r="N778" i="4"/>
  <c r="M778" i="4"/>
  <c r="L778" i="4"/>
  <c r="K778" i="4"/>
  <c r="J778" i="4"/>
  <c r="I778" i="4"/>
  <c r="H778" i="4"/>
  <c r="G778" i="4"/>
  <c r="F778" i="4"/>
  <c r="E778" i="4"/>
  <c r="D778" i="4"/>
  <c r="C778" i="4"/>
  <c r="B778" i="4"/>
  <c r="A778" i="4"/>
  <c r="N777" i="4"/>
  <c r="M777" i="4"/>
  <c r="L777" i="4"/>
  <c r="K777" i="4"/>
  <c r="J777" i="4"/>
  <c r="I777" i="4"/>
  <c r="H777" i="4"/>
  <c r="G777" i="4"/>
  <c r="F777" i="4"/>
  <c r="E777" i="4"/>
  <c r="D777" i="4"/>
  <c r="C777" i="4"/>
  <c r="B777" i="4"/>
  <c r="A777" i="4"/>
  <c r="N776" i="4"/>
  <c r="M776" i="4"/>
  <c r="L776" i="4"/>
  <c r="K776" i="4"/>
  <c r="J776" i="4"/>
  <c r="I776" i="4"/>
  <c r="H776" i="4"/>
  <c r="G776" i="4"/>
  <c r="F776" i="4"/>
  <c r="E776" i="4"/>
  <c r="D776" i="4"/>
  <c r="C776" i="4"/>
  <c r="B776" i="4"/>
  <c r="A776" i="4"/>
  <c r="N775" i="4"/>
  <c r="M775" i="4"/>
  <c r="L775" i="4"/>
  <c r="K775" i="4"/>
  <c r="J775" i="4"/>
  <c r="I775" i="4"/>
  <c r="H775" i="4"/>
  <c r="G775" i="4"/>
  <c r="F775" i="4"/>
  <c r="E775" i="4"/>
  <c r="D775" i="4"/>
  <c r="C775" i="4"/>
  <c r="B775" i="4"/>
  <c r="A775" i="4"/>
  <c r="N774" i="4"/>
  <c r="M774" i="4"/>
  <c r="L774" i="4"/>
  <c r="K774" i="4"/>
  <c r="J774" i="4"/>
  <c r="I774" i="4"/>
  <c r="H774" i="4"/>
  <c r="G774" i="4"/>
  <c r="F774" i="4"/>
  <c r="E774" i="4"/>
  <c r="D774" i="4"/>
  <c r="C774" i="4"/>
  <c r="B774" i="4"/>
  <c r="A774" i="4"/>
  <c r="N773" i="4"/>
  <c r="M773" i="4"/>
  <c r="L773" i="4"/>
  <c r="K773" i="4"/>
  <c r="J773" i="4"/>
  <c r="I773" i="4"/>
  <c r="H773" i="4"/>
  <c r="G773" i="4"/>
  <c r="F773" i="4"/>
  <c r="E773" i="4"/>
  <c r="D773" i="4"/>
  <c r="C773" i="4"/>
  <c r="B773" i="4"/>
  <c r="A773" i="4"/>
  <c r="N772" i="4"/>
  <c r="M772" i="4"/>
  <c r="L772" i="4"/>
  <c r="K772" i="4"/>
  <c r="J772" i="4"/>
  <c r="I772" i="4"/>
  <c r="H772" i="4"/>
  <c r="G772" i="4"/>
  <c r="F772" i="4"/>
  <c r="E772" i="4"/>
  <c r="D772" i="4"/>
  <c r="C772" i="4"/>
  <c r="B772" i="4"/>
  <c r="A772" i="4"/>
  <c r="N771" i="4"/>
  <c r="M771" i="4"/>
  <c r="L771" i="4"/>
  <c r="K771" i="4"/>
  <c r="J771" i="4"/>
  <c r="I771" i="4"/>
  <c r="H771" i="4"/>
  <c r="G771" i="4"/>
  <c r="F771" i="4"/>
  <c r="E771" i="4"/>
  <c r="D771" i="4"/>
  <c r="C771" i="4"/>
  <c r="B771" i="4"/>
  <c r="A771" i="4"/>
  <c r="N770" i="4"/>
  <c r="M770" i="4"/>
  <c r="L770" i="4"/>
  <c r="K770" i="4"/>
  <c r="J770" i="4"/>
  <c r="I770" i="4"/>
  <c r="H770" i="4"/>
  <c r="G770" i="4"/>
  <c r="F770" i="4"/>
  <c r="E770" i="4"/>
  <c r="D770" i="4"/>
  <c r="C770" i="4"/>
  <c r="B770" i="4"/>
  <c r="A770" i="4"/>
  <c r="N769" i="4"/>
  <c r="M769" i="4"/>
  <c r="L769" i="4"/>
  <c r="K769" i="4"/>
  <c r="J769" i="4"/>
  <c r="I769" i="4"/>
  <c r="H769" i="4"/>
  <c r="G769" i="4"/>
  <c r="F769" i="4"/>
  <c r="E769" i="4"/>
  <c r="D769" i="4"/>
  <c r="C769" i="4"/>
  <c r="B769" i="4"/>
  <c r="A769" i="4"/>
  <c r="N768" i="4"/>
  <c r="M768" i="4"/>
  <c r="L768" i="4"/>
  <c r="K768" i="4"/>
  <c r="J768" i="4"/>
  <c r="I768" i="4"/>
  <c r="H768" i="4"/>
  <c r="G768" i="4"/>
  <c r="F768" i="4"/>
  <c r="E768" i="4"/>
  <c r="D768" i="4"/>
  <c r="C768" i="4"/>
  <c r="B768" i="4"/>
  <c r="A768" i="4"/>
  <c r="N767" i="4"/>
  <c r="M767" i="4"/>
  <c r="L767" i="4"/>
  <c r="K767" i="4"/>
  <c r="J767" i="4"/>
  <c r="I767" i="4"/>
  <c r="H767" i="4"/>
  <c r="G767" i="4"/>
  <c r="F767" i="4"/>
  <c r="E767" i="4"/>
  <c r="D767" i="4"/>
  <c r="C767" i="4"/>
  <c r="B767" i="4"/>
  <c r="A767" i="4"/>
  <c r="N766" i="4"/>
  <c r="M766" i="4"/>
  <c r="L766" i="4"/>
  <c r="K766" i="4"/>
  <c r="J766" i="4"/>
  <c r="I766" i="4"/>
  <c r="H766" i="4"/>
  <c r="G766" i="4"/>
  <c r="F766" i="4"/>
  <c r="E766" i="4"/>
  <c r="D766" i="4"/>
  <c r="C766" i="4"/>
  <c r="B766" i="4"/>
  <c r="A766" i="4"/>
  <c r="N765" i="4"/>
  <c r="M765" i="4"/>
  <c r="L765" i="4"/>
  <c r="K765" i="4"/>
  <c r="J765" i="4"/>
  <c r="I765" i="4"/>
  <c r="H765" i="4"/>
  <c r="G765" i="4"/>
  <c r="F765" i="4"/>
  <c r="E765" i="4"/>
  <c r="D765" i="4"/>
  <c r="C765" i="4"/>
  <c r="B765" i="4"/>
  <c r="A765" i="4"/>
  <c r="N764" i="4"/>
  <c r="M764" i="4"/>
  <c r="L764" i="4"/>
  <c r="K764" i="4"/>
  <c r="J764" i="4"/>
  <c r="I764" i="4"/>
  <c r="H764" i="4"/>
  <c r="G764" i="4"/>
  <c r="F764" i="4"/>
  <c r="E764" i="4"/>
  <c r="D764" i="4"/>
  <c r="C764" i="4"/>
  <c r="B764" i="4"/>
  <c r="A764" i="4"/>
  <c r="N763" i="4"/>
  <c r="M763" i="4"/>
  <c r="L763" i="4"/>
  <c r="K763" i="4"/>
  <c r="J763" i="4"/>
  <c r="I763" i="4"/>
  <c r="H763" i="4"/>
  <c r="G763" i="4"/>
  <c r="F763" i="4"/>
  <c r="E763" i="4"/>
  <c r="D763" i="4"/>
  <c r="C763" i="4"/>
  <c r="B763" i="4"/>
  <c r="A763" i="4"/>
  <c r="N762" i="4"/>
  <c r="M762" i="4"/>
  <c r="L762" i="4"/>
  <c r="K762" i="4"/>
  <c r="J762" i="4"/>
  <c r="I762" i="4"/>
  <c r="H762" i="4"/>
  <c r="G762" i="4"/>
  <c r="F762" i="4"/>
  <c r="E762" i="4"/>
  <c r="D762" i="4"/>
  <c r="C762" i="4"/>
  <c r="B762" i="4"/>
  <c r="A762" i="4"/>
  <c r="N761" i="4"/>
  <c r="M761" i="4"/>
  <c r="L761" i="4"/>
  <c r="K761" i="4"/>
  <c r="J761" i="4"/>
  <c r="I761" i="4"/>
  <c r="H761" i="4"/>
  <c r="G761" i="4"/>
  <c r="F761" i="4"/>
  <c r="E761" i="4"/>
  <c r="D761" i="4"/>
  <c r="C761" i="4"/>
  <c r="B761" i="4"/>
  <c r="A761" i="4"/>
  <c r="N760" i="4"/>
  <c r="M760" i="4"/>
  <c r="L760" i="4"/>
  <c r="K760" i="4"/>
  <c r="J760" i="4"/>
  <c r="I760" i="4"/>
  <c r="H760" i="4"/>
  <c r="G760" i="4"/>
  <c r="F760" i="4"/>
  <c r="E760" i="4"/>
  <c r="D760" i="4"/>
  <c r="C760" i="4"/>
  <c r="B760" i="4"/>
  <c r="A760" i="4"/>
  <c r="N759" i="4"/>
  <c r="M759" i="4"/>
  <c r="L759" i="4"/>
  <c r="K759" i="4"/>
  <c r="J759" i="4"/>
  <c r="I759" i="4"/>
  <c r="H759" i="4"/>
  <c r="G759" i="4"/>
  <c r="F759" i="4"/>
  <c r="E759" i="4"/>
  <c r="D759" i="4"/>
  <c r="C759" i="4"/>
  <c r="B759" i="4"/>
  <c r="A759" i="4"/>
  <c r="N758" i="4"/>
  <c r="M758" i="4"/>
  <c r="L758" i="4"/>
  <c r="K758" i="4"/>
  <c r="J758" i="4"/>
  <c r="I758" i="4"/>
  <c r="H758" i="4"/>
  <c r="G758" i="4"/>
  <c r="F758" i="4"/>
  <c r="E758" i="4"/>
  <c r="D758" i="4"/>
  <c r="C758" i="4"/>
  <c r="B758" i="4"/>
  <c r="A758" i="4"/>
  <c r="N757" i="4"/>
  <c r="M757" i="4"/>
  <c r="L757" i="4"/>
  <c r="K757" i="4"/>
  <c r="J757" i="4"/>
  <c r="I757" i="4"/>
  <c r="H757" i="4"/>
  <c r="G757" i="4"/>
  <c r="F757" i="4"/>
  <c r="E757" i="4"/>
  <c r="D757" i="4"/>
  <c r="C757" i="4"/>
  <c r="B757" i="4"/>
  <c r="A757" i="4"/>
  <c r="N756" i="4"/>
  <c r="M756" i="4"/>
  <c r="L756" i="4"/>
  <c r="K756" i="4"/>
  <c r="J756" i="4"/>
  <c r="I756" i="4"/>
  <c r="H756" i="4"/>
  <c r="G756" i="4"/>
  <c r="F756" i="4"/>
  <c r="E756" i="4"/>
  <c r="D756" i="4"/>
  <c r="C756" i="4"/>
  <c r="B756" i="4"/>
  <c r="A756" i="4"/>
  <c r="N755" i="4"/>
  <c r="M755" i="4"/>
  <c r="L755" i="4"/>
  <c r="K755" i="4"/>
  <c r="J755" i="4"/>
  <c r="I755" i="4"/>
  <c r="H755" i="4"/>
  <c r="G755" i="4"/>
  <c r="F755" i="4"/>
  <c r="E755" i="4"/>
  <c r="D755" i="4"/>
  <c r="C755" i="4"/>
  <c r="B755" i="4"/>
  <c r="A755" i="4"/>
  <c r="N754" i="4"/>
  <c r="M754" i="4"/>
  <c r="L754" i="4"/>
  <c r="K754" i="4"/>
  <c r="J754" i="4"/>
  <c r="I754" i="4"/>
  <c r="H754" i="4"/>
  <c r="G754" i="4"/>
  <c r="F754" i="4"/>
  <c r="E754" i="4"/>
  <c r="D754" i="4"/>
  <c r="C754" i="4"/>
  <c r="B754" i="4"/>
  <c r="A754" i="4"/>
  <c r="N753" i="4"/>
  <c r="M753" i="4"/>
  <c r="L753" i="4"/>
  <c r="K753" i="4"/>
  <c r="J753" i="4"/>
  <c r="I753" i="4"/>
  <c r="H753" i="4"/>
  <c r="G753" i="4"/>
  <c r="F753" i="4"/>
  <c r="E753" i="4"/>
  <c r="D753" i="4"/>
  <c r="C753" i="4"/>
  <c r="B753" i="4"/>
  <c r="A753" i="4"/>
  <c r="N752" i="4"/>
  <c r="M752" i="4"/>
  <c r="L752" i="4"/>
  <c r="K752" i="4"/>
  <c r="J752" i="4"/>
  <c r="I752" i="4"/>
  <c r="H752" i="4"/>
  <c r="G752" i="4"/>
  <c r="F752" i="4"/>
  <c r="E752" i="4"/>
  <c r="D752" i="4"/>
  <c r="C752" i="4"/>
  <c r="B752" i="4"/>
  <c r="A752" i="4"/>
  <c r="N751" i="4"/>
  <c r="M751" i="4"/>
  <c r="L751" i="4"/>
  <c r="K751" i="4"/>
  <c r="J751" i="4"/>
  <c r="I751" i="4"/>
  <c r="H751" i="4"/>
  <c r="G751" i="4"/>
  <c r="F751" i="4"/>
  <c r="E751" i="4"/>
  <c r="D751" i="4"/>
  <c r="C751" i="4"/>
  <c r="B751" i="4"/>
  <c r="A751" i="4"/>
  <c r="N750" i="4"/>
  <c r="M750" i="4"/>
  <c r="L750" i="4"/>
  <c r="K750" i="4"/>
  <c r="J750" i="4"/>
  <c r="I750" i="4"/>
  <c r="H750" i="4"/>
  <c r="G750" i="4"/>
  <c r="F750" i="4"/>
  <c r="E750" i="4"/>
  <c r="D750" i="4"/>
  <c r="C750" i="4"/>
  <c r="B750" i="4"/>
  <c r="A750" i="4"/>
  <c r="N749" i="4"/>
  <c r="M749" i="4"/>
  <c r="L749" i="4"/>
  <c r="K749" i="4"/>
  <c r="J749" i="4"/>
  <c r="I749" i="4"/>
  <c r="H749" i="4"/>
  <c r="G749" i="4"/>
  <c r="F749" i="4"/>
  <c r="E749" i="4"/>
  <c r="D749" i="4"/>
  <c r="C749" i="4"/>
  <c r="B749" i="4"/>
  <c r="A749" i="4"/>
  <c r="N748" i="4"/>
  <c r="M748" i="4"/>
  <c r="L748" i="4"/>
  <c r="K748" i="4"/>
  <c r="J748" i="4"/>
  <c r="I748" i="4"/>
  <c r="H748" i="4"/>
  <c r="G748" i="4"/>
  <c r="F748" i="4"/>
  <c r="E748" i="4"/>
  <c r="D748" i="4"/>
  <c r="C748" i="4"/>
  <c r="B748" i="4"/>
  <c r="A748" i="4"/>
  <c r="N747" i="4"/>
  <c r="M747" i="4"/>
  <c r="L747" i="4"/>
  <c r="K747" i="4"/>
  <c r="J747" i="4"/>
  <c r="I747" i="4"/>
  <c r="H747" i="4"/>
  <c r="G747" i="4"/>
  <c r="F747" i="4"/>
  <c r="E747" i="4"/>
  <c r="D747" i="4"/>
  <c r="C747" i="4"/>
  <c r="B747" i="4"/>
  <c r="A747" i="4"/>
  <c r="N746" i="4"/>
  <c r="M746" i="4"/>
  <c r="L746" i="4"/>
  <c r="K746" i="4"/>
  <c r="J746" i="4"/>
  <c r="I746" i="4"/>
  <c r="H746" i="4"/>
  <c r="G746" i="4"/>
  <c r="F746" i="4"/>
  <c r="E746" i="4"/>
  <c r="D746" i="4"/>
  <c r="C746" i="4"/>
  <c r="B746" i="4"/>
  <c r="A746" i="4"/>
  <c r="N745" i="4"/>
  <c r="M745" i="4"/>
  <c r="L745" i="4"/>
  <c r="K745" i="4"/>
  <c r="J745" i="4"/>
  <c r="I745" i="4"/>
  <c r="H745" i="4"/>
  <c r="G745" i="4"/>
  <c r="F745" i="4"/>
  <c r="E745" i="4"/>
  <c r="D745" i="4"/>
  <c r="C745" i="4"/>
  <c r="B745" i="4"/>
  <c r="A745" i="4"/>
  <c r="N744" i="4"/>
  <c r="M744" i="4"/>
  <c r="L744" i="4"/>
  <c r="K744" i="4"/>
  <c r="J744" i="4"/>
  <c r="I744" i="4"/>
  <c r="H744" i="4"/>
  <c r="G744" i="4"/>
  <c r="F744" i="4"/>
  <c r="E744" i="4"/>
  <c r="D744" i="4"/>
  <c r="C744" i="4"/>
  <c r="B744" i="4"/>
  <c r="A744" i="4"/>
  <c r="N743" i="4"/>
  <c r="M743" i="4"/>
  <c r="L743" i="4"/>
  <c r="K743" i="4"/>
  <c r="J743" i="4"/>
  <c r="I743" i="4"/>
  <c r="H743" i="4"/>
  <c r="G743" i="4"/>
  <c r="F743" i="4"/>
  <c r="E743" i="4"/>
  <c r="D743" i="4"/>
  <c r="C743" i="4"/>
  <c r="B743" i="4"/>
  <c r="A743" i="4"/>
  <c r="N742" i="4"/>
  <c r="M742" i="4"/>
  <c r="L742" i="4"/>
  <c r="K742" i="4"/>
  <c r="J742" i="4"/>
  <c r="I742" i="4"/>
  <c r="H742" i="4"/>
  <c r="G742" i="4"/>
  <c r="F742" i="4"/>
  <c r="E742" i="4"/>
  <c r="D742" i="4"/>
  <c r="C742" i="4"/>
  <c r="B742" i="4"/>
  <c r="A742" i="4"/>
  <c r="N741" i="4"/>
  <c r="M741" i="4"/>
  <c r="L741" i="4"/>
  <c r="K741" i="4"/>
  <c r="J741" i="4"/>
  <c r="I741" i="4"/>
  <c r="H741" i="4"/>
  <c r="G741" i="4"/>
  <c r="F741" i="4"/>
  <c r="E741" i="4"/>
  <c r="D741" i="4"/>
  <c r="C741" i="4"/>
  <c r="B741" i="4"/>
  <c r="A741" i="4"/>
  <c r="N740" i="4"/>
  <c r="M740" i="4"/>
  <c r="L740" i="4"/>
  <c r="K740" i="4"/>
  <c r="J740" i="4"/>
  <c r="I740" i="4"/>
  <c r="H740" i="4"/>
  <c r="G740" i="4"/>
  <c r="F740" i="4"/>
  <c r="E740" i="4"/>
  <c r="D740" i="4"/>
  <c r="C740" i="4"/>
  <c r="B740" i="4"/>
  <c r="A740" i="4"/>
  <c r="N739" i="4"/>
  <c r="M739" i="4"/>
  <c r="L739" i="4"/>
  <c r="K739" i="4"/>
  <c r="J739" i="4"/>
  <c r="I739" i="4"/>
  <c r="H739" i="4"/>
  <c r="G739" i="4"/>
  <c r="F739" i="4"/>
  <c r="E739" i="4"/>
  <c r="D739" i="4"/>
  <c r="C739" i="4"/>
  <c r="B739" i="4"/>
  <c r="A739" i="4"/>
  <c r="N738" i="4"/>
  <c r="M738" i="4"/>
  <c r="L738" i="4"/>
  <c r="K738" i="4"/>
  <c r="J738" i="4"/>
  <c r="I738" i="4"/>
  <c r="H738" i="4"/>
  <c r="G738" i="4"/>
  <c r="F738" i="4"/>
  <c r="E738" i="4"/>
  <c r="D738" i="4"/>
  <c r="C738" i="4"/>
  <c r="B738" i="4"/>
  <c r="A738" i="4"/>
  <c r="N737" i="4"/>
  <c r="M737" i="4"/>
  <c r="L737" i="4"/>
  <c r="K737" i="4"/>
  <c r="J737" i="4"/>
  <c r="I737" i="4"/>
  <c r="H737" i="4"/>
  <c r="G737" i="4"/>
  <c r="F737" i="4"/>
  <c r="E737" i="4"/>
  <c r="D737" i="4"/>
  <c r="C737" i="4"/>
  <c r="B737" i="4"/>
  <c r="A737" i="4"/>
  <c r="N736" i="4"/>
  <c r="M736" i="4"/>
  <c r="L736" i="4"/>
  <c r="K736" i="4"/>
  <c r="J736" i="4"/>
  <c r="I736" i="4"/>
  <c r="H736" i="4"/>
  <c r="G736" i="4"/>
  <c r="F736" i="4"/>
  <c r="E736" i="4"/>
  <c r="D736" i="4"/>
  <c r="C736" i="4"/>
  <c r="B736" i="4"/>
  <c r="A736" i="4"/>
  <c r="N735" i="4"/>
  <c r="M735" i="4"/>
  <c r="L735" i="4"/>
  <c r="K735" i="4"/>
  <c r="J735" i="4"/>
  <c r="I735" i="4"/>
  <c r="H735" i="4"/>
  <c r="G735" i="4"/>
  <c r="F735" i="4"/>
  <c r="E735" i="4"/>
  <c r="D735" i="4"/>
  <c r="C735" i="4"/>
  <c r="B735" i="4"/>
  <c r="A735" i="4"/>
  <c r="N734" i="4"/>
  <c r="M734" i="4"/>
  <c r="L734" i="4"/>
  <c r="K734" i="4"/>
  <c r="J734" i="4"/>
  <c r="I734" i="4"/>
  <c r="H734" i="4"/>
  <c r="G734" i="4"/>
  <c r="F734" i="4"/>
  <c r="E734" i="4"/>
  <c r="D734" i="4"/>
  <c r="C734" i="4"/>
  <c r="B734" i="4"/>
  <c r="A734" i="4"/>
  <c r="N733" i="4"/>
  <c r="M733" i="4"/>
  <c r="L733" i="4"/>
  <c r="K733" i="4"/>
  <c r="J733" i="4"/>
  <c r="I733" i="4"/>
  <c r="H733" i="4"/>
  <c r="G733" i="4"/>
  <c r="F733" i="4"/>
  <c r="E733" i="4"/>
  <c r="D733" i="4"/>
  <c r="C733" i="4"/>
  <c r="B733" i="4"/>
  <c r="A733" i="4"/>
  <c r="N732" i="4"/>
  <c r="M732" i="4"/>
  <c r="L732" i="4"/>
  <c r="K732" i="4"/>
  <c r="J732" i="4"/>
  <c r="I732" i="4"/>
  <c r="H732" i="4"/>
  <c r="G732" i="4"/>
  <c r="F732" i="4"/>
  <c r="E732" i="4"/>
  <c r="D732" i="4"/>
  <c r="C732" i="4"/>
  <c r="B732" i="4"/>
  <c r="A732" i="4"/>
  <c r="N731" i="4"/>
  <c r="M731" i="4"/>
  <c r="L731" i="4"/>
  <c r="K731" i="4"/>
  <c r="J731" i="4"/>
  <c r="I731" i="4"/>
  <c r="H731" i="4"/>
  <c r="G731" i="4"/>
  <c r="F731" i="4"/>
  <c r="E731" i="4"/>
  <c r="D731" i="4"/>
  <c r="C731" i="4"/>
  <c r="B731" i="4"/>
  <c r="A731" i="4"/>
  <c r="N730" i="4"/>
  <c r="M730" i="4"/>
  <c r="L730" i="4"/>
  <c r="K730" i="4"/>
  <c r="J730" i="4"/>
  <c r="I730" i="4"/>
  <c r="H730" i="4"/>
  <c r="G730" i="4"/>
  <c r="F730" i="4"/>
  <c r="E730" i="4"/>
  <c r="D730" i="4"/>
  <c r="C730" i="4"/>
  <c r="B730" i="4"/>
  <c r="A730" i="4"/>
  <c r="N729" i="4"/>
  <c r="M729" i="4"/>
  <c r="L729" i="4"/>
  <c r="K729" i="4"/>
  <c r="J729" i="4"/>
  <c r="I729" i="4"/>
  <c r="H729" i="4"/>
  <c r="G729" i="4"/>
  <c r="F729" i="4"/>
  <c r="E729" i="4"/>
  <c r="D729" i="4"/>
  <c r="C729" i="4"/>
  <c r="B729" i="4"/>
  <c r="A729" i="4"/>
  <c r="N728" i="4"/>
  <c r="M728" i="4"/>
  <c r="L728" i="4"/>
  <c r="K728" i="4"/>
  <c r="J728" i="4"/>
  <c r="I728" i="4"/>
  <c r="H728" i="4"/>
  <c r="G728" i="4"/>
  <c r="F728" i="4"/>
  <c r="E728" i="4"/>
  <c r="D728" i="4"/>
  <c r="C728" i="4"/>
  <c r="B728" i="4"/>
  <c r="A728" i="4"/>
  <c r="N727" i="4"/>
  <c r="M727" i="4"/>
  <c r="L727" i="4"/>
  <c r="K727" i="4"/>
  <c r="J727" i="4"/>
  <c r="I727" i="4"/>
  <c r="H727" i="4"/>
  <c r="G727" i="4"/>
  <c r="F727" i="4"/>
  <c r="E727" i="4"/>
  <c r="D727" i="4"/>
  <c r="C727" i="4"/>
  <c r="B727" i="4"/>
  <c r="A727" i="4"/>
  <c r="N726" i="4"/>
  <c r="M726" i="4"/>
  <c r="L726" i="4"/>
  <c r="K726" i="4"/>
  <c r="J726" i="4"/>
  <c r="I726" i="4"/>
  <c r="H726" i="4"/>
  <c r="G726" i="4"/>
  <c r="F726" i="4"/>
  <c r="E726" i="4"/>
  <c r="D726" i="4"/>
  <c r="C726" i="4"/>
  <c r="B726" i="4"/>
  <c r="A726" i="4"/>
  <c r="N725" i="4"/>
  <c r="M725" i="4"/>
  <c r="L725" i="4"/>
  <c r="K725" i="4"/>
  <c r="J725" i="4"/>
  <c r="I725" i="4"/>
  <c r="H725" i="4"/>
  <c r="G725" i="4"/>
  <c r="F725" i="4"/>
  <c r="E725" i="4"/>
  <c r="D725" i="4"/>
  <c r="C725" i="4"/>
  <c r="B725" i="4"/>
  <c r="A725" i="4"/>
  <c r="N724" i="4"/>
  <c r="M724" i="4"/>
  <c r="L724" i="4"/>
  <c r="K724" i="4"/>
  <c r="J724" i="4"/>
  <c r="I724" i="4"/>
  <c r="H724" i="4"/>
  <c r="G724" i="4"/>
  <c r="F724" i="4"/>
  <c r="E724" i="4"/>
  <c r="D724" i="4"/>
  <c r="C724" i="4"/>
  <c r="B724" i="4"/>
  <c r="A724" i="4"/>
  <c r="N723" i="4"/>
  <c r="M723" i="4"/>
  <c r="L723" i="4"/>
  <c r="K723" i="4"/>
  <c r="J723" i="4"/>
  <c r="I723" i="4"/>
  <c r="H723" i="4"/>
  <c r="G723" i="4"/>
  <c r="F723" i="4"/>
  <c r="E723" i="4"/>
  <c r="D723" i="4"/>
  <c r="C723" i="4"/>
  <c r="B723" i="4"/>
  <c r="A723" i="4"/>
  <c r="N722" i="4"/>
  <c r="M722" i="4"/>
  <c r="L722" i="4"/>
  <c r="K722" i="4"/>
  <c r="J722" i="4"/>
  <c r="I722" i="4"/>
  <c r="H722" i="4"/>
  <c r="G722" i="4"/>
  <c r="F722" i="4"/>
  <c r="E722" i="4"/>
  <c r="D722" i="4"/>
  <c r="C722" i="4"/>
  <c r="B722" i="4"/>
  <c r="A722" i="4"/>
  <c r="N721" i="4"/>
  <c r="M721" i="4"/>
  <c r="L721" i="4"/>
  <c r="K721" i="4"/>
  <c r="J721" i="4"/>
  <c r="I721" i="4"/>
  <c r="H721" i="4"/>
  <c r="G721" i="4"/>
  <c r="F721" i="4"/>
  <c r="E721" i="4"/>
  <c r="D721" i="4"/>
  <c r="C721" i="4"/>
  <c r="B721" i="4"/>
  <c r="A721" i="4"/>
  <c r="N720" i="4"/>
  <c r="M720" i="4"/>
  <c r="L720" i="4"/>
  <c r="K720" i="4"/>
  <c r="J720" i="4"/>
  <c r="I720" i="4"/>
  <c r="H720" i="4"/>
  <c r="G720" i="4"/>
  <c r="F720" i="4"/>
  <c r="E720" i="4"/>
  <c r="D720" i="4"/>
  <c r="C720" i="4"/>
  <c r="B720" i="4"/>
  <c r="A720" i="4"/>
  <c r="N719" i="4"/>
  <c r="M719" i="4"/>
  <c r="L719" i="4"/>
  <c r="K719" i="4"/>
  <c r="J719" i="4"/>
  <c r="I719" i="4"/>
  <c r="H719" i="4"/>
  <c r="G719" i="4"/>
  <c r="F719" i="4"/>
  <c r="E719" i="4"/>
  <c r="D719" i="4"/>
  <c r="C719" i="4"/>
  <c r="B719" i="4"/>
  <c r="A719" i="4"/>
  <c r="N718" i="4"/>
  <c r="M718" i="4"/>
  <c r="L718" i="4"/>
  <c r="K718" i="4"/>
  <c r="J718" i="4"/>
  <c r="I718" i="4"/>
  <c r="H718" i="4"/>
  <c r="G718" i="4"/>
  <c r="F718" i="4"/>
  <c r="E718" i="4"/>
  <c r="D718" i="4"/>
  <c r="C718" i="4"/>
  <c r="B718" i="4"/>
  <c r="A718" i="4"/>
  <c r="N717" i="4"/>
  <c r="M717" i="4"/>
  <c r="L717" i="4"/>
  <c r="K717" i="4"/>
  <c r="J717" i="4"/>
  <c r="I717" i="4"/>
  <c r="H717" i="4"/>
  <c r="G717" i="4"/>
  <c r="F717" i="4"/>
  <c r="E717" i="4"/>
  <c r="D717" i="4"/>
  <c r="C717" i="4"/>
  <c r="B717" i="4"/>
  <c r="A717" i="4"/>
  <c r="N716" i="4"/>
  <c r="M716" i="4"/>
  <c r="L716" i="4"/>
  <c r="K716" i="4"/>
  <c r="J716" i="4"/>
  <c r="I716" i="4"/>
  <c r="H716" i="4"/>
  <c r="G716" i="4"/>
  <c r="F716" i="4"/>
  <c r="E716" i="4"/>
  <c r="D716" i="4"/>
  <c r="C716" i="4"/>
  <c r="B716" i="4"/>
  <c r="A716" i="4"/>
  <c r="N715" i="4"/>
  <c r="M715" i="4"/>
  <c r="L715" i="4"/>
  <c r="K715" i="4"/>
  <c r="J715" i="4"/>
  <c r="I715" i="4"/>
  <c r="H715" i="4"/>
  <c r="G715" i="4"/>
  <c r="F715" i="4"/>
  <c r="E715" i="4"/>
  <c r="D715" i="4"/>
  <c r="C715" i="4"/>
  <c r="B715" i="4"/>
  <c r="A715" i="4"/>
  <c r="N714" i="4"/>
  <c r="M714" i="4"/>
  <c r="L714" i="4"/>
  <c r="K714" i="4"/>
  <c r="J714" i="4"/>
  <c r="I714" i="4"/>
  <c r="H714" i="4"/>
  <c r="G714" i="4"/>
  <c r="F714" i="4"/>
  <c r="E714" i="4"/>
  <c r="D714" i="4"/>
  <c r="C714" i="4"/>
  <c r="B714" i="4"/>
  <c r="A714" i="4"/>
  <c r="N713" i="4"/>
  <c r="M713" i="4"/>
  <c r="L713" i="4"/>
  <c r="K713" i="4"/>
  <c r="J713" i="4"/>
  <c r="I713" i="4"/>
  <c r="H713" i="4"/>
  <c r="G713" i="4"/>
  <c r="F713" i="4"/>
  <c r="E713" i="4"/>
  <c r="D713" i="4"/>
  <c r="C713" i="4"/>
  <c r="B713" i="4"/>
  <c r="A713" i="4"/>
  <c r="N712" i="4"/>
  <c r="M712" i="4"/>
  <c r="L712" i="4"/>
  <c r="K712" i="4"/>
  <c r="J712" i="4"/>
  <c r="I712" i="4"/>
  <c r="H712" i="4"/>
  <c r="G712" i="4"/>
  <c r="F712" i="4"/>
  <c r="E712" i="4"/>
  <c r="D712" i="4"/>
  <c r="C712" i="4"/>
  <c r="B712" i="4"/>
  <c r="A712" i="4"/>
  <c r="N711" i="4"/>
  <c r="M711" i="4"/>
  <c r="L711" i="4"/>
  <c r="K711" i="4"/>
  <c r="J711" i="4"/>
  <c r="I711" i="4"/>
  <c r="H711" i="4"/>
  <c r="G711" i="4"/>
  <c r="F711" i="4"/>
  <c r="E711" i="4"/>
  <c r="D711" i="4"/>
  <c r="C711" i="4"/>
  <c r="B711" i="4"/>
  <c r="A711" i="4"/>
  <c r="N710" i="4"/>
  <c r="M710" i="4"/>
  <c r="L710" i="4"/>
  <c r="K710" i="4"/>
  <c r="J710" i="4"/>
  <c r="I710" i="4"/>
  <c r="H710" i="4"/>
  <c r="G710" i="4"/>
  <c r="F710" i="4"/>
  <c r="E710" i="4"/>
  <c r="D710" i="4"/>
  <c r="C710" i="4"/>
  <c r="B710" i="4"/>
  <c r="A710" i="4"/>
  <c r="N709" i="4"/>
  <c r="M709" i="4"/>
  <c r="L709" i="4"/>
  <c r="K709" i="4"/>
  <c r="J709" i="4"/>
  <c r="I709" i="4"/>
  <c r="H709" i="4"/>
  <c r="G709" i="4"/>
  <c r="F709" i="4"/>
  <c r="E709" i="4"/>
  <c r="D709" i="4"/>
  <c r="C709" i="4"/>
  <c r="B709" i="4"/>
  <c r="A709" i="4"/>
  <c r="N708" i="4"/>
  <c r="M708" i="4"/>
  <c r="L708" i="4"/>
  <c r="K708" i="4"/>
  <c r="J708" i="4"/>
  <c r="I708" i="4"/>
  <c r="H708" i="4"/>
  <c r="G708" i="4"/>
  <c r="F708" i="4"/>
  <c r="E708" i="4"/>
  <c r="D708" i="4"/>
  <c r="C708" i="4"/>
  <c r="B708" i="4"/>
  <c r="A708" i="4"/>
  <c r="N707" i="4"/>
  <c r="M707" i="4"/>
  <c r="L707" i="4"/>
  <c r="K707" i="4"/>
  <c r="J707" i="4"/>
  <c r="I707" i="4"/>
  <c r="H707" i="4"/>
  <c r="G707" i="4"/>
  <c r="F707" i="4"/>
  <c r="E707" i="4"/>
  <c r="D707" i="4"/>
  <c r="C707" i="4"/>
  <c r="B707" i="4"/>
  <c r="A707" i="4"/>
  <c r="N706" i="4"/>
  <c r="M706" i="4"/>
  <c r="L706" i="4"/>
  <c r="K706" i="4"/>
  <c r="J706" i="4"/>
  <c r="I706" i="4"/>
  <c r="H706" i="4"/>
  <c r="G706" i="4"/>
  <c r="F706" i="4"/>
  <c r="E706" i="4"/>
  <c r="D706" i="4"/>
  <c r="C706" i="4"/>
  <c r="B706" i="4"/>
  <c r="A706" i="4"/>
  <c r="N705" i="4"/>
  <c r="M705" i="4"/>
  <c r="L705" i="4"/>
  <c r="K705" i="4"/>
  <c r="J705" i="4"/>
  <c r="I705" i="4"/>
  <c r="H705" i="4"/>
  <c r="G705" i="4"/>
  <c r="F705" i="4"/>
  <c r="E705" i="4"/>
  <c r="D705" i="4"/>
  <c r="C705" i="4"/>
  <c r="B705" i="4"/>
  <c r="A705" i="4"/>
  <c r="N704" i="4"/>
  <c r="M704" i="4"/>
  <c r="L704" i="4"/>
  <c r="K704" i="4"/>
  <c r="J704" i="4"/>
  <c r="I704" i="4"/>
  <c r="H704" i="4"/>
  <c r="G704" i="4"/>
  <c r="F704" i="4"/>
  <c r="E704" i="4"/>
  <c r="D704" i="4"/>
  <c r="C704" i="4"/>
  <c r="B704" i="4"/>
  <c r="A704" i="4"/>
  <c r="N703" i="4"/>
  <c r="M703" i="4"/>
  <c r="L703" i="4"/>
  <c r="K703" i="4"/>
  <c r="J703" i="4"/>
  <c r="I703" i="4"/>
  <c r="H703" i="4"/>
  <c r="G703" i="4"/>
  <c r="F703" i="4"/>
  <c r="E703" i="4"/>
  <c r="D703" i="4"/>
  <c r="C703" i="4"/>
  <c r="B703" i="4"/>
  <c r="A703" i="4"/>
  <c r="N702" i="4"/>
  <c r="M702" i="4"/>
  <c r="L702" i="4"/>
  <c r="K702" i="4"/>
  <c r="J702" i="4"/>
  <c r="I702" i="4"/>
  <c r="H702" i="4"/>
  <c r="G702" i="4"/>
  <c r="F702" i="4"/>
  <c r="E702" i="4"/>
  <c r="D702" i="4"/>
  <c r="C702" i="4"/>
  <c r="B702" i="4"/>
  <c r="A702" i="4"/>
  <c r="N701" i="4"/>
  <c r="M701" i="4"/>
  <c r="L701" i="4"/>
  <c r="K701" i="4"/>
  <c r="J701" i="4"/>
  <c r="I701" i="4"/>
  <c r="H701" i="4"/>
  <c r="G701" i="4"/>
  <c r="F701" i="4"/>
  <c r="E701" i="4"/>
  <c r="D701" i="4"/>
  <c r="C701" i="4"/>
  <c r="B701" i="4"/>
  <c r="A701" i="4"/>
  <c r="N700" i="4"/>
  <c r="M700" i="4"/>
  <c r="L700" i="4"/>
  <c r="K700" i="4"/>
  <c r="J700" i="4"/>
  <c r="I700" i="4"/>
  <c r="H700" i="4"/>
  <c r="G700" i="4"/>
  <c r="F700" i="4"/>
  <c r="E700" i="4"/>
  <c r="D700" i="4"/>
  <c r="C700" i="4"/>
  <c r="B700" i="4"/>
  <c r="A700" i="4"/>
  <c r="N699" i="4"/>
  <c r="M699" i="4"/>
  <c r="L699" i="4"/>
  <c r="K699" i="4"/>
  <c r="J699" i="4"/>
  <c r="I699" i="4"/>
  <c r="H699" i="4"/>
  <c r="G699" i="4"/>
  <c r="F699" i="4"/>
  <c r="E699" i="4"/>
  <c r="D699" i="4"/>
  <c r="C699" i="4"/>
  <c r="B699" i="4"/>
  <c r="A699" i="4"/>
  <c r="N698" i="4"/>
  <c r="M698" i="4"/>
  <c r="L698" i="4"/>
  <c r="K698" i="4"/>
  <c r="J698" i="4"/>
  <c r="I698" i="4"/>
  <c r="H698" i="4"/>
  <c r="G698" i="4"/>
  <c r="F698" i="4"/>
  <c r="E698" i="4"/>
  <c r="D698" i="4"/>
  <c r="C698" i="4"/>
  <c r="B698" i="4"/>
  <c r="A698" i="4"/>
  <c r="N697" i="4"/>
  <c r="M697" i="4"/>
  <c r="L697" i="4"/>
  <c r="K697" i="4"/>
  <c r="J697" i="4"/>
  <c r="I697" i="4"/>
  <c r="H697" i="4"/>
  <c r="G697" i="4"/>
  <c r="F697" i="4"/>
  <c r="E697" i="4"/>
  <c r="D697" i="4"/>
  <c r="C697" i="4"/>
  <c r="B697" i="4"/>
  <c r="A697" i="4"/>
  <c r="N696" i="4"/>
  <c r="M696" i="4"/>
  <c r="L696" i="4"/>
  <c r="K696" i="4"/>
  <c r="J696" i="4"/>
  <c r="I696" i="4"/>
  <c r="H696" i="4"/>
  <c r="G696" i="4"/>
  <c r="F696" i="4"/>
  <c r="E696" i="4"/>
  <c r="D696" i="4"/>
  <c r="C696" i="4"/>
  <c r="B696" i="4"/>
  <c r="A696" i="4"/>
  <c r="N695" i="4"/>
  <c r="M695" i="4"/>
  <c r="L695" i="4"/>
  <c r="K695" i="4"/>
  <c r="J695" i="4"/>
  <c r="I695" i="4"/>
  <c r="H695" i="4"/>
  <c r="G695" i="4"/>
  <c r="F695" i="4"/>
  <c r="E695" i="4"/>
  <c r="D695" i="4"/>
  <c r="C695" i="4"/>
  <c r="B695" i="4"/>
  <c r="A695" i="4"/>
  <c r="N694" i="4"/>
  <c r="M694" i="4"/>
  <c r="L694" i="4"/>
  <c r="K694" i="4"/>
  <c r="J694" i="4"/>
  <c r="I694" i="4"/>
  <c r="H694" i="4"/>
  <c r="G694" i="4"/>
  <c r="F694" i="4"/>
  <c r="E694" i="4"/>
  <c r="D694" i="4"/>
  <c r="C694" i="4"/>
  <c r="B694" i="4"/>
  <c r="A694" i="4"/>
  <c r="N693" i="4"/>
  <c r="M693" i="4"/>
  <c r="L693" i="4"/>
  <c r="K693" i="4"/>
  <c r="J693" i="4"/>
  <c r="I693" i="4"/>
  <c r="H693" i="4"/>
  <c r="G693" i="4"/>
  <c r="F693" i="4"/>
  <c r="E693" i="4"/>
  <c r="D693" i="4"/>
  <c r="C693" i="4"/>
  <c r="B693" i="4"/>
  <c r="A693" i="4"/>
  <c r="N692" i="4"/>
  <c r="M692" i="4"/>
  <c r="L692" i="4"/>
  <c r="K692" i="4"/>
  <c r="J692" i="4"/>
  <c r="I692" i="4"/>
  <c r="H692" i="4"/>
  <c r="G692" i="4"/>
  <c r="F692" i="4"/>
  <c r="E692" i="4"/>
  <c r="D692" i="4"/>
  <c r="C692" i="4"/>
  <c r="B692" i="4"/>
  <c r="A692" i="4"/>
  <c r="N691" i="4"/>
  <c r="M691" i="4"/>
  <c r="L691" i="4"/>
  <c r="K691" i="4"/>
  <c r="J691" i="4"/>
  <c r="I691" i="4"/>
  <c r="H691" i="4"/>
  <c r="G691" i="4"/>
  <c r="F691" i="4"/>
  <c r="E691" i="4"/>
  <c r="D691" i="4"/>
  <c r="C691" i="4"/>
  <c r="B691" i="4"/>
  <c r="A691" i="4"/>
  <c r="N690" i="4"/>
  <c r="M690" i="4"/>
  <c r="L690" i="4"/>
  <c r="K690" i="4"/>
  <c r="J690" i="4"/>
  <c r="I690" i="4"/>
  <c r="H690" i="4"/>
  <c r="G690" i="4"/>
  <c r="F690" i="4"/>
  <c r="E690" i="4"/>
  <c r="D690" i="4"/>
  <c r="C690" i="4"/>
  <c r="B690" i="4"/>
  <c r="A690" i="4"/>
  <c r="N689" i="4"/>
  <c r="M689" i="4"/>
  <c r="L689" i="4"/>
  <c r="K689" i="4"/>
  <c r="J689" i="4"/>
  <c r="I689" i="4"/>
  <c r="H689" i="4"/>
  <c r="G689" i="4"/>
  <c r="F689" i="4"/>
  <c r="E689" i="4"/>
  <c r="D689" i="4"/>
  <c r="C689" i="4"/>
  <c r="B689" i="4"/>
  <c r="A689" i="4"/>
  <c r="N688" i="4"/>
  <c r="M688" i="4"/>
  <c r="L688" i="4"/>
  <c r="K688" i="4"/>
  <c r="J688" i="4"/>
  <c r="I688" i="4"/>
  <c r="H688" i="4"/>
  <c r="G688" i="4"/>
  <c r="F688" i="4"/>
  <c r="E688" i="4"/>
  <c r="D688" i="4"/>
  <c r="C688" i="4"/>
  <c r="B688" i="4"/>
  <c r="A688" i="4"/>
  <c r="N687" i="4"/>
  <c r="M687" i="4"/>
  <c r="L687" i="4"/>
  <c r="K687" i="4"/>
  <c r="J687" i="4"/>
  <c r="I687" i="4"/>
  <c r="H687" i="4"/>
  <c r="G687" i="4"/>
  <c r="F687" i="4"/>
  <c r="E687" i="4"/>
  <c r="D687" i="4"/>
  <c r="C687" i="4"/>
  <c r="B687" i="4"/>
  <c r="A687" i="4"/>
  <c r="N686" i="4"/>
  <c r="M686" i="4"/>
  <c r="L686" i="4"/>
  <c r="K686" i="4"/>
  <c r="J686" i="4"/>
  <c r="I686" i="4"/>
  <c r="H686" i="4"/>
  <c r="G686" i="4"/>
  <c r="F686" i="4"/>
  <c r="E686" i="4"/>
  <c r="D686" i="4"/>
  <c r="C686" i="4"/>
  <c r="B686" i="4"/>
  <c r="A686" i="4"/>
  <c r="N685" i="4"/>
  <c r="M685" i="4"/>
  <c r="L685" i="4"/>
  <c r="K685" i="4"/>
  <c r="J685" i="4"/>
  <c r="I685" i="4"/>
  <c r="H685" i="4"/>
  <c r="G685" i="4"/>
  <c r="F685" i="4"/>
  <c r="E685" i="4"/>
  <c r="D685" i="4"/>
  <c r="C685" i="4"/>
  <c r="B685" i="4"/>
  <c r="A685" i="4"/>
  <c r="N684" i="4"/>
  <c r="M684" i="4"/>
  <c r="L684" i="4"/>
  <c r="K684" i="4"/>
  <c r="J684" i="4"/>
  <c r="I684" i="4"/>
  <c r="H684" i="4"/>
  <c r="G684" i="4"/>
  <c r="F684" i="4"/>
  <c r="E684" i="4"/>
  <c r="D684" i="4"/>
  <c r="C684" i="4"/>
  <c r="B684" i="4"/>
  <c r="A684" i="4"/>
  <c r="N683" i="4"/>
  <c r="M683" i="4"/>
  <c r="L683" i="4"/>
  <c r="K683" i="4"/>
  <c r="J683" i="4"/>
  <c r="I683" i="4"/>
  <c r="H683" i="4"/>
  <c r="G683" i="4"/>
  <c r="F683" i="4"/>
  <c r="E683" i="4"/>
  <c r="D683" i="4"/>
  <c r="C683" i="4"/>
  <c r="B683" i="4"/>
  <c r="A683" i="4"/>
  <c r="N682" i="4"/>
  <c r="M682" i="4"/>
  <c r="L682" i="4"/>
  <c r="K682" i="4"/>
  <c r="J682" i="4"/>
  <c r="I682" i="4"/>
  <c r="H682" i="4"/>
  <c r="G682" i="4"/>
  <c r="F682" i="4"/>
  <c r="E682" i="4"/>
  <c r="D682" i="4"/>
  <c r="C682" i="4"/>
  <c r="B682" i="4"/>
  <c r="A682" i="4"/>
  <c r="N681" i="4"/>
  <c r="M681" i="4"/>
  <c r="L681" i="4"/>
  <c r="K681" i="4"/>
  <c r="J681" i="4"/>
  <c r="I681" i="4"/>
  <c r="H681" i="4"/>
  <c r="G681" i="4"/>
  <c r="F681" i="4"/>
  <c r="E681" i="4"/>
  <c r="D681" i="4"/>
  <c r="C681" i="4"/>
  <c r="B681" i="4"/>
  <c r="A681" i="4"/>
  <c r="N680" i="4"/>
  <c r="M680" i="4"/>
  <c r="L680" i="4"/>
  <c r="K680" i="4"/>
  <c r="J680" i="4"/>
  <c r="I680" i="4"/>
  <c r="H680" i="4"/>
  <c r="G680" i="4"/>
  <c r="F680" i="4"/>
  <c r="E680" i="4"/>
  <c r="D680" i="4"/>
  <c r="C680" i="4"/>
  <c r="B680" i="4"/>
  <c r="A680" i="4"/>
  <c r="N679" i="4"/>
  <c r="M679" i="4"/>
  <c r="L679" i="4"/>
  <c r="K679" i="4"/>
  <c r="J679" i="4"/>
  <c r="I679" i="4"/>
  <c r="H679" i="4"/>
  <c r="G679" i="4"/>
  <c r="F679" i="4"/>
  <c r="E679" i="4"/>
  <c r="D679" i="4"/>
  <c r="C679" i="4"/>
  <c r="B679" i="4"/>
  <c r="A679" i="4"/>
  <c r="N678" i="4"/>
  <c r="M678" i="4"/>
  <c r="L678" i="4"/>
  <c r="K678" i="4"/>
  <c r="J678" i="4"/>
  <c r="I678" i="4"/>
  <c r="H678" i="4"/>
  <c r="G678" i="4"/>
  <c r="F678" i="4"/>
  <c r="E678" i="4"/>
  <c r="D678" i="4"/>
  <c r="C678" i="4"/>
  <c r="B678" i="4"/>
  <c r="A678" i="4"/>
  <c r="N677" i="4"/>
  <c r="M677" i="4"/>
  <c r="L677" i="4"/>
  <c r="K677" i="4"/>
  <c r="J677" i="4"/>
  <c r="I677" i="4"/>
  <c r="H677" i="4"/>
  <c r="G677" i="4"/>
  <c r="F677" i="4"/>
  <c r="E677" i="4"/>
  <c r="D677" i="4"/>
  <c r="C677" i="4"/>
  <c r="B677" i="4"/>
  <c r="A677" i="4"/>
  <c r="N676" i="4"/>
  <c r="M676" i="4"/>
  <c r="L676" i="4"/>
  <c r="K676" i="4"/>
  <c r="J676" i="4"/>
  <c r="I676" i="4"/>
  <c r="H676" i="4"/>
  <c r="G676" i="4"/>
  <c r="F676" i="4"/>
  <c r="E676" i="4"/>
  <c r="D676" i="4"/>
  <c r="C676" i="4"/>
  <c r="B676" i="4"/>
  <c r="A676" i="4"/>
  <c r="N675" i="4"/>
  <c r="M675" i="4"/>
  <c r="L675" i="4"/>
  <c r="K675" i="4"/>
  <c r="J675" i="4"/>
  <c r="I675" i="4"/>
  <c r="H675" i="4"/>
  <c r="G675" i="4"/>
  <c r="F675" i="4"/>
  <c r="E675" i="4"/>
  <c r="D675" i="4"/>
  <c r="C675" i="4"/>
  <c r="B675" i="4"/>
  <c r="A675" i="4"/>
  <c r="N674" i="4"/>
  <c r="M674" i="4"/>
  <c r="L674" i="4"/>
  <c r="K674" i="4"/>
  <c r="J674" i="4"/>
  <c r="I674" i="4"/>
  <c r="H674" i="4"/>
  <c r="G674" i="4"/>
  <c r="F674" i="4"/>
  <c r="E674" i="4"/>
  <c r="D674" i="4"/>
  <c r="C674" i="4"/>
  <c r="B674" i="4"/>
  <c r="A674" i="4"/>
  <c r="N673" i="4"/>
  <c r="M673" i="4"/>
  <c r="L673" i="4"/>
  <c r="K673" i="4"/>
  <c r="J673" i="4"/>
  <c r="I673" i="4"/>
  <c r="H673" i="4"/>
  <c r="G673" i="4"/>
  <c r="F673" i="4"/>
  <c r="E673" i="4"/>
  <c r="D673" i="4"/>
  <c r="C673" i="4"/>
  <c r="B673" i="4"/>
  <c r="A673" i="4"/>
  <c r="N672" i="4"/>
  <c r="M672" i="4"/>
  <c r="L672" i="4"/>
  <c r="K672" i="4"/>
  <c r="J672" i="4"/>
  <c r="I672" i="4"/>
  <c r="H672" i="4"/>
  <c r="G672" i="4"/>
  <c r="F672" i="4"/>
  <c r="E672" i="4"/>
  <c r="D672" i="4"/>
  <c r="C672" i="4"/>
  <c r="B672" i="4"/>
  <c r="A672" i="4"/>
  <c r="N671" i="4"/>
  <c r="M671" i="4"/>
  <c r="L671" i="4"/>
  <c r="K671" i="4"/>
  <c r="J671" i="4"/>
  <c r="I671" i="4"/>
  <c r="H671" i="4"/>
  <c r="G671" i="4"/>
  <c r="F671" i="4"/>
  <c r="E671" i="4"/>
  <c r="D671" i="4"/>
  <c r="C671" i="4"/>
  <c r="B671" i="4"/>
  <c r="A671" i="4"/>
  <c r="N670" i="4"/>
  <c r="M670" i="4"/>
  <c r="L670" i="4"/>
  <c r="K670" i="4"/>
  <c r="J670" i="4"/>
  <c r="I670" i="4"/>
  <c r="H670" i="4"/>
  <c r="G670" i="4"/>
  <c r="F670" i="4"/>
  <c r="E670" i="4"/>
  <c r="D670" i="4"/>
  <c r="C670" i="4"/>
  <c r="B670" i="4"/>
  <c r="A670" i="4"/>
  <c r="N669" i="4"/>
  <c r="M669" i="4"/>
  <c r="L669" i="4"/>
  <c r="K669" i="4"/>
  <c r="J669" i="4"/>
  <c r="I669" i="4"/>
  <c r="H669" i="4"/>
  <c r="G669" i="4"/>
  <c r="F669" i="4"/>
  <c r="E669" i="4"/>
  <c r="D669" i="4"/>
  <c r="C669" i="4"/>
  <c r="B669" i="4"/>
  <c r="A669" i="4"/>
  <c r="N668" i="4"/>
  <c r="M668" i="4"/>
  <c r="L668" i="4"/>
  <c r="K668" i="4"/>
  <c r="J668" i="4"/>
  <c r="I668" i="4"/>
  <c r="H668" i="4"/>
  <c r="G668" i="4"/>
  <c r="F668" i="4"/>
  <c r="E668" i="4"/>
  <c r="D668" i="4"/>
  <c r="C668" i="4"/>
  <c r="B668" i="4"/>
  <c r="A668" i="4"/>
  <c r="N667" i="4"/>
  <c r="M667" i="4"/>
  <c r="L667" i="4"/>
  <c r="K667" i="4"/>
  <c r="J667" i="4"/>
  <c r="I667" i="4"/>
  <c r="H667" i="4"/>
  <c r="G667" i="4"/>
  <c r="F667" i="4"/>
  <c r="E667" i="4"/>
  <c r="D667" i="4"/>
  <c r="C667" i="4"/>
  <c r="B667" i="4"/>
  <c r="A667" i="4"/>
  <c r="N666" i="4"/>
  <c r="M666" i="4"/>
  <c r="L666" i="4"/>
  <c r="K666" i="4"/>
  <c r="J666" i="4"/>
  <c r="I666" i="4"/>
  <c r="H666" i="4"/>
  <c r="G666" i="4"/>
  <c r="F666" i="4"/>
  <c r="E666" i="4"/>
  <c r="D666" i="4"/>
  <c r="C666" i="4"/>
  <c r="B666" i="4"/>
  <c r="A666" i="4"/>
  <c r="N665" i="4"/>
  <c r="M665" i="4"/>
  <c r="L665" i="4"/>
  <c r="K665" i="4"/>
  <c r="J665" i="4"/>
  <c r="I665" i="4"/>
  <c r="H665" i="4"/>
  <c r="G665" i="4"/>
  <c r="F665" i="4"/>
  <c r="E665" i="4"/>
  <c r="D665" i="4"/>
  <c r="C665" i="4"/>
  <c r="B665" i="4"/>
  <c r="A665" i="4"/>
  <c r="N664" i="4"/>
  <c r="M664" i="4"/>
  <c r="L664" i="4"/>
  <c r="K664" i="4"/>
  <c r="J664" i="4"/>
  <c r="I664" i="4"/>
  <c r="H664" i="4"/>
  <c r="G664" i="4"/>
  <c r="F664" i="4"/>
  <c r="E664" i="4"/>
  <c r="D664" i="4"/>
  <c r="C664" i="4"/>
  <c r="B664" i="4"/>
  <c r="A664" i="4"/>
  <c r="N663" i="4"/>
  <c r="M663" i="4"/>
  <c r="L663" i="4"/>
  <c r="K663" i="4"/>
  <c r="J663" i="4"/>
  <c r="I663" i="4"/>
  <c r="H663" i="4"/>
  <c r="G663" i="4"/>
  <c r="F663" i="4"/>
  <c r="E663" i="4"/>
  <c r="D663" i="4"/>
  <c r="C663" i="4"/>
  <c r="B663" i="4"/>
  <c r="A663" i="4"/>
  <c r="N662" i="4"/>
  <c r="M662" i="4"/>
  <c r="L662" i="4"/>
  <c r="K662" i="4"/>
  <c r="J662" i="4"/>
  <c r="I662" i="4"/>
  <c r="H662" i="4"/>
  <c r="G662" i="4"/>
  <c r="F662" i="4"/>
  <c r="E662" i="4"/>
  <c r="D662" i="4"/>
  <c r="C662" i="4"/>
  <c r="B662" i="4"/>
  <c r="A662" i="4"/>
  <c r="N661" i="4"/>
  <c r="M661" i="4"/>
  <c r="L661" i="4"/>
  <c r="K661" i="4"/>
  <c r="J661" i="4"/>
  <c r="I661" i="4"/>
  <c r="H661" i="4"/>
  <c r="G661" i="4"/>
  <c r="F661" i="4"/>
  <c r="E661" i="4"/>
  <c r="D661" i="4"/>
  <c r="C661" i="4"/>
  <c r="B661" i="4"/>
  <c r="A661" i="4"/>
  <c r="N660" i="4"/>
  <c r="M660" i="4"/>
  <c r="L660" i="4"/>
  <c r="K660" i="4"/>
  <c r="J660" i="4"/>
  <c r="I660" i="4"/>
  <c r="H660" i="4"/>
  <c r="G660" i="4"/>
  <c r="F660" i="4"/>
  <c r="E660" i="4"/>
  <c r="D660" i="4"/>
  <c r="C660" i="4"/>
  <c r="B660" i="4"/>
  <c r="A660" i="4"/>
  <c r="N659" i="4"/>
  <c r="M659" i="4"/>
  <c r="L659" i="4"/>
  <c r="K659" i="4"/>
  <c r="J659" i="4"/>
  <c r="I659" i="4"/>
  <c r="H659" i="4"/>
  <c r="G659" i="4"/>
  <c r="F659" i="4"/>
  <c r="E659" i="4"/>
  <c r="D659" i="4"/>
  <c r="C659" i="4"/>
  <c r="B659" i="4"/>
  <c r="A659" i="4"/>
  <c r="N658" i="4"/>
  <c r="M658" i="4"/>
  <c r="L658" i="4"/>
  <c r="K658" i="4"/>
  <c r="J658" i="4"/>
  <c r="I658" i="4"/>
  <c r="H658" i="4"/>
  <c r="G658" i="4"/>
  <c r="F658" i="4"/>
  <c r="E658" i="4"/>
  <c r="D658" i="4"/>
  <c r="C658" i="4"/>
  <c r="B658" i="4"/>
  <c r="A658" i="4"/>
  <c r="N657" i="4"/>
  <c r="M657" i="4"/>
  <c r="L657" i="4"/>
  <c r="K657" i="4"/>
  <c r="J657" i="4"/>
  <c r="I657" i="4"/>
  <c r="H657" i="4"/>
  <c r="G657" i="4"/>
  <c r="F657" i="4"/>
  <c r="E657" i="4"/>
  <c r="D657" i="4"/>
  <c r="C657" i="4"/>
  <c r="B657" i="4"/>
  <c r="A657" i="4"/>
  <c r="N656" i="4"/>
  <c r="M656" i="4"/>
  <c r="L656" i="4"/>
  <c r="K656" i="4"/>
  <c r="J656" i="4"/>
  <c r="I656" i="4"/>
  <c r="H656" i="4"/>
  <c r="G656" i="4"/>
  <c r="F656" i="4"/>
  <c r="E656" i="4"/>
  <c r="D656" i="4"/>
  <c r="C656" i="4"/>
  <c r="B656" i="4"/>
  <c r="A656" i="4"/>
  <c r="N655" i="4"/>
  <c r="M655" i="4"/>
  <c r="L655" i="4"/>
  <c r="K655" i="4"/>
  <c r="J655" i="4"/>
  <c r="I655" i="4"/>
  <c r="H655" i="4"/>
  <c r="G655" i="4"/>
  <c r="F655" i="4"/>
  <c r="E655" i="4"/>
  <c r="D655" i="4"/>
  <c r="C655" i="4"/>
  <c r="B655" i="4"/>
  <c r="A655" i="4"/>
  <c r="N654" i="4"/>
  <c r="M654" i="4"/>
  <c r="L654" i="4"/>
  <c r="K654" i="4"/>
  <c r="J654" i="4"/>
  <c r="I654" i="4"/>
  <c r="H654" i="4"/>
  <c r="G654" i="4"/>
  <c r="F654" i="4"/>
  <c r="E654" i="4"/>
  <c r="D654" i="4"/>
  <c r="C654" i="4"/>
  <c r="B654" i="4"/>
  <c r="A654" i="4"/>
  <c r="N653" i="4"/>
  <c r="M653" i="4"/>
  <c r="L653" i="4"/>
  <c r="K653" i="4"/>
  <c r="J653" i="4"/>
  <c r="I653" i="4"/>
  <c r="H653" i="4"/>
  <c r="G653" i="4"/>
  <c r="F653" i="4"/>
  <c r="E653" i="4"/>
  <c r="D653" i="4"/>
  <c r="C653" i="4"/>
  <c r="B653" i="4"/>
  <c r="A653" i="4"/>
  <c r="N652" i="4"/>
  <c r="M652" i="4"/>
  <c r="L652" i="4"/>
  <c r="K652" i="4"/>
  <c r="J652" i="4"/>
  <c r="I652" i="4"/>
  <c r="H652" i="4"/>
  <c r="G652" i="4"/>
  <c r="F652" i="4"/>
  <c r="E652" i="4"/>
  <c r="D652" i="4"/>
  <c r="C652" i="4"/>
  <c r="B652" i="4"/>
  <c r="A652" i="4"/>
  <c r="N651" i="4"/>
  <c r="M651" i="4"/>
  <c r="L651" i="4"/>
  <c r="K651" i="4"/>
  <c r="J651" i="4"/>
  <c r="I651" i="4"/>
  <c r="H651" i="4"/>
  <c r="G651" i="4"/>
  <c r="F651" i="4"/>
  <c r="E651" i="4"/>
  <c r="D651" i="4"/>
  <c r="C651" i="4"/>
  <c r="B651" i="4"/>
  <c r="A651" i="4"/>
  <c r="N650" i="4"/>
  <c r="M650" i="4"/>
  <c r="L650" i="4"/>
  <c r="K650" i="4"/>
  <c r="J650" i="4"/>
  <c r="I650" i="4"/>
  <c r="H650" i="4"/>
  <c r="G650" i="4"/>
  <c r="F650" i="4"/>
  <c r="E650" i="4"/>
  <c r="D650" i="4"/>
  <c r="C650" i="4"/>
  <c r="B650" i="4"/>
  <c r="A650" i="4"/>
  <c r="N649" i="4"/>
  <c r="M649" i="4"/>
  <c r="L649" i="4"/>
  <c r="K649" i="4"/>
  <c r="J649" i="4"/>
  <c r="I649" i="4"/>
  <c r="H649" i="4"/>
  <c r="G649" i="4"/>
  <c r="F649" i="4"/>
  <c r="E649" i="4"/>
  <c r="D649" i="4"/>
  <c r="C649" i="4"/>
  <c r="B649" i="4"/>
  <c r="A649" i="4"/>
  <c r="N648" i="4"/>
  <c r="M648" i="4"/>
  <c r="L648" i="4"/>
  <c r="K648" i="4"/>
  <c r="J648" i="4"/>
  <c r="I648" i="4"/>
  <c r="H648" i="4"/>
  <c r="G648" i="4"/>
  <c r="F648" i="4"/>
  <c r="E648" i="4"/>
  <c r="D648" i="4"/>
  <c r="C648" i="4"/>
  <c r="B648" i="4"/>
  <c r="A648" i="4"/>
  <c r="N647" i="4"/>
  <c r="M647" i="4"/>
  <c r="L647" i="4"/>
  <c r="K647" i="4"/>
  <c r="J647" i="4"/>
  <c r="I647" i="4"/>
  <c r="H647" i="4"/>
  <c r="G647" i="4"/>
  <c r="F647" i="4"/>
  <c r="E647" i="4"/>
  <c r="D647" i="4"/>
  <c r="C647" i="4"/>
  <c r="B647" i="4"/>
  <c r="A647" i="4"/>
  <c r="N646" i="4"/>
  <c r="M646" i="4"/>
  <c r="L646" i="4"/>
  <c r="K646" i="4"/>
  <c r="J646" i="4"/>
  <c r="I646" i="4"/>
  <c r="H646" i="4"/>
  <c r="G646" i="4"/>
  <c r="F646" i="4"/>
  <c r="E646" i="4"/>
  <c r="D646" i="4"/>
  <c r="C646" i="4"/>
  <c r="B646" i="4"/>
  <c r="A646" i="4"/>
  <c r="N645" i="4"/>
  <c r="M645" i="4"/>
  <c r="L645" i="4"/>
  <c r="K645" i="4"/>
  <c r="J645" i="4"/>
  <c r="I645" i="4"/>
  <c r="H645" i="4"/>
  <c r="G645" i="4"/>
  <c r="F645" i="4"/>
  <c r="E645" i="4"/>
  <c r="D645" i="4"/>
  <c r="C645" i="4"/>
  <c r="B645" i="4"/>
  <c r="A645" i="4"/>
  <c r="N644" i="4"/>
  <c r="M644" i="4"/>
  <c r="L644" i="4"/>
  <c r="K644" i="4"/>
  <c r="J644" i="4"/>
  <c r="I644" i="4"/>
  <c r="H644" i="4"/>
  <c r="G644" i="4"/>
  <c r="F644" i="4"/>
  <c r="E644" i="4"/>
  <c r="D644" i="4"/>
  <c r="C644" i="4"/>
  <c r="B644" i="4"/>
  <c r="A644" i="4"/>
  <c r="N643" i="4"/>
  <c r="M643" i="4"/>
  <c r="L643" i="4"/>
  <c r="K643" i="4"/>
  <c r="J643" i="4"/>
  <c r="I643" i="4"/>
  <c r="H643" i="4"/>
  <c r="G643" i="4"/>
  <c r="F643" i="4"/>
  <c r="E643" i="4"/>
  <c r="D643" i="4"/>
  <c r="C643" i="4"/>
  <c r="B643" i="4"/>
  <c r="A643" i="4"/>
  <c r="N642" i="4"/>
  <c r="M642" i="4"/>
  <c r="L642" i="4"/>
  <c r="K642" i="4"/>
  <c r="J642" i="4"/>
  <c r="I642" i="4"/>
  <c r="H642" i="4"/>
  <c r="G642" i="4"/>
  <c r="F642" i="4"/>
  <c r="E642" i="4"/>
  <c r="D642" i="4"/>
  <c r="C642" i="4"/>
  <c r="B642" i="4"/>
  <c r="A642" i="4"/>
  <c r="N641" i="4"/>
  <c r="M641" i="4"/>
  <c r="L641" i="4"/>
  <c r="K641" i="4"/>
  <c r="J641" i="4"/>
  <c r="I641" i="4"/>
  <c r="H641" i="4"/>
  <c r="G641" i="4"/>
  <c r="F641" i="4"/>
  <c r="E641" i="4"/>
  <c r="D641" i="4"/>
  <c r="C641" i="4"/>
  <c r="B641" i="4"/>
  <c r="A641" i="4"/>
  <c r="N640" i="4"/>
  <c r="M640" i="4"/>
  <c r="L640" i="4"/>
  <c r="K640" i="4"/>
  <c r="J640" i="4"/>
  <c r="I640" i="4"/>
  <c r="H640" i="4"/>
  <c r="G640" i="4"/>
  <c r="F640" i="4"/>
  <c r="E640" i="4"/>
  <c r="D640" i="4"/>
  <c r="C640" i="4"/>
  <c r="B640" i="4"/>
  <c r="A640" i="4"/>
  <c r="N639" i="4"/>
  <c r="M639" i="4"/>
  <c r="L639" i="4"/>
  <c r="K639" i="4"/>
  <c r="J639" i="4"/>
  <c r="I639" i="4"/>
  <c r="H639" i="4"/>
  <c r="G639" i="4"/>
  <c r="F639" i="4"/>
  <c r="E639" i="4"/>
  <c r="D639" i="4"/>
  <c r="C639" i="4"/>
  <c r="B639" i="4"/>
  <c r="A639" i="4"/>
  <c r="N638" i="4"/>
  <c r="M638" i="4"/>
  <c r="L638" i="4"/>
  <c r="K638" i="4"/>
  <c r="J638" i="4"/>
  <c r="I638" i="4"/>
  <c r="H638" i="4"/>
  <c r="G638" i="4"/>
  <c r="F638" i="4"/>
  <c r="E638" i="4"/>
  <c r="D638" i="4"/>
  <c r="C638" i="4"/>
  <c r="B638" i="4"/>
  <c r="A638" i="4"/>
  <c r="N637" i="4"/>
  <c r="M637" i="4"/>
  <c r="L637" i="4"/>
  <c r="K637" i="4"/>
  <c r="J637" i="4"/>
  <c r="I637" i="4"/>
  <c r="H637" i="4"/>
  <c r="G637" i="4"/>
  <c r="F637" i="4"/>
  <c r="E637" i="4"/>
  <c r="D637" i="4"/>
  <c r="C637" i="4"/>
  <c r="B637" i="4"/>
  <c r="A637" i="4"/>
  <c r="N636" i="4"/>
  <c r="M636" i="4"/>
  <c r="L636" i="4"/>
  <c r="K636" i="4"/>
  <c r="J636" i="4"/>
  <c r="I636" i="4"/>
  <c r="H636" i="4"/>
  <c r="G636" i="4"/>
  <c r="F636" i="4"/>
  <c r="E636" i="4"/>
  <c r="D636" i="4"/>
  <c r="C636" i="4"/>
  <c r="B636" i="4"/>
  <c r="A636" i="4"/>
  <c r="N635" i="4"/>
  <c r="M635" i="4"/>
  <c r="L635" i="4"/>
  <c r="K635" i="4"/>
  <c r="J635" i="4"/>
  <c r="I635" i="4"/>
  <c r="H635" i="4"/>
  <c r="G635" i="4"/>
  <c r="F635" i="4"/>
  <c r="E635" i="4"/>
  <c r="D635" i="4"/>
  <c r="C635" i="4"/>
  <c r="B635" i="4"/>
  <c r="A635" i="4"/>
  <c r="N634" i="4"/>
  <c r="M634" i="4"/>
  <c r="L634" i="4"/>
  <c r="K634" i="4"/>
  <c r="J634" i="4"/>
  <c r="I634" i="4"/>
  <c r="H634" i="4"/>
  <c r="G634" i="4"/>
  <c r="F634" i="4"/>
  <c r="E634" i="4"/>
  <c r="D634" i="4"/>
  <c r="C634" i="4"/>
  <c r="B634" i="4"/>
  <c r="A634" i="4"/>
  <c r="N633" i="4"/>
  <c r="M633" i="4"/>
  <c r="L633" i="4"/>
  <c r="K633" i="4"/>
  <c r="J633" i="4"/>
  <c r="I633" i="4"/>
  <c r="H633" i="4"/>
  <c r="G633" i="4"/>
  <c r="F633" i="4"/>
  <c r="E633" i="4"/>
  <c r="D633" i="4"/>
  <c r="C633" i="4"/>
  <c r="B633" i="4"/>
  <c r="A633" i="4"/>
  <c r="N632" i="4"/>
  <c r="M632" i="4"/>
  <c r="L632" i="4"/>
  <c r="K632" i="4"/>
  <c r="J632" i="4"/>
  <c r="I632" i="4"/>
  <c r="H632" i="4"/>
  <c r="G632" i="4"/>
  <c r="F632" i="4"/>
  <c r="E632" i="4"/>
  <c r="D632" i="4"/>
  <c r="C632" i="4"/>
  <c r="B632" i="4"/>
  <c r="A632" i="4"/>
  <c r="N631" i="4"/>
  <c r="M631" i="4"/>
  <c r="L631" i="4"/>
  <c r="K631" i="4"/>
  <c r="J631" i="4"/>
  <c r="I631" i="4"/>
  <c r="H631" i="4"/>
  <c r="G631" i="4"/>
  <c r="F631" i="4"/>
  <c r="E631" i="4"/>
  <c r="D631" i="4"/>
  <c r="C631" i="4"/>
  <c r="B631" i="4"/>
  <c r="A631" i="4"/>
  <c r="N630" i="4"/>
  <c r="M630" i="4"/>
  <c r="L630" i="4"/>
  <c r="K630" i="4"/>
  <c r="J630" i="4"/>
  <c r="I630" i="4"/>
  <c r="H630" i="4"/>
  <c r="G630" i="4"/>
  <c r="F630" i="4"/>
  <c r="E630" i="4"/>
  <c r="D630" i="4"/>
  <c r="C630" i="4"/>
  <c r="B630" i="4"/>
  <c r="A630" i="4"/>
  <c r="N629" i="4"/>
  <c r="M629" i="4"/>
  <c r="L629" i="4"/>
  <c r="K629" i="4"/>
  <c r="J629" i="4"/>
  <c r="I629" i="4"/>
  <c r="H629" i="4"/>
  <c r="G629" i="4"/>
  <c r="F629" i="4"/>
  <c r="E629" i="4"/>
  <c r="D629" i="4"/>
  <c r="C629" i="4"/>
  <c r="B629" i="4"/>
  <c r="A629" i="4"/>
  <c r="N628" i="4"/>
  <c r="M628" i="4"/>
  <c r="L628" i="4"/>
  <c r="K628" i="4"/>
  <c r="J628" i="4"/>
  <c r="I628" i="4"/>
  <c r="H628" i="4"/>
  <c r="G628" i="4"/>
  <c r="F628" i="4"/>
  <c r="E628" i="4"/>
  <c r="D628" i="4"/>
  <c r="C628" i="4"/>
  <c r="B628" i="4"/>
  <c r="A628" i="4"/>
  <c r="N627" i="4"/>
  <c r="M627" i="4"/>
  <c r="L627" i="4"/>
  <c r="K627" i="4"/>
  <c r="J627" i="4"/>
  <c r="I627" i="4"/>
  <c r="H627" i="4"/>
  <c r="G627" i="4"/>
  <c r="F627" i="4"/>
  <c r="E627" i="4"/>
  <c r="D627" i="4"/>
  <c r="C627" i="4"/>
  <c r="B627" i="4"/>
  <c r="A627" i="4"/>
  <c r="N626" i="4"/>
  <c r="M626" i="4"/>
  <c r="L626" i="4"/>
  <c r="K626" i="4"/>
  <c r="J626" i="4"/>
  <c r="I626" i="4"/>
  <c r="H626" i="4"/>
  <c r="G626" i="4"/>
  <c r="F626" i="4"/>
  <c r="E626" i="4"/>
  <c r="D626" i="4"/>
  <c r="C626" i="4"/>
  <c r="B626" i="4"/>
  <c r="A626" i="4"/>
  <c r="N625" i="4"/>
  <c r="M625" i="4"/>
  <c r="L625" i="4"/>
  <c r="K625" i="4"/>
  <c r="J625" i="4"/>
  <c r="I625" i="4"/>
  <c r="H625" i="4"/>
  <c r="G625" i="4"/>
  <c r="F625" i="4"/>
  <c r="E625" i="4"/>
  <c r="D625" i="4"/>
  <c r="C625" i="4"/>
  <c r="B625" i="4"/>
  <c r="A625" i="4"/>
  <c r="N624" i="4"/>
  <c r="M624" i="4"/>
  <c r="L624" i="4"/>
  <c r="K624" i="4"/>
  <c r="J624" i="4"/>
  <c r="I624" i="4"/>
  <c r="H624" i="4"/>
  <c r="G624" i="4"/>
  <c r="F624" i="4"/>
  <c r="E624" i="4"/>
  <c r="D624" i="4"/>
  <c r="C624" i="4"/>
  <c r="B624" i="4"/>
  <c r="A624" i="4"/>
  <c r="N623" i="4"/>
  <c r="M623" i="4"/>
  <c r="L623" i="4"/>
  <c r="K623" i="4"/>
  <c r="J623" i="4"/>
  <c r="I623" i="4"/>
  <c r="H623" i="4"/>
  <c r="G623" i="4"/>
  <c r="F623" i="4"/>
  <c r="E623" i="4"/>
  <c r="D623" i="4"/>
  <c r="C623" i="4"/>
  <c r="B623" i="4"/>
  <c r="A623" i="4"/>
  <c r="N622" i="4"/>
  <c r="M622" i="4"/>
  <c r="L622" i="4"/>
  <c r="K622" i="4"/>
  <c r="J622" i="4"/>
  <c r="I622" i="4"/>
  <c r="H622" i="4"/>
  <c r="G622" i="4"/>
  <c r="F622" i="4"/>
  <c r="E622" i="4"/>
  <c r="D622" i="4"/>
  <c r="C622" i="4"/>
  <c r="B622" i="4"/>
  <c r="A622" i="4"/>
  <c r="N621" i="4"/>
  <c r="M621" i="4"/>
  <c r="L621" i="4"/>
  <c r="K621" i="4"/>
  <c r="J621" i="4"/>
  <c r="I621" i="4"/>
  <c r="H621" i="4"/>
  <c r="G621" i="4"/>
  <c r="F621" i="4"/>
  <c r="E621" i="4"/>
  <c r="D621" i="4"/>
  <c r="C621" i="4"/>
  <c r="B621" i="4"/>
  <c r="A621" i="4"/>
  <c r="N620" i="4"/>
  <c r="M620" i="4"/>
  <c r="L620" i="4"/>
  <c r="K620" i="4"/>
  <c r="J620" i="4"/>
  <c r="I620" i="4"/>
  <c r="H620" i="4"/>
  <c r="G620" i="4"/>
  <c r="F620" i="4"/>
  <c r="E620" i="4"/>
  <c r="D620" i="4"/>
  <c r="C620" i="4"/>
  <c r="B620" i="4"/>
  <c r="A620" i="4"/>
  <c r="N619" i="4"/>
  <c r="M619" i="4"/>
  <c r="L619" i="4"/>
  <c r="K619" i="4"/>
  <c r="J619" i="4"/>
  <c r="I619" i="4"/>
  <c r="H619" i="4"/>
  <c r="G619" i="4"/>
  <c r="F619" i="4"/>
  <c r="E619" i="4"/>
  <c r="D619" i="4"/>
  <c r="C619" i="4"/>
  <c r="B619" i="4"/>
  <c r="A619" i="4"/>
  <c r="N618" i="4"/>
  <c r="M618" i="4"/>
  <c r="L618" i="4"/>
  <c r="K618" i="4"/>
  <c r="J618" i="4"/>
  <c r="I618" i="4"/>
  <c r="H618" i="4"/>
  <c r="G618" i="4"/>
  <c r="F618" i="4"/>
  <c r="E618" i="4"/>
  <c r="D618" i="4"/>
  <c r="C618" i="4"/>
  <c r="B618" i="4"/>
  <c r="A618" i="4"/>
  <c r="N617" i="4"/>
  <c r="M617" i="4"/>
  <c r="L617" i="4"/>
  <c r="K617" i="4"/>
  <c r="J617" i="4"/>
  <c r="I617" i="4"/>
  <c r="H617" i="4"/>
  <c r="G617" i="4"/>
  <c r="F617" i="4"/>
  <c r="E617" i="4"/>
  <c r="D617" i="4"/>
  <c r="C617" i="4"/>
  <c r="B617" i="4"/>
  <c r="A617" i="4"/>
  <c r="N616" i="4"/>
  <c r="M616" i="4"/>
  <c r="L616" i="4"/>
  <c r="K616" i="4"/>
  <c r="J616" i="4"/>
  <c r="I616" i="4"/>
  <c r="H616" i="4"/>
  <c r="G616" i="4"/>
  <c r="F616" i="4"/>
  <c r="E616" i="4"/>
  <c r="D616" i="4"/>
  <c r="C616" i="4"/>
  <c r="B616" i="4"/>
  <c r="A616" i="4"/>
  <c r="N615" i="4"/>
  <c r="M615" i="4"/>
  <c r="L615" i="4"/>
  <c r="K615" i="4"/>
  <c r="J615" i="4"/>
  <c r="I615" i="4"/>
  <c r="H615" i="4"/>
  <c r="G615" i="4"/>
  <c r="F615" i="4"/>
  <c r="E615" i="4"/>
  <c r="D615" i="4"/>
  <c r="C615" i="4"/>
  <c r="B615" i="4"/>
  <c r="A615" i="4"/>
  <c r="N614" i="4"/>
  <c r="M614" i="4"/>
  <c r="L614" i="4"/>
  <c r="K614" i="4"/>
  <c r="J614" i="4"/>
  <c r="I614" i="4"/>
  <c r="H614" i="4"/>
  <c r="G614" i="4"/>
  <c r="F614" i="4"/>
  <c r="E614" i="4"/>
  <c r="D614" i="4"/>
  <c r="C614" i="4"/>
  <c r="B614" i="4"/>
  <c r="A614" i="4"/>
  <c r="N613" i="4"/>
  <c r="M613" i="4"/>
  <c r="L613" i="4"/>
  <c r="K613" i="4"/>
  <c r="J613" i="4"/>
  <c r="I613" i="4"/>
  <c r="H613" i="4"/>
  <c r="G613" i="4"/>
  <c r="F613" i="4"/>
  <c r="E613" i="4"/>
  <c r="D613" i="4"/>
  <c r="C613" i="4"/>
  <c r="B613" i="4"/>
  <c r="A613" i="4"/>
  <c r="N612" i="4"/>
  <c r="M612" i="4"/>
  <c r="L612" i="4"/>
  <c r="K612" i="4"/>
  <c r="J612" i="4"/>
  <c r="I612" i="4"/>
  <c r="H612" i="4"/>
  <c r="G612" i="4"/>
  <c r="F612" i="4"/>
  <c r="E612" i="4"/>
  <c r="D612" i="4"/>
  <c r="C612" i="4"/>
  <c r="B612" i="4"/>
  <c r="A612" i="4"/>
  <c r="N611" i="4"/>
  <c r="M611" i="4"/>
  <c r="L611" i="4"/>
  <c r="K611" i="4"/>
  <c r="J611" i="4"/>
  <c r="I611" i="4"/>
  <c r="H611" i="4"/>
  <c r="G611" i="4"/>
  <c r="F611" i="4"/>
  <c r="E611" i="4"/>
  <c r="D611" i="4"/>
  <c r="C611" i="4"/>
  <c r="B611" i="4"/>
  <c r="A611" i="4"/>
  <c r="N610" i="4"/>
  <c r="M610" i="4"/>
  <c r="L610" i="4"/>
  <c r="K610" i="4"/>
  <c r="J610" i="4"/>
  <c r="I610" i="4"/>
  <c r="H610" i="4"/>
  <c r="G610" i="4"/>
  <c r="F610" i="4"/>
  <c r="E610" i="4"/>
  <c r="D610" i="4"/>
  <c r="C610" i="4"/>
  <c r="B610" i="4"/>
  <c r="A610" i="4"/>
  <c r="N609" i="4"/>
  <c r="M609" i="4"/>
  <c r="L609" i="4"/>
  <c r="K609" i="4"/>
  <c r="J609" i="4"/>
  <c r="I609" i="4"/>
  <c r="H609" i="4"/>
  <c r="G609" i="4"/>
  <c r="F609" i="4"/>
  <c r="E609" i="4"/>
  <c r="D609" i="4"/>
  <c r="C609" i="4"/>
  <c r="B609" i="4"/>
  <c r="A609" i="4"/>
  <c r="N608" i="4"/>
  <c r="M608" i="4"/>
  <c r="L608" i="4"/>
  <c r="K608" i="4"/>
  <c r="J608" i="4"/>
  <c r="I608" i="4"/>
  <c r="H608" i="4"/>
  <c r="G608" i="4"/>
  <c r="F608" i="4"/>
  <c r="E608" i="4"/>
  <c r="D608" i="4"/>
  <c r="C608" i="4"/>
  <c r="B608" i="4"/>
  <c r="A608" i="4"/>
  <c r="N607" i="4"/>
  <c r="M607" i="4"/>
  <c r="L607" i="4"/>
  <c r="K607" i="4"/>
  <c r="J607" i="4"/>
  <c r="I607" i="4"/>
  <c r="H607" i="4"/>
  <c r="G607" i="4"/>
  <c r="F607" i="4"/>
  <c r="E607" i="4"/>
  <c r="D607" i="4"/>
  <c r="C607" i="4"/>
  <c r="B607" i="4"/>
  <c r="A607" i="4"/>
  <c r="N606" i="4"/>
  <c r="M606" i="4"/>
  <c r="L606" i="4"/>
  <c r="K606" i="4"/>
  <c r="J606" i="4"/>
  <c r="I606" i="4"/>
  <c r="H606" i="4"/>
  <c r="G606" i="4"/>
  <c r="F606" i="4"/>
  <c r="E606" i="4"/>
  <c r="D606" i="4"/>
  <c r="C606" i="4"/>
  <c r="B606" i="4"/>
  <c r="A606" i="4"/>
  <c r="N605" i="4"/>
  <c r="M605" i="4"/>
  <c r="L605" i="4"/>
  <c r="K605" i="4"/>
  <c r="J605" i="4"/>
  <c r="I605" i="4"/>
  <c r="H605" i="4"/>
  <c r="G605" i="4"/>
  <c r="F605" i="4"/>
  <c r="E605" i="4"/>
  <c r="D605" i="4"/>
  <c r="C605" i="4"/>
  <c r="B605" i="4"/>
  <c r="A605" i="4"/>
  <c r="N604" i="4"/>
  <c r="M604" i="4"/>
  <c r="L604" i="4"/>
  <c r="K604" i="4"/>
  <c r="J604" i="4"/>
  <c r="I604" i="4"/>
  <c r="H604" i="4"/>
  <c r="G604" i="4"/>
  <c r="F604" i="4"/>
  <c r="E604" i="4"/>
  <c r="D604" i="4"/>
  <c r="C604" i="4"/>
  <c r="B604" i="4"/>
  <c r="A604" i="4"/>
  <c r="N603" i="4"/>
  <c r="M603" i="4"/>
  <c r="L603" i="4"/>
  <c r="K603" i="4"/>
  <c r="J603" i="4"/>
  <c r="I603" i="4"/>
  <c r="H603" i="4"/>
  <c r="G603" i="4"/>
  <c r="F603" i="4"/>
  <c r="E603" i="4"/>
  <c r="D603" i="4"/>
  <c r="C603" i="4"/>
  <c r="B603" i="4"/>
  <c r="A603" i="4"/>
  <c r="N602" i="4"/>
  <c r="M602" i="4"/>
  <c r="L602" i="4"/>
  <c r="K602" i="4"/>
  <c r="J602" i="4"/>
  <c r="I602" i="4"/>
  <c r="H602" i="4"/>
  <c r="G602" i="4"/>
  <c r="F602" i="4"/>
  <c r="E602" i="4"/>
  <c r="D602" i="4"/>
  <c r="C602" i="4"/>
  <c r="B602" i="4"/>
  <c r="A602" i="4"/>
  <c r="N601" i="4"/>
  <c r="M601" i="4"/>
  <c r="L601" i="4"/>
  <c r="K601" i="4"/>
  <c r="J601" i="4"/>
  <c r="I601" i="4"/>
  <c r="H601" i="4"/>
  <c r="G601" i="4"/>
  <c r="F601" i="4"/>
  <c r="E601" i="4"/>
  <c r="D601" i="4"/>
  <c r="C601" i="4"/>
  <c r="B601" i="4"/>
  <c r="A601" i="4"/>
  <c r="N600" i="4"/>
  <c r="M600" i="4"/>
  <c r="L600" i="4"/>
  <c r="K600" i="4"/>
  <c r="J600" i="4"/>
  <c r="I600" i="4"/>
  <c r="H600" i="4"/>
  <c r="G600" i="4"/>
  <c r="F600" i="4"/>
  <c r="E600" i="4"/>
  <c r="D600" i="4"/>
  <c r="C600" i="4"/>
  <c r="B600" i="4"/>
  <c r="A600" i="4"/>
  <c r="N599" i="4"/>
  <c r="M599" i="4"/>
  <c r="L599" i="4"/>
  <c r="K599" i="4"/>
  <c r="J599" i="4"/>
  <c r="I599" i="4"/>
  <c r="H599" i="4"/>
  <c r="G599" i="4"/>
  <c r="F599" i="4"/>
  <c r="E599" i="4"/>
  <c r="D599" i="4"/>
  <c r="C599" i="4"/>
  <c r="B599" i="4"/>
  <c r="A599" i="4"/>
  <c r="N598" i="4"/>
  <c r="M598" i="4"/>
  <c r="L598" i="4"/>
  <c r="K598" i="4"/>
  <c r="J598" i="4"/>
  <c r="I598" i="4"/>
  <c r="H598" i="4"/>
  <c r="G598" i="4"/>
  <c r="F598" i="4"/>
  <c r="E598" i="4"/>
  <c r="D598" i="4"/>
  <c r="C598" i="4"/>
  <c r="B598" i="4"/>
  <c r="A598" i="4"/>
  <c r="N597" i="4"/>
  <c r="M597" i="4"/>
  <c r="L597" i="4"/>
  <c r="K597" i="4"/>
  <c r="J597" i="4"/>
  <c r="I597" i="4"/>
  <c r="H597" i="4"/>
  <c r="G597" i="4"/>
  <c r="F597" i="4"/>
  <c r="E597" i="4"/>
  <c r="D597" i="4"/>
  <c r="C597" i="4"/>
  <c r="B597" i="4"/>
  <c r="A597" i="4"/>
  <c r="N596" i="4"/>
  <c r="M596" i="4"/>
  <c r="L596" i="4"/>
  <c r="K596" i="4"/>
  <c r="J596" i="4"/>
  <c r="I596" i="4"/>
  <c r="H596" i="4"/>
  <c r="G596" i="4"/>
  <c r="F596" i="4"/>
  <c r="E596" i="4"/>
  <c r="D596" i="4"/>
  <c r="C596" i="4"/>
  <c r="B596" i="4"/>
  <c r="A596" i="4"/>
  <c r="N595" i="4"/>
  <c r="M595" i="4"/>
  <c r="L595" i="4"/>
  <c r="K595" i="4"/>
  <c r="J595" i="4"/>
  <c r="I595" i="4"/>
  <c r="H595" i="4"/>
  <c r="G595" i="4"/>
  <c r="F595" i="4"/>
  <c r="E595" i="4"/>
  <c r="D595" i="4"/>
  <c r="C595" i="4"/>
  <c r="B595" i="4"/>
  <c r="A595" i="4"/>
  <c r="N594" i="4"/>
  <c r="M594" i="4"/>
  <c r="L594" i="4"/>
  <c r="K594" i="4"/>
  <c r="J594" i="4"/>
  <c r="I594" i="4"/>
  <c r="H594" i="4"/>
  <c r="G594" i="4"/>
  <c r="F594" i="4"/>
  <c r="E594" i="4"/>
  <c r="D594" i="4"/>
  <c r="C594" i="4"/>
  <c r="B594" i="4"/>
  <c r="A594" i="4"/>
  <c r="N593" i="4"/>
  <c r="M593" i="4"/>
  <c r="L593" i="4"/>
  <c r="K593" i="4"/>
  <c r="J593" i="4"/>
  <c r="I593" i="4"/>
  <c r="H593" i="4"/>
  <c r="G593" i="4"/>
  <c r="F593" i="4"/>
  <c r="E593" i="4"/>
  <c r="D593" i="4"/>
  <c r="C593" i="4"/>
  <c r="B593" i="4"/>
  <c r="A593" i="4"/>
  <c r="N592" i="4"/>
  <c r="M592" i="4"/>
  <c r="L592" i="4"/>
  <c r="K592" i="4"/>
  <c r="J592" i="4"/>
  <c r="I592" i="4"/>
  <c r="H592" i="4"/>
  <c r="G592" i="4"/>
  <c r="F592" i="4"/>
  <c r="E592" i="4"/>
  <c r="D592" i="4"/>
  <c r="C592" i="4"/>
  <c r="B592" i="4"/>
  <c r="A592" i="4"/>
  <c r="N591" i="4"/>
  <c r="M591" i="4"/>
  <c r="L591" i="4"/>
  <c r="K591" i="4"/>
  <c r="J591" i="4"/>
  <c r="I591" i="4"/>
  <c r="H591" i="4"/>
  <c r="G591" i="4"/>
  <c r="F591" i="4"/>
  <c r="E591" i="4"/>
  <c r="D591" i="4"/>
  <c r="C591" i="4"/>
  <c r="B591" i="4"/>
  <c r="A591" i="4"/>
  <c r="N590" i="4"/>
  <c r="M590" i="4"/>
  <c r="L590" i="4"/>
  <c r="K590" i="4"/>
  <c r="J590" i="4"/>
  <c r="I590" i="4"/>
  <c r="H590" i="4"/>
  <c r="G590" i="4"/>
  <c r="F590" i="4"/>
  <c r="E590" i="4"/>
  <c r="D590" i="4"/>
  <c r="C590" i="4"/>
  <c r="B590" i="4"/>
  <c r="A590" i="4"/>
  <c r="N589" i="4"/>
  <c r="M589" i="4"/>
  <c r="L589" i="4"/>
  <c r="K589" i="4"/>
  <c r="J589" i="4"/>
  <c r="I589" i="4"/>
  <c r="H589" i="4"/>
  <c r="G589" i="4"/>
  <c r="F589" i="4"/>
  <c r="E589" i="4"/>
  <c r="D589" i="4"/>
  <c r="C589" i="4"/>
  <c r="B589" i="4"/>
  <c r="A589" i="4"/>
  <c r="N588" i="4"/>
  <c r="M588" i="4"/>
  <c r="L588" i="4"/>
  <c r="K588" i="4"/>
  <c r="J588" i="4"/>
  <c r="I588" i="4"/>
  <c r="H588" i="4"/>
  <c r="G588" i="4"/>
  <c r="F588" i="4"/>
  <c r="E588" i="4"/>
  <c r="D588" i="4"/>
  <c r="C588" i="4"/>
  <c r="B588" i="4"/>
  <c r="A588" i="4"/>
  <c r="N587" i="4"/>
  <c r="M587" i="4"/>
  <c r="L587" i="4"/>
  <c r="K587" i="4"/>
  <c r="J587" i="4"/>
  <c r="I587" i="4"/>
  <c r="H587" i="4"/>
  <c r="G587" i="4"/>
  <c r="F587" i="4"/>
  <c r="E587" i="4"/>
  <c r="D587" i="4"/>
  <c r="C587" i="4"/>
  <c r="B587" i="4"/>
  <c r="A587" i="4"/>
  <c r="N586" i="4"/>
  <c r="M586" i="4"/>
  <c r="L586" i="4"/>
  <c r="K586" i="4"/>
  <c r="J586" i="4"/>
  <c r="I586" i="4"/>
  <c r="H586" i="4"/>
  <c r="G586" i="4"/>
  <c r="F586" i="4"/>
  <c r="E586" i="4"/>
  <c r="D586" i="4"/>
  <c r="C586" i="4"/>
  <c r="B586" i="4"/>
  <c r="A586" i="4"/>
  <c r="N585" i="4"/>
  <c r="M585" i="4"/>
  <c r="L585" i="4"/>
  <c r="K585" i="4"/>
  <c r="J585" i="4"/>
  <c r="I585" i="4"/>
  <c r="H585" i="4"/>
  <c r="G585" i="4"/>
  <c r="F585" i="4"/>
  <c r="E585" i="4"/>
  <c r="D585" i="4"/>
  <c r="C585" i="4"/>
  <c r="B585" i="4"/>
  <c r="A585" i="4"/>
  <c r="N584" i="4"/>
  <c r="M584" i="4"/>
  <c r="L584" i="4"/>
  <c r="K584" i="4"/>
  <c r="J584" i="4"/>
  <c r="I584" i="4"/>
  <c r="H584" i="4"/>
  <c r="G584" i="4"/>
  <c r="F584" i="4"/>
  <c r="E584" i="4"/>
  <c r="D584" i="4"/>
  <c r="C584" i="4"/>
  <c r="B584" i="4"/>
  <c r="A584" i="4"/>
  <c r="N583" i="4"/>
  <c r="M583" i="4"/>
  <c r="L583" i="4"/>
  <c r="K583" i="4"/>
  <c r="J583" i="4"/>
  <c r="I583" i="4"/>
  <c r="H583" i="4"/>
  <c r="G583" i="4"/>
  <c r="F583" i="4"/>
  <c r="E583" i="4"/>
  <c r="D583" i="4"/>
  <c r="C583" i="4"/>
  <c r="B583" i="4"/>
  <c r="A583" i="4"/>
  <c r="N582" i="4"/>
  <c r="M582" i="4"/>
  <c r="L582" i="4"/>
  <c r="K582" i="4"/>
  <c r="J582" i="4"/>
  <c r="I582" i="4"/>
  <c r="H582" i="4"/>
  <c r="G582" i="4"/>
  <c r="F582" i="4"/>
  <c r="E582" i="4"/>
  <c r="D582" i="4"/>
  <c r="C582" i="4"/>
  <c r="B582" i="4"/>
  <c r="A582" i="4"/>
  <c r="N581" i="4"/>
  <c r="M581" i="4"/>
  <c r="L581" i="4"/>
  <c r="K581" i="4"/>
  <c r="J581" i="4"/>
  <c r="I581" i="4"/>
  <c r="H581" i="4"/>
  <c r="G581" i="4"/>
  <c r="F581" i="4"/>
  <c r="E581" i="4"/>
  <c r="D581" i="4"/>
  <c r="C581" i="4"/>
  <c r="B581" i="4"/>
  <c r="A581" i="4"/>
  <c r="N580" i="4"/>
  <c r="M580" i="4"/>
  <c r="L580" i="4"/>
  <c r="K580" i="4"/>
  <c r="J580" i="4"/>
  <c r="I580" i="4"/>
  <c r="H580" i="4"/>
  <c r="G580" i="4"/>
  <c r="F580" i="4"/>
  <c r="E580" i="4"/>
  <c r="D580" i="4"/>
  <c r="C580" i="4"/>
  <c r="B580" i="4"/>
  <c r="A580" i="4"/>
  <c r="N579" i="4"/>
  <c r="M579" i="4"/>
  <c r="L579" i="4"/>
  <c r="K579" i="4"/>
  <c r="J579" i="4"/>
  <c r="I579" i="4"/>
  <c r="H579" i="4"/>
  <c r="G579" i="4"/>
  <c r="F579" i="4"/>
  <c r="E579" i="4"/>
  <c r="D579" i="4"/>
  <c r="C579" i="4"/>
  <c r="B579" i="4"/>
  <c r="A579" i="4"/>
  <c r="N578" i="4"/>
  <c r="M578" i="4"/>
  <c r="L578" i="4"/>
  <c r="K578" i="4"/>
  <c r="J578" i="4"/>
  <c r="I578" i="4"/>
  <c r="H578" i="4"/>
  <c r="G578" i="4"/>
  <c r="F578" i="4"/>
  <c r="E578" i="4"/>
  <c r="D578" i="4"/>
  <c r="C578" i="4"/>
  <c r="B578" i="4"/>
  <c r="A578" i="4"/>
  <c r="N577" i="4"/>
  <c r="M577" i="4"/>
  <c r="L577" i="4"/>
  <c r="K577" i="4"/>
  <c r="J577" i="4"/>
  <c r="I577" i="4"/>
  <c r="H577" i="4"/>
  <c r="G577" i="4"/>
  <c r="F577" i="4"/>
  <c r="E577" i="4"/>
  <c r="D577" i="4"/>
  <c r="C577" i="4"/>
  <c r="B577" i="4"/>
  <c r="A577" i="4"/>
  <c r="N576" i="4"/>
  <c r="M576" i="4"/>
  <c r="L576" i="4"/>
  <c r="K576" i="4"/>
  <c r="J576" i="4"/>
  <c r="I576" i="4"/>
  <c r="H576" i="4"/>
  <c r="G576" i="4"/>
  <c r="F576" i="4"/>
  <c r="E576" i="4"/>
  <c r="D576" i="4"/>
  <c r="C576" i="4"/>
  <c r="B576" i="4"/>
  <c r="A576" i="4"/>
  <c r="N575" i="4"/>
  <c r="M575" i="4"/>
  <c r="L575" i="4"/>
  <c r="K575" i="4"/>
  <c r="J575" i="4"/>
  <c r="I575" i="4"/>
  <c r="H575" i="4"/>
  <c r="G575" i="4"/>
  <c r="F575" i="4"/>
  <c r="E575" i="4"/>
  <c r="D575" i="4"/>
  <c r="C575" i="4"/>
  <c r="B575" i="4"/>
  <c r="A575" i="4"/>
  <c r="N574" i="4"/>
  <c r="M574" i="4"/>
  <c r="L574" i="4"/>
  <c r="K574" i="4"/>
  <c r="J574" i="4"/>
  <c r="I574" i="4"/>
  <c r="H574" i="4"/>
  <c r="G574" i="4"/>
  <c r="F574" i="4"/>
  <c r="E574" i="4"/>
  <c r="D574" i="4"/>
  <c r="C574" i="4"/>
  <c r="B574" i="4"/>
  <c r="A574" i="4"/>
  <c r="N573" i="4"/>
  <c r="M573" i="4"/>
  <c r="L573" i="4"/>
  <c r="K573" i="4"/>
  <c r="J573" i="4"/>
  <c r="I573" i="4"/>
  <c r="H573" i="4"/>
  <c r="G573" i="4"/>
  <c r="F573" i="4"/>
  <c r="E573" i="4"/>
  <c r="D573" i="4"/>
  <c r="C573" i="4"/>
  <c r="B573" i="4"/>
  <c r="A573" i="4"/>
  <c r="N572" i="4"/>
  <c r="M572" i="4"/>
  <c r="L572" i="4"/>
  <c r="K572" i="4"/>
  <c r="J572" i="4"/>
  <c r="I572" i="4"/>
  <c r="H572" i="4"/>
  <c r="G572" i="4"/>
  <c r="F572" i="4"/>
  <c r="E572" i="4"/>
  <c r="D572" i="4"/>
  <c r="C572" i="4"/>
  <c r="B572" i="4"/>
  <c r="A572" i="4"/>
  <c r="N571" i="4"/>
  <c r="M571" i="4"/>
  <c r="L571" i="4"/>
  <c r="K571" i="4"/>
  <c r="J571" i="4"/>
  <c r="I571" i="4"/>
  <c r="H571" i="4"/>
  <c r="G571" i="4"/>
  <c r="F571" i="4"/>
  <c r="E571" i="4"/>
  <c r="D571" i="4"/>
  <c r="C571" i="4"/>
  <c r="B571" i="4"/>
  <c r="A571" i="4"/>
  <c r="N570" i="4"/>
  <c r="M570" i="4"/>
  <c r="L570" i="4"/>
  <c r="K570" i="4"/>
  <c r="J570" i="4"/>
  <c r="I570" i="4"/>
  <c r="H570" i="4"/>
  <c r="G570" i="4"/>
  <c r="F570" i="4"/>
  <c r="E570" i="4"/>
  <c r="D570" i="4"/>
  <c r="C570" i="4"/>
  <c r="B570" i="4"/>
  <c r="A570" i="4"/>
  <c r="N569" i="4"/>
  <c r="M569" i="4"/>
  <c r="L569" i="4"/>
  <c r="K569" i="4"/>
  <c r="J569" i="4"/>
  <c r="I569" i="4"/>
  <c r="H569" i="4"/>
  <c r="G569" i="4"/>
  <c r="F569" i="4"/>
  <c r="E569" i="4"/>
  <c r="D569" i="4"/>
  <c r="C569" i="4"/>
  <c r="B569" i="4"/>
  <c r="A569" i="4"/>
  <c r="N568" i="4"/>
  <c r="M568" i="4"/>
  <c r="L568" i="4"/>
  <c r="K568" i="4"/>
  <c r="J568" i="4"/>
  <c r="I568" i="4"/>
  <c r="H568" i="4"/>
  <c r="G568" i="4"/>
  <c r="F568" i="4"/>
  <c r="E568" i="4"/>
  <c r="D568" i="4"/>
  <c r="C568" i="4"/>
  <c r="B568" i="4"/>
  <c r="A568" i="4"/>
  <c r="N567" i="4"/>
  <c r="M567" i="4"/>
  <c r="L567" i="4"/>
  <c r="K567" i="4"/>
  <c r="J567" i="4"/>
  <c r="I567" i="4"/>
  <c r="H567" i="4"/>
  <c r="G567" i="4"/>
  <c r="F567" i="4"/>
  <c r="E567" i="4"/>
  <c r="D567" i="4"/>
  <c r="C567" i="4"/>
  <c r="B567" i="4"/>
  <c r="A567" i="4"/>
  <c r="N566" i="4"/>
  <c r="M566" i="4"/>
  <c r="L566" i="4"/>
  <c r="K566" i="4"/>
  <c r="J566" i="4"/>
  <c r="I566" i="4"/>
  <c r="H566" i="4"/>
  <c r="G566" i="4"/>
  <c r="F566" i="4"/>
  <c r="E566" i="4"/>
  <c r="D566" i="4"/>
  <c r="C566" i="4"/>
  <c r="B566" i="4"/>
  <c r="A566" i="4"/>
  <c r="N565" i="4"/>
  <c r="M565" i="4"/>
  <c r="L565" i="4"/>
  <c r="K565" i="4"/>
  <c r="J565" i="4"/>
  <c r="I565" i="4"/>
  <c r="H565" i="4"/>
  <c r="G565" i="4"/>
  <c r="F565" i="4"/>
  <c r="E565" i="4"/>
  <c r="D565" i="4"/>
  <c r="C565" i="4"/>
  <c r="B565" i="4"/>
  <c r="A565" i="4"/>
  <c r="N564" i="4"/>
  <c r="M564" i="4"/>
  <c r="L564" i="4"/>
  <c r="K564" i="4"/>
  <c r="J564" i="4"/>
  <c r="I564" i="4"/>
  <c r="H564" i="4"/>
  <c r="G564" i="4"/>
  <c r="F564" i="4"/>
  <c r="E564" i="4"/>
  <c r="D564" i="4"/>
  <c r="C564" i="4"/>
  <c r="B564" i="4"/>
  <c r="A564" i="4"/>
  <c r="N563" i="4"/>
  <c r="M563" i="4"/>
  <c r="L563" i="4"/>
  <c r="K563" i="4"/>
  <c r="J563" i="4"/>
  <c r="I563" i="4"/>
  <c r="H563" i="4"/>
  <c r="G563" i="4"/>
  <c r="F563" i="4"/>
  <c r="E563" i="4"/>
  <c r="D563" i="4"/>
  <c r="C563" i="4"/>
  <c r="B563" i="4"/>
  <c r="A563" i="4"/>
  <c r="N562" i="4"/>
  <c r="M562" i="4"/>
  <c r="L562" i="4"/>
  <c r="K562" i="4"/>
  <c r="J562" i="4"/>
  <c r="I562" i="4"/>
  <c r="H562" i="4"/>
  <c r="G562" i="4"/>
  <c r="F562" i="4"/>
  <c r="E562" i="4"/>
  <c r="D562" i="4"/>
  <c r="C562" i="4"/>
  <c r="B562" i="4"/>
  <c r="A562" i="4"/>
  <c r="N561" i="4"/>
  <c r="M561" i="4"/>
  <c r="L561" i="4"/>
  <c r="K561" i="4"/>
  <c r="J561" i="4"/>
  <c r="I561" i="4"/>
  <c r="H561" i="4"/>
  <c r="G561" i="4"/>
  <c r="F561" i="4"/>
  <c r="E561" i="4"/>
  <c r="D561" i="4"/>
  <c r="C561" i="4"/>
  <c r="B561" i="4"/>
  <c r="A561" i="4"/>
  <c r="N560" i="4"/>
  <c r="M560" i="4"/>
  <c r="L560" i="4"/>
  <c r="K560" i="4"/>
  <c r="J560" i="4"/>
  <c r="I560" i="4"/>
  <c r="H560" i="4"/>
  <c r="G560" i="4"/>
  <c r="F560" i="4"/>
  <c r="E560" i="4"/>
  <c r="D560" i="4"/>
  <c r="C560" i="4"/>
  <c r="B560" i="4"/>
  <c r="A560" i="4"/>
  <c r="N559" i="4"/>
  <c r="M559" i="4"/>
  <c r="L559" i="4"/>
  <c r="K559" i="4"/>
  <c r="J559" i="4"/>
  <c r="I559" i="4"/>
  <c r="H559" i="4"/>
  <c r="G559" i="4"/>
  <c r="F559" i="4"/>
  <c r="E559" i="4"/>
  <c r="D559" i="4"/>
  <c r="C559" i="4"/>
  <c r="B559" i="4"/>
  <c r="A559" i="4"/>
  <c r="N558" i="4"/>
  <c r="M558" i="4"/>
  <c r="L558" i="4"/>
  <c r="K558" i="4"/>
  <c r="J558" i="4"/>
  <c r="I558" i="4"/>
  <c r="H558" i="4"/>
  <c r="G558" i="4"/>
  <c r="F558" i="4"/>
  <c r="E558" i="4"/>
  <c r="D558" i="4"/>
  <c r="C558" i="4"/>
  <c r="B558" i="4"/>
  <c r="A558" i="4"/>
  <c r="N557" i="4"/>
  <c r="M557" i="4"/>
  <c r="L557" i="4"/>
  <c r="K557" i="4"/>
  <c r="J557" i="4"/>
  <c r="I557" i="4"/>
  <c r="H557" i="4"/>
  <c r="G557" i="4"/>
  <c r="F557" i="4"/>
  <c r="E557" i="4"/>
  <c r="D557" i="4"/>
  <c r="C557" i="4"/>
  <c r="B557" i="4"/>
  <c r="A557" i="4"/>
  <c r="N556" i="4"/>
  <c r="M556" i="4"/>
  <c r="L556" i="4"/>
  <c r="K556" i="4"/>
  <c r="J556" i="4"/>
  <c r="I556" i="4"/>
  <c r="H556" i="4"/>
  <c r="G556" i="4"/>
  <c r="F556" i="4"/>
  <c r="E556" i="4"/>
  <c r="D556" i="4"/>
  <c r="C556" i="4"/>
  <c r="B556" i="4"/>
  <c r="A556" i="4"/>
  <c r="N555" i="4"/>
  <c r="M555" i="4"/>
  <c r="L555" i="4"/>
  <c r="K555" i="4"/>
  <c r="J555" i="4"/>
  <c r="I555" i="4"/>
  <c r="H555" i="4"/>
  <c r="G555" i="4"/>
  <c r="F555" i="4"/>
  <c r="E555" i="4"/>
  <c r="D555" i="4"/>
  <c r="C555" i="4"/>
  <c r="B555" i="4"/>
  <c r="A555" i="4"/>
  <c r="N554" i="4"/>
  <c r="M554" i="4"/>
  <c r="L554" i="4"/>
  <c r="K554" i="4"/>
  <c r="J554" i="4"/>
  <c r="I554" i="4"/>
  <c r="H554" i="4"/>
  <c r="G554" i="4"/>
  <c r="F554" i="4"/>
  <c r="E554" i="4"/>
  <c r="D554" i="4"/>
  <c r="C554" i="4"/>
  <c r="B554" i="4"/>
  <c r="A554" i="4"/>
  <c r="N553" i="4"/>
  <c r="M553" i="4"/>
  <c r="L553" i="4"/>
  <c r="K553" i="4"/>
  <c r="J553" i="4"/>
  <c r="I553" i="4"/>
  <c r="H553" i="4"/>
  <c r="G553" i="4"/>
  <c r="F553" i="4"/>
  <c r="E553" i="4"/>
  <c r="D553" i="4"/>
  <c r="C553" i="4"/>
  <c r="B553" i="4"/>
  <c r="A553" i="4"/>
  <c r="N552" i="4"/>
  <c r="M552" i="4"/>
  <c r="L552" i="4"/>
  <c r="K552" i="4"/>
  <c r="J552" i="4"/>
  <c r="I552" i="4"/>
  <c r="H552" i="4"/>
  <c r="G552" i="4"/>
  <c r="F552" i="4"/>
  <c r="E552" i="4"/>
  <c r="D552" i="4"/>
  <c r="C552" i="4"/>
  <c r="B552" i="4"/>
  <c r="A552" i="4"/>
  <c r="N551" i="4"/>
  <c r="M551" i="4"/>
  <c r="L551" i="4"/>
  <c r="K551" i="4"/>
  <c r="J551" i="4"/>
  <c r="I551" i="4"/>
  <c r="H551" i="4"/>
  <c r="G551" i="4"/>
  <c r="F551" i="4"/>
  <c r="E551" i="4"/>
  <c r="D551" i="4"/>
  <c r="C551" i="4"/>
  <c r="B551" i="4"/>
  <c r="A551" i="4"/>
  <c r="N550" i="4"/>
  <c r="M550" i="4"/>
  <c r="L550" i="4"/>
  <c r="K550" i="4"/>
  <c r="J550" i="4"/>
  <c r="I550" i="4"/>
  <c r="H550" i="4"/>
  <c r="G550" i="4"/>
  <c r="F550" i="4"/>
  <c r="E550" i="4"/>
  <c r="D550" i="4"/>
  <c r="C550" i="4"/>
  <c r="B550" i="4"/>
  <c r="A550" i="4"/>
  <c r="N549" i="4"/>
  <c r="M549" i="4"/>
  <c r="L549" i="4"/>
  <c r="K549" i="4"/>
  <c r="J549" i="4"/>
  <c r="I549" i="4"/>
  <c r="H549" i="4"/>
  <c r="G549" i="4"/>
  <c r="F549" i="4"/>
  <c r="E549" i="4"/>
  <c r="D549" i="4"/>
  <c r="C549" i="4"/>
  <c r="B549" i="4"/>
  <c r="A549" i="4"/>
  <c r="N548" i="4"/>
  <c r="M548" i="4"/>
  <c r="L548" i="4"/>
  <c r="K548" i="4"/>
  <c r="J548" i="4"/>
  <c r="I548" i="4"/>
  <c r="H548" i="4"/>
  <c r="G548" i="4"/>
  <c r="F548" i="4"/>
  <c r="E548" i="4"/>
  <c r="D548" i="4"/>
  <c r="C548" i="4"/>
  <c r="B548" i="4"/>
  <c r="A548" i="4"/>
  <c r="N547" i="4"/>
  <c r="M547" i="4"/>
  <c r="L547" i="4"/>
  <c r="K547" i="4"/>
  <c r="J547" i="4"/>
  <c r="I547" i="4"/>
  <c r="H547" i="4"/>
  <c r="G547" i="4"/>
  <c r="F547" i="4"/>
  <c r="E547" i="4"/>
  <c r="D547" i="4"/>
  <c r="C547" i="4"/>
  <c r="B547" i="4"/>
  <c r="A547" i="4"/>
  <c r="N546" i="4"/>
  <c r="M546" i="4"/>
  <c r="L546" i="4"/>
  <c r="K546" i="4"/>
  <c r="J546" i="4"/>
  <c r="I546" i="4"/>
  <c r="H546" i="4"/>
  <c r="G546" i="4"/>
  <c r="F546" i="4"/>
  <c r="E546" i="4"/>
  <c r="D546" i="4"/>
  <c r="C546" i="4"/>
  <c r="B546" i="4"/>
  <c r="A546" i="4"/>
  <c r="N545" i="4"/>
  <c r="M545" i="4"/>
  <c r="L545" i="4"/>
  <c r="K545" i="4"/>
  <c r="J545" i="4"/>
  <c r="I545" i="4"/>
  <c r="H545" i="4"/>
  <c r="G545" i="4"/>
  <c r="F545" i="4"/>
  <c r="E545" i="4"/>
  <c r="D545" i="4"/>
  <c r="C545" i="4"/>
  <c r="B545" i="4"/>
  <c r="A545" i="4"/>
  <c r="N544" i="4"/>
  <c r="M544" i="4"/>
  <c r="L544" i="4"/>
  <c r="K544" i="4"/>
  <c r="J544" i="4"/>
  <c r="I544" i="4"/>
  <c r="H544" i="4"/>
  <c r="G544" i="4"/>
  <c r="F544" i="4"/>
  <c r="E544" i="4"/>
  <c r="D544" i="4"/>
  <c r="C544" i="4"/>
  <c r="B544" i="4"/>
  <c r="A544" i="4"/>
  <c r="N543" i="4"/>
  <c r="M543" i="4"/>
  <c r="L543" i="4"/>
  <c r="K543" i="4"/>
  <c r="J543" i="4"/>
  <c r="I543" i="4"/>
  <c r="H543" i="4"/>
  <c r="G543" i="4"/>
  <c r="F543" i="4"/>
  <c r="E543" i="4"/>
  <c r="D543" i="4"/>
  <c r="C543" i="4"/>
  <c r="B543" i="4"/>
  <c r="A543" i="4"/>
  <c r="N542" i="4"/>
  <c r="M542" i="4"/>
  <c r="L542" i="4"/>
  <c r="K542" i="4"/>
  <c r="J542" i="4"/>
  <c r="I542" i="4"/>
  <c r="H542" i="4"/>
  <c r="G542" i="4"/>
  <c r="F542" i="4"/>
  <c r="E542" i="4"/>
  <c r="D542" i="4"/>
  <c r="C542" i="4"/>
  <c r="B542" i="4"/>
  <c r="A542" i="4"/>
  <c r="N541" i="4"/>
  <c r="M541" i="4"/>
  <c r="L541" i="4"/>
  <c r="K541" i="4"/>
  <c r="J541" i="4"/>
  <c r="I541" i="4"/>
  <c r="H541" i="4"/>
  <c r="G541" i="4"/>
  <c r="F541" i="4"/>
  <c r="E541" i="4"/>
  <c r="D541" i="4"/>
  <c r="C541" i="4"/>
  <c r="B541" i="4"/>
  <c r="A541" i="4"/>
  <c r="N540" i="4"/>
  <c r="M540" i="4"/>
  <c r="L540" i="4"/>
  <c r="K540" i="4"/>
  <c r="J540" i="4"/>
  <c r="I540" i="4"/>
  <c r="H540" i="4"/>
  <c r="G540" i="4"/>
  <c r="F540" i="4"/>
  <c r="E540" i="4"/>
  <c r="D540" i="4"/>
  <c r="C540" i="4"/>
  <c r="B540" i="4"/>
  <c r="A540" i="4"/>
  <c r="N539" i="4"/>
  <c r="M539" i="4"/>
  <c r="L539" i="4"/>
  <c r="K539" i="4"/>
  <c r="J539" i="4"/>
  <c r="I539" i="4"/>
  <c r="H539" i="4"/>
  <c r="G539" i="4"/>
  <c r="F539" i="4"/>
  <c r="E539" i="4"/>
  <c r="D539" i="4"/>
  <c r="C539" i="4"/>
  <c r="B539" i="4"/>
  <c r="A539" i="4"/>
  <c r="N538" i="4"/>
  <c r="M538" i="4"/>
  <c r="L538" i="4"/>
  <c r="K538" i="4"/>
  <c r="J538" i="4"/>
  <c r="I538" i="4"/>
  <c r="H538" i="4"/>
  <c r="G538" i="4"/>
  <c r="F538" i="4"/>
  <c r="E538" i="4"/>
  <c r="D538" i="4"/>
  <c r="C538" i="4"/>
  <c r="B538" i="4"/>
  <c r="A538" i="4"/>
  <c r="N537" i="4"/>
  <c r="M537" i="4"/>
  <c r="L537" i="4"/>
  <c r="K537" i="4"/>
  <c r="J537" i="4"/>
  <c r="I537" i="4"/>
  <c r="H537" i="4"/>
  <c r="G537" i="4"/>
  <c r="F537" i="4"/>
  <c r="E537" i="4"/>
  <c r="D537" i="4"/>
  <c r="C537" i="4"/>
  <c r="B537" i="4"/>
  <c r="A537" i="4"/>
  <c r="N536" i="4"/>
  <c r="M536" i="4"/>
  <c r="L536" i="4"/>
  <c r="K536" i="4"/>
  <c r="J536" i="4"/>
  <c r="I536" i="4"/>
  <c r="H536" i="4"/>
  <c r="G536" i="4"/>
  <c r="F536" i="4"/>
  <c r="E536" i="4"/>
  <c r="D536" i="4"/>
  <c r="C536" i="4"/>
  <c r="B536" i="4"/>
  <c r="A536" i="4"/>
  <c r="N535" i="4"/>
  <c r="M535" i="4"/>
  <c r="L535" i="4"/>
  <c r="K535" i="4"/>
  <c r="J535" i="4"/>
  <c r="I535" i="4"/>
  <c r="H535" i="4"/>
  <c r="G535" i="4"/>
  <c r="F535" i="4"/>
  <c r="E535" i="4"/>
  <c r="D535" i="4"/>
  <c r="C535" i="4"/>
  <c r="B535" i="4"/>
  <c r="A535" i="4"/>
  <c r="N534" i="4"/>
  <c r="M534" i="4"/>
  <c r="L534" i="4"/>
  <c r="K534" i="4"/>
  <c r="J534" i="4"/>
  <c r="I534" i="4"/>
  <c r="H534" i="4"/>
  <c r="G534" i="4"/>
  <c r="F534" i="4"/>
  <c r="E534" i="4"/>
  <c r="D534" i="4"/>
  <c r="C534" i="4"/>
  <c r="B534" i="4"/>
  <c r="A534" i="4"/>
  <c r="N533" i="4"/>
  <c r="M533" i="4"/>
  <c r="L533" i="4"/>
  <c r="K533" i="4"/>
  <c r="J533" i="4"/>
  <c r="I533" i="4"/>
  <c r="H533" i="4"/>
  <c r="G533" i="4"/>
  <c r="F533" i="4"/>
  <c r="E533" i="4"/>
  <c r="D533" i="4"/>
  <c r="C533" i="4"/>
  <c r="B533" i="4"/>
  <c r="A533" i="4"/>
  <c r="N532" i="4"/>
  <c r="M532" i="4"/>
  <c r="L532" i="4"/>
  <c r="K532" i="4"/>
  <c r="J532" i="4"/>
  <c r="I532" i="4"/>
  <c r="H532" i="4"/>
  <c r="G532" i="4"/>
  <c r="F532" i="4"/>
  <c r="E532" i="4"/>
  <c r="D532" i="4"/>
  <c r="C532" i="4"/>
  <c r="B532" i="4"/>
  <c r="A532" i="4"/>
  <c r="N531" i="4"/>
  <c r="M531" i="4"/>
  <c r="L531" i="4"/>
  <c r="K531" i="4"/>
  <c r="J531" i="4"/>
  <c r="I531" i="4"/>
  <c r="H531" i="4"/>
  <c r="G531" i="4"/>
  <c r="F531" i="4"/>
  <c r="E531" i="4"/>
  <c r="D531" i="4"/>
  <c r="C531" i="4"/>
  <c r="B531" i="4"/>
  <c r="A531" i="4"/>
  <c r="N530" i="4"/>
  <c r="M530" i="4"/>
  <c r="L530" i="4"/>
  <c r="K530" i="4"/>
  <c r="J530" i="4"/>
  <c r="I530" i="4"/>
  <c r="H530" i="4"/>
  <c r="G530" i="4"/>
  <c r="F530" i="4"/>
  <c r="E530" i="4"/>
  <c r="D530" i="4"/>
  <c r="C530" i="4"/>
  <c r="B530" i="4"/>
  <c r="A530" i="4"/>
  <c r="N529" i="4"/>
  <c r="M529" i="4"/>
  <c r="L529" i="4"/>
  <c r="K529" i="4"/>
  <c r="J529" i="4"/>
  <c r="I529" i="4"/>
  <c r="H529" i="4"/>
  <c r="G529" i="4"/>
  <c r="F529" i="4"/>
  <c r="E529" i="4"/>
  <c r="D529" i="4"/>
  <c r="C529" i="4"/>
  <c r="B529" i="4"/>
  <c r="A529" i="4"/>
  <c r="N528" i="4"/>
  <c r="M528" i="4"/>
  <c r="L528" i="4"/>
  <c r="K528" i="4"/>
  <c r="J528" i="4"/>
  <c r="I528" i="4"/>
  <c r="H528" i="4"/>
  <c r="G528" i="4"/>
  <c r="F528" i="4"/>
  <c r="E528" i="4"/>
  <c r="D528" i="4"/>
  <c r="C528" i="4"/>
  <c r="B528" i="4"/>
  <c r="A528" i="4"/>
  <c r="N527" i="4"/>
  <c r="M527" i="4"/>
  <c r="L527" i="4"/>
  <c r="K527" i="4"/>
  <c r="J527" i="4"/>
  <c r="I527" i="4"/>
  <c r="H527" i="4"/>
  <c r="G527" i="4"/>
  <c r="F527" i="4"/>
  <c r="E527" i="4"/>
  <c r="D527" i="4"/>
  <c r="C527" i="4"/>
  <c r="B527" i="4"/>
  <c r="A527" i="4"/>
  <c r="N526" i="4"/>
  <c r="M526" i="4"/>
  <c r="L526" i="4"/>
  <c r="K526" i="4"/>
  <c r="J526" i="4"/>
  <c r="I526" i="4"/>
  <c r="H526" i="4"/>
  <c r="G526" i="4"/>
  <c r="F526" i="4"/>
  <c r="E526" i="4"/>
  <c r="D526" i="4"/>
  <c r="C526" i="4"/>
  <c r="B526" i="4"/>
  <c r="A526" i="4"/>
  <c r="N525" i="4"/>
  <c r="M525" i="4"/>
  <c r="L525" i="4"/>
  <c r="K525" i="4"/>
  <c r="J525" i="4"/>
  <c r="I525" i="4"/>
  <c r="H525" i="4"/>
  <c r="G525" i="4"/>
  <c r="F525" i="4"/>
  <c r="E525" i="4"/>
  <c r="D525" i="4"/>
  <c r="C525" i="4"/>
  <c r="B525" i="4"/>
  <c r="A525" i="4"/>
  <c r="N524" i="4"/>
  <c r="M524" i="4"/>
  <c r="L524" i="4"/>
  <c r="K524" i="4"/>
  <c r="J524" i="4"/>
  <c r="I524" i="4"/>
  <c r="H524" i="4"/>
  <c r="G524" i="4"/>
  <c r="F524" i="4"/>
  <c r="E524" i="4"/>
  <c r="D524" i="4"/>
  <c r="C524" i="4"/>
  <c r="B524" i="4"/>
  <c r="A524" i="4"/>
  <c r="N523" i="4"/>
  <c r="M523" i="4"/>
  <c r="L523" i="4"/>
  <c r="K523" i="4"/>
  <c r="J523" i="4"/>
  <c r="I523" i="4"/>
  <c r="H523" i="4"/>
  <c r="G523" i="4"/>
  <c r="F523" i="4"/>
  <c r="E523" i="4"/>
  <c r="D523" i="4"/>
  <c r="C523" i="4"/>
  <c r="B523" i="4"/>
  <c r="A523" i="4"/>
  <c r="N522" i="4"/>
  <c r="M522" i="4"/>
  <c r="L522" i="4"/>
  <c r="K522" i="4"/>
  <c r="J522" i="4"/>
  <c r="I522" i="4"/>
  <c r="H522" i="4"/>
  <c r="G522" i="4"/>
  <c r="F522" i="4"/>
  <c r="E522" i="4"/>
  <c r="D522" i="4"/>
  <c r="C522" i="4"/>
  <c r="B522" i="4"/>
  <c r="A522" i="4"/>
  <c r="N521" i="4"/>
  <c r="M521" i="4"/>
  <c r="L521" i="4"/>
  <c r="K521" i="4"/>
  <c r="J521" i="4"/>
  <c r="I521" i="4"/>
  <c r="H521" i="4"/>
  <c r="G521" i="4"/>
  <c r="F521" i="4"/>
  <c r="E521" i="4"/>
  <c r="D521" i="4"/>
  <c r="C521" i="4"/>
  <c r="B521" i="4"/>
  <c r="A521" i="4"/>
  <c r="N520" i="4"/>
  <c r="M520" i="4"/>
  <c r="L520" i="4"/>
  <c r="K520" i="4"/>
  <c r="J520" i="4"/>
  <c r="I520" i="4"/>
  <c r="H520" i="4"/>
  <c r="G520" i="4"/>
  <c r="F520" i="4"/>
  <c r="E520" i="4"/>
  <c r="D520" i="4"/>
  <c r="C520" i="4"/>
  <c r="B520" i="4"/>
  <c r="A520" i="4"/>
  <c r="N519" i="4"/>
  <c r="M519" i="4"/>
  <c r="L519" i="4"/>
  <c r="K519" i="4"/>
  <c r="J519" i="4"/>
  <c r="I519" i="4"/>
  <c r="H519" i="4"/>
  <c r="G519" i="4"/>
  <c r="F519" i="4"/>
  <c r="E519" i="4"/>
  <c r="D519" i="4"/>
  <c r="C519" i="4"/>
  <c r="B519" i="4"/>
  <c r="A519" i="4"/>
  <c r="N518" i="4"/>
  <c r="M518" i="4"/>
  <c r="L518" i="4"/>
  <c r="K518" i="4"/>
  <c r="J518" i="4"/>
  <c r="I518" i="4"/>
  <c r="H518" i="4"/>
  <c r="G518" i="4"/>
  <c r="F518" i="4"/>
  <c r="E518" i="4"/>
  <c r="D518" i="4"/>
  <c r="C518" i="4"/>
  <c r="B518" i="4"/>
  <c r="A518" i="4"/>
  <c r="N517" i="4"/>
  <c r="M517" i="4"/>
  <c r="L517" i="4"/>
  <c r="K517" i="4"/>
  <c r="J517" i="4"/>
  <c r="I517" i="4"/>
  <c r="H517" i="4"/>
  <c r="G517" i="4"/>
  <c r="F517" i="4"/>
  <c r="E517" i="4"/>
  <c r="D517" i="4"/>
  <c r="C517" i="4"/>
  <c r="B517" i="4"/>
  <c r="A517" i="4"/>
  <c r="N516" i="4"/>
  <c r="M516" i="4"/>
  <c r="L516" i="4"/>
  <c r="K516" i="4"/>
  <c r="J516" i="4"/>
  <c r="I516" i="4"/>
  <c r="H516" i="4"/>
  <c r="G516" i="4"/>
  <c r="F516" i="4"/>
  <c r="E516" i="4"/>
  <c r="D516" i="4"/>
  <c r="C516" i="4"/>
  <c r="B516" i="4"/>
  <c r="A516" i="4"/>
  <c r="N515" i="4"/>
  <c r="M515" i="4"/>
  <c r="L515" i="4"/>
  <c r="K515" i="4"/>
  <c r="J515" i="4"/>
  <c r="I515" i="4"/>
  <c r="H515" i="4"/>
  <c r="G515" i="4"/>
  <c r="F515" i="4"/>
  <c r="E515" i="4"/>
  <c r="D515" i="4"/>
  <c r="C515" i="4"/>
  <c r="B515" i="4"/>
  <c r="A515" i="4"/>
  <c r="N514" i="4"/>
  <c r="M514" i="4"/>
  <c r="L514" i="4"/>
  <c r="K514" i="4"/>
  <c r="J514" i="4"/>
  <c r="I514" i="4"/>
  <c r="H514" i="4"/>
  <c r="G514" i="4"/>
  <c r="F514" i="4"/>
  <c r="E514" i="4"/>
  <c r="D514" i="4"/>
  <c r="C514" i="4"/>
  <c r="B514" i="4"/>
  <c r="A514" i="4"/>
  <c r="N513" i="4"/>
  <c r="M513" i="4"/>
  <c r="L513" i="4"/>
  <c r="K513" i="4"/>
  <c r="J513" i="4"/>
  <c r="I513" i="4"/>
  <c r="H513" i="4"/>
  <c r="G513" i="4"/>
  <c r="F513" i="4"/>
  <c r="E513" i="4"/>
  <c r="D513" i="4"/>
  <c r="C513" i="4"/>
  <c r="B513" i="4"/>
  <c r="A513" i="4"/>
  <c r="N512" i="4"/>
  <c r="M512" i="4"/>
  <c r="L512" i="4"/>
  <c r="K512" i="4"/>
  <c r="J512" i="4"/>
  <c r="I512" i="4"/>
  <c r="H512" i="4"/>
  <c r="G512" i="4"/>
  <c r="F512" i="4"/>
  <c r="E512" i="4"/>
  <c r="D512" i="4"/>
  <c r="C512" i="4"/>
  <c r="B512" i="4"/>
  <c r="A512" i="4"/>
  <c r="N511" i="4"/>
  <c r="M511" i="4"/>
  <c r="L511" i="4"/>
  <c r="K511" i="4"/>
  <c r="J511" i="4"/>
  <c r="I511" i="4"/>
  <c r="H511" i="4"/>
  <c r="G511" i="4"/>
  <c r="F511" i="4"/>
  <c r="E511" i="4"/>
  <c r="D511" i="4"/>
  <c r="C511" i="4"/>
  <c r="B511" i="4"/>
  <c r="A511" i="4"/>
  <c r="N510" i="4"/>
  <c r="M510" i="4"/>
  <c r="L510" i="4"/>
  <c r="K510" i="4"/>
  <c r="J510" i="4"/>
  <c r="I510" i="4"/>
  <c r="H510" i="4"/>
  <c r="G510" i="4"/>
  <c r="F510" i="4"/>
  <c r="E510" i="4"/>
  <c r="D510" i="4"/>
  <c r="C510" i="4"/>
  <c r="B510" i="4"/>
  <c r="A510" i="4"/>
  <c r="N509" i="4"/>
  <c r="M509" i="4"/>
  <c r="L509" i="4"/>
  <c r="K509" i="4"/>
  <c r="J509" i="4"/>
  <c r="I509" i="4"/>
  <c r="H509" i="4"/>
  <c r="G509" i="4"/>
  <c r="F509" i="4"/>
  <c r="E509" i="4"/>
  <c r="D509" i="4"/>
  <c r="C509" i="4"/>
  <c r="B509" i="4"/>
  <c r="A509" i="4"/>
  <c r="N508" i="4"/>
  <c r="M508" i="4"/>
  <c r="L508" i="4"/>
  <c r="K508" i="4"/>
  <c r="J508" i="4"/>
  <c r="I508" i="4"/>
  <c r="H508" i="4"/>
  <c r="G508" i="4"/>
  <c r="F508" i="4"/>
  <c r="E508" i="4"/>
  <c r="D508" i="4"/>
  <c r="C508" i="4"/>
  <c r="B508" i="4"/>
  <c r="A508" i="4"/>
  <c r="N507" i="4"/>
  <c r="M507" i="4"/>
  <c r="L507" i="4"/>
  <c r="K507" i="4"/>
  <c r="J507" i="4"/>
  <c r="I507" i="4"/>
  <c r="H507" i="4"/>
  <c r="G507" i="4"/>
  <c r="F507" i="4"/>
  <c r="E507" i="4"/>
  <c r="D507" i="4"/>
  <c r="C507" i="4"/>
  <c r="B507" i="4"/>
  <c r="A507" i="4"/>
  <c r="N506" i="4"/>
  <c r="M506" i="4"/>
  <c r="L506" i="4"/>
  <c r="K506" i="4"/>
  <c r="J506" i="4"/>
  <c r="I506" i="4"/>
  <c r="H506" i="4"/>
  <c r="G506" i="4"/>
  <c r="F506" i="4"/>
  <c r="E506" i="4"/>
  <c r="D506" i="4"/>
  <c r="C506" i="4"/>
  <c r="B506" i="4"/>
  <c r="A506" i="4"/>
  <c r="N505" i="4"/>
  <c r="M505" i="4"/>
  <c r="L505" i="4"/>
  <c r="K505" i="4"/>
  <c r="J505" i="4"/>
  <c r="I505" i="4"/>
  <c r="H505" i="4"/>
  <c r="G505" i="4"/>
  <c r="F505" i="4"/>
  <c r="E505" i="4"/>
  <c r="D505" i="4"/>
  <c r="C505" i="4"/>
  <c r="B505" i="4"/>
  <c r="A505" i="4"/>
  <c r="N504" i="4"/>
  <c r="M504" i="4"/>
  <c r="L504" i="4"/>
  <c r="K504" i="4"/>
  <c r="J504" i="4"/>
  <c r="I504" i="4"/>
  <c r="H504" i="4"/>
  <c r="G504" i="4"/>
  <c r="F504" i="4"/>
  <c r="E504" i="4"/>
  <c r="D504" i="4"/>
  <c r="C504" i="4"/>
  <c r="B504" i="4"/>
  <c r="A504" i="4"/>
  <c r="N503" i="4"/>
  <c r="M503" i="4"/>
  <c r="L503" i="4"/>
  <c r="K503" i="4"/>
  <c r="J503" i="4"/>
  <c r="I503" i="4"/>
  <c r="H503" i="4"/>
  <c r="G503" i="4"/>
  <c r="F503" i="4"/>
  <c r="E503" i="4"/>
  <c r="D503" i="4"/>
  <c r="C503" i="4"/>
  <c r="B503" i="4"/>
  <c r="A503" i="4"/>
  <c r="N502" i="4"/>
  <c r="M502" i="4"/>
  <c r="L502" i="4"/>
  <c r="K502" i="4"/>
  <c r="J502" i="4"/>
  <c r="I502" i="4"/>
  <c r="H502" i="4"/>
  <c r="G502" i="4"/>
  <c r="F502" i="4"/>
  <c r="E502" i="4"/>
  <c r="D502" i="4"/>
  <c r="C502" i="4"/>
  <c r="B502" i="4"/>
  <c r="A502" i="4"/>
  <c r="N501" i="4"/>
  <c r="M501" i="4"/>
  <c r="L501" i="4"/>
  <c r="K501" i="4"/>
  <c r="J501" i="4"/>
  <c r="I501" i="4"/>
  <c r="H501" i="4"/>
  <c r="G501" i="4"/>
  <c r="F501" i="4"/>
  <c r="E501" i="4"/>
  <c r="D501" i="4"/>
  <c r="C501" i="4"/>
  <c r="B501" i="4"/>
  <c r="A501" i="4"/>
  <c r="N500" i="4"/>
  <c r="M500" i="4"/>
  <c r="L500" i="4"/>
  <c r="K500" i="4"/>
  <c r="J500" i="4"/>
  <c r="I500" i="4"/>
  <c r="H500" i="4"/>
  <c r="G500" i="4"/>
  <c r="F500" i="4"/>
  <c r="E500" i="4"/>
  <c r="D500" i="4"/>
  <c r="C500" i="4"/>
  <c r="B500" i="4"/>
  <c r="A500" i="4"/>
  <c r="N499" i="4"/>
  <c r="M499" i="4"/>
  <c r="L499" i="4"/>
  <c r="K499" i="4"/>
  <c r="J499" i="4"/>
  <c r="I499" i="4"/>
  <c r="H499" i="4"/>
  <c r="G499" i="4"/>
  <c r="F499" i="4"/>
  <c r="E499" i="4"/>
  <c r="D499" i="4"/>
  <c r="C499" i="4"/>
  <c r="B499" i="4"/>
  <c r="A499" i="4"/>
  <c r="N498" i="4"/>
  <c r="M498" i="4"/>
  <c r="L498" i="4"/>
  <c r="K498" i="4"/>
  <c r="J498" i="4"/>
  <c r="I498" i="4"/>
  <c r="H498" i="4"/>
  <c r="G498" i="4"/>
  <c r="F498" i="4"/>
  <c r="E498" i="4"/>
  <c r="D498" i="4"/>
  <c r="C498" i="4"/>
  <c r="B498" i="4"/>
  <c r="A498" i="4"/>
  <c r="N497" i="4"/>
  <c r="M497" i="4"/>
  <c r="L497" i="4"/>
  <c r="K497" i="4"/>
  <c r="J497" i="4"/>
  <c r="I497" i="4"/>
  <c r="H497" i="4"/>
  <c r="G497" i="4"/>
  <c r="F497" i="4"/>
  <c r="E497" i="4"/>
  <c r="D497" i="4"/>
  <c r="C497" i="4"/>
  <c r="B497" i="4"/>
  <c r="A497" i="4"/>
  <c r="N496" i="4"/>
  <c r="M496" i="4"/>
  <c r="L496" i="4"/>
  <c r="K496" i="4"/>
  <c r="J496" i="4"/>
  <c r="I496" i="4"/>
  <c r="H496" i="4"/>
  <c r="G496" i="4"/>
  <c r="F496" i="4"/>
  <c r="E496" i="4"/>
  <c r="D496" i="4"/>
  <c r="C496" i="4"/>
  <c r="B496" i="4"/>
  <c r="A496" i="4"/>
  <c r="N495" i="4"/>
  <c r="M495" i="4"/>
  <c r="L495" i="4"/>
  <c r="K495" i="4"/>
  <c r="J495" i="4"/>
  <c r="I495" i="4"/>
  <c r="H495" i="4"/>
  <c r="G495" i="4"/>
  <c r="F495" i="4"/>
  <c r="E495" i="4"/>
  <c r="D495" i="4"/>
  <c r="C495" i="4"/>
  <c r="B495" i="4"/>
  <c r="A495" i="4"/>
  <c r="N494" i="4"/>
  <c r="M494" i="4"/>
  <c r="L494" i="4"/>
  <c r="K494" i="4"/>
  <c r="J494" i="4"/>
  <c r="I494" i="4"/>
  <c r="H494" i="4"/>
  <c r="G494" i="4"/>
  <c r="F494" i="4"/>
  <c r="E494" i="4"/>
  <c r="D494" i="4"/>
  <c r="C494" i="4"/>
  <c r="B494" i="4"/>
  <c r="A494" i="4"/>
  <c r="N493" i="4"/>
  <c r="M493" i="4"/>
  <c r="L493" i="4"/>
  <c r="K493" i="4"/>
  <c r="J493" i="4"/>
  <c r="I493" i="4"/>
  <c r="H493" i="4"/>
  <c r="G493" i="4"/>
  <c r="F493" i="4"/>
  <c r="E493" i="4"/>
  <c r="D493" i="4"/>
  <c r="C493" i="4"/>
  <c r="B493" i="4"/>
  <c r="A493" i="4"/>
  <c r="N492" i="4"/>
  <c r="M492" i="4"/>
  <c r="L492" i="4"/>
  <c r="K492" i="4"/>
  <c r="J492" i="4"/>
  <c r="I492" i="4"/>
  <c r="H492" i="4"/>
  <c r="G492" i="4"/>
  <c r="F492" i="4"/>
  <c r="E492" i="4"/>
  <c r="D492" i="4"/>
  <c r="C492" i="4"/>
  <c r="B492" i="4"/>
  <c r="A492" i="4"/>
  <c r="N491" i="4"/>
  <c r="M491" i="4"/>
  <c r="L491" i="4"/>
  <c r="K491" i="4"/>
  <c r="J491" i="4"/>
  <c r="I491" i="4"/>
  <c r="H491" i="4"/>
  <c r="G491" i="4"/>
  <c r="F491" i="4"/>
  <c r="E491" i="4"/>
  <c r="D491" i="4"/>
  <c r="C491" i="4"/>
  <c r="B491" i="4"/>
  <c r="A491" i="4"/>
  <c r="N490" i="4"/>
  <c r="M490" i="4"/>
  <c r="L490" i="4"/>
  <c r="K490" i="4"/>
  <c r="J490" i="4"/>
  <c r="I490" i="4"/>
  <c r="H490" i="4"/>
  <c r="G490" i="4"/>
  <c r="F490" i="4"/>
  <c r="E490" i="4"/>
  <c r="D490" i="4"/>
  <c r="C490" i="4"/>
  <c r="B490" i="4"/>
  <c r="A490" i="4"/>
  <c r="N489" i="4"/>
  <c r="M489" i="4"/>
  <c r="L489" i="4"/>
  <c r="K489" i="4"/>
  <c r="J489" i="4"/>
  <c r="I489" i="4"/>
  <c r="H489" i="4"/>
  <c r="G489" i="4"/>
  <c r="F489" i="4"/>
  <c r="E489" i="4"/>
  <c r="D489" i="4"/>
  <c r="C489" i="4"/>
  <c r="B489" i="4"/>
  <c r="A489" i="4"/>
  <c r="N488" i="4"/>
  <c r="M488" i="4"/>
  <c r="L488" i="4"/>
  <c r="K488" i="4"/>
  <c r="J488" i="4"/>
  <c r="I488" i="4"/>
  <c r="H488" i="4"/>
  <c r="G488" i="4"/>
  <c r="F488" i="4"/>
  <c r="E488" i="4"/>
  <c r="D488" i="4"/>
  <c r="C488" i="4"/>
  <c r="B488" i="4"/>
  <c r="A488" i="4"/>
  <c r="N487" i="4"/>
  <c r="M487" i="4"/>
  <c r="L487" i="4"/>
  <c r="K487" i="4"/>
  <c r="J487" i="4"/>
  <c r="I487" i="4"/>
  <c r="H487" i="4"/>
  <c r="G487" i="4"/>
  <c r="F487" i="4"/>
  <c r="E487" i="4"/>
  <c r="D487" i="4"/>
  <c r="C487" i="4"/>
  <c r="B487" i="4"/>
  <c r="A487" i="4"/>
  <c r="N486" i="4"/>
  <c r="M486" i="4"/>
  <c r="L486" i="4"/>
  <c r="K486" i="4"/>
  <c r="J486" i="4"/>
  <c r="I486" i="4"/>
  <c r="H486" i="4"/>
  <c r="G486" i="4"/>
  <c r="F486" i="4"/>
  <c r="E486" i="4"/>
  <c r="D486" i="4"/>
  <c r="C486" i="4"/>
  <c r="B486" i="4"/>
  <c r="A486" i="4"/>
  <c r="N485" i="4"/>
  <c r="M485" i="4"/>
  <c r="L485" i="4"/>
  <c r="K485" i="4"/>
  <c r="J485" i="4"/>
  <c r="I485" i="4"/>
  <c r="H485" i="4"/>
  <c r="G485" i="4"/>
  <c r="F485" i="4"/>
  <c r="E485" i="4"/>
  <c r="D485" i="4"/>
  <c r="C485" i="4"/>
  <c r="B485" i="4"/>
  <c r="A485" i="4"/>
  <c r="N484" i="4"/>
  <c r="M484" i="4"/>
  <c r="L484" i="4"/>
  <c r="K484" i="4"/>
  <c r="J484" i="4"/>
  <c r="I484" i="4"/>
  <c r="H484" i="4"/>
  <c r="G484" i="4"/>
  <c r="F484" i="4"/>
  <c r="E484" i="4"/>
  <c r="D484" i="4"/>
  <c r="C484" i="4"/>
  <c r="B484" i="4"/>
  <c r="A484" i="4"/>
  <c r="N483" i="4"/>
  <c r="M483" i="4"/>
  <c r="L483" i="4"/>
  <c r="K483" i="4"/>
  <c r="J483" i="4"/>
  <c r="I483" i="4"/>
  <c r="H483" i="4"/>
  <c r="G483" i="4"/>
  <c r="F483" i="4"/>
  <c r="E483" i="4"/>
  <c r="D483" i="4"/>
  <c r="C483" i="4"/>
  <c r="B483" i="4"/>
  <c r="A483" i="4"/>
  <c r="N482" i="4"/>
  <c r="M482" i="4"/>
  <c r="L482" i="4"/>
  <c r="K482" i="4"/>
  <c r="J482" i="4"/>
  <c r="I482" i="4"/>
  <c r="H482" i="4"/>
  <c r="G482" i="4"/>
  <c r="F482" i="4"/>
  <c r="E482" i="4"/>
  <c r="D482" i="4"/>
  <c r="C482" i="4"/>
  <c r="B482" i="4"/>
  <c r="A482" i="4"/>
  <c r="N481" i="4"/>
  <c r="M481" i="4"/>
  <c r="L481" i="4"/>
  <c r="K481" i="4"/>
  <c r="J481" i="4"/>
  <c r="I481" i="4"/>
  <c r="H481" i="4"/>
  <c r="G481" i="4"/>
  <c r="F481" i="4"/>
  <c r="E481" i="4"/>
  <c r="D481" i="4"/>
  <c r="C481" i="4"/>
  <c r="B481" i="4"/>
  <c r="A481" i="4"/>
  <c r="N480" i="4"/>
  <c r="M480" i="4"/>
  <c r="L480" i="4"/>
  <c r="K480" i="4"/>
  <c r="J480" i="4"/>
  <c r="I480" i="4"/>
  <c r="H480" i="4"/>
  <c r="G480" i="4"/>
  <c r="F480" i="4"/>
  <c r="E480" i="4"/>
  <c r="D480" i="4"/>
  <c r="C480" i="4"/>
  <c r="B480" i="4"/>
  <c r="A480" i="4"/>
  <c r="N479" i="4"/>
  <c r="M479" i="4"/>
  <c r="L479" i="4"/>
  <c r="K479" i="4"/>
  <c r="J479" i="4"/>
  <c r="I479" i="4"/>
  <c r="H479" i="4"/>
  <c r="G479" i="4"/>
  <c r="F479" i="4"/>
  <c r="E479" i="4"/>
  <c r="D479" i="4"/>
  <c r="C479" i="4"/>
  <c r="B479" i="4"/>
  <c r="A479" i="4"/>
  <c r="N478" i="4"/>
  <c r="M478" i="4"/>
  <c r="L478" i="4"/>
  <c r="K478" i="4"/>
  <c r="J478" i="4"/>
  <c r="I478" i="4"/>
  <c r="H478" i="4"/>
  <c r="G478" i="4"/>
  <c r="F478" i="4"/>
  <c r="E478" i="4"/>
  <c r="D478" i="4"/>
  <c r="C478" i="4"/>
  <c r="B478" i="4"/>
  <c r="A478" i="4"/>
  <c r="N477" i="4"/>
  <c r="M477" i="4"/>
  <c r="L477" i="4"/>
  <c r="K477" i="4"/>
  <c r="J477" i="4"/>
  <c r="I477" i="4"/>
  <c r="H477" i="4"/>
  <c r="G477" i="4"/>
  <c r="F477" i="4"/>
  <c r="E477" i="4"/>
  <c r="D477" i="4"/>
  <c r="C477" i="4"/>
  <c r="B477" i="4"/>
  <c r="A477" i="4"/>
  <c r="N476" i="4"/>
  <c r="M476" i="4"/>
  <c r="L476" i="4"/>
  <c r="K476" i="4"/>
  <c r="J476" i="4"/>
  <c r="I476" i="4"/>
  <c r="H476" i="4"/>
  <c r="G476" i="4"/>
  <c r="F476" i="4"/>
  <c r="E476" i="4"/>
  <c r="D476" i="4"/>
  <c r="C476" i="4"/>
  <c r="B476" i="4"/>
  <c r="A476" i="4"/>
  <c r="N475" i="4"/>
  <c r="M475" i="4"/>
  <c r="L475" i="4"/>
  <c r="K475" i="4"/>
  <c r="J475" i="4"/>
  <c r="I475" i="4"/>
  <c r="H475" i="4"/>
  <c r="G475" i="4"/>
  <c r="F475" i="4"/>
  <c r="E475" i="4"/>
  <c r="D475" i="4"/>
  <c r="C475" i="4"/>
  <c r="B475" i="4"/>
  <c r="A475" i="4"/>
  <c r="N474" i="4"/>
  <c r="M474" i="4"/>
  <c r="L474" i="4"/>
  <c r="K474" i="4"/>
  <c r="J474" i="4"/>
  <c r="I474" i="4"/>
  <c r="H474" i="4"/>
  <c r="G474" i="4"/>
  <c r="F474" i="4"/>
  <c r="E474" i="4"/>
  <c r="D474" i="4"/>
  <c r="C474" i="4"/>
  <c r="B474" i="4"/>
  <c r="A474" i="4"/>
  <c r="N473" i="4"/>
  <c r="M473" i="4"/>
  <c r="L473" i="4"/>
  <c r="K473" i="4"/>
  <c r="J473" i="4"/>
  <c r="I473" i="4"/>
  <c r="H473" i="4"/>
  <c r="G473" i="4"/>
  <c r="F473" i="4"/>
  <c r="E473" i="4"/>
  <c r="D473" i="4"/>
  <c r="C473" i="4"/>
  <c r="B473" i="4"/>
  <c r="A473" i="4"/>
  <c r="N472" i="4"/>
  <c r="M472" i="4"/>
  <c r="L472" i="4"/>
  <c r="K472" i="4"/>
  <c r="J472" i="4"/>
  <c r="I472" i="4"/>
  <c r="H472" i="4"/>
  <c r="G472" i="4"/>
  <c r="F472" i="4"/>
  <c r="E472" i="4"/>
  <c r="D472" i="4"/>
  <c r="C472" i="4"/>
  <c r="B472" i="4"/>
  <c r="A472" i="4"/>
  <c r="N471" i="4"/>
  <c r="M471" i="4"/>
  <c r="L471" i="4"/>
  <c r="K471" i="4"/>
  <c r="J471" i="4"/>
  <c r="I471" i="4"/>
  <c r="H471" i="4"/>
  <c r="G471" i="4"/>
  <c r="F471" i="4"/>
  <c r="E471" i="4"/>
  <c r="D471" i="4"/>
  <c r="C471" i="4"/>
  <c r="B471" i="4"/>
  <c r="A471" i="4"/>
  <c r="N470" i="4"/>
  <c r="M470" i="4"/>
  <c r="L470" i="4"/>
  <c r="K470" i="4"/>
  <c r="J470" i="4"/>
  <c r="I470" i="4"/>
  <c r="H470" i="4"/>
  <c r="G470" i="4"/>
  <c r="F470" i="4"/>
  <c r="E470" i="4"/>
  <c r="D470" i="4"/>
  <c r="C470" i="4"/>
  <c r="B470" i="4"/>
  <c r="A470" i="4"/>
  <c r="N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A469" i="4"/>
  <c r="N468" i="4"/>
  <c r="M468" i="4"/>
  <c r="L468" i="4"/>
  <c r="K468" i="4"/>
  <c r="J468" i="4"/>
  <c r="I468" i="4"/>
  <c r="H468" i="4"/>
  <c r="G468" i="4"/>
  <c r="F468" i="4"/>
  <c r="E468" i="4"/>
  <c r="D468" i="4"/>
  <c r="C468" i="4"/>
  <c r="B468" i="4"/>
  <c r="A468" i="4"/>
  <c r="N467" i="4"/>
  <c r="M467" i="4"/>
  <c r="L467" i="4"/>
  <c r="K467" i="4"/>
  <c r="J467" i="4"/>
  <c r="I467" i="4"/>
  <c r="H467" i="4"/>
  <c r="G467" i="4"/>
  <c r="F467" i="4"/>
  <c r="E467" i="4"/>
  <c r="D467" i="4"/>
  <c r="C467" i="4"/>
  <c r="B467" i="4"/>
  <c r="A467" i="4"/>
  <c r="N466" i="4"/>
  <c r="M466" i="4"/>
  <c r="L466" i="4"/>
  <c r="K466" i="4"/>
  <c r="J466" i="4"/>
  <c r="I466" i="4"/>
  <c r="H466" i="4"/>
  <c r="G466" i="4"/>
  <c r="F466" i="4"/>
  <c r="E466" i="4"/>
  <c r="D466" i="4"/>
  <c r="C466" i="4"/>
  <c r="B466" i="4"/>
  <c r="A466" i="4"/>
  <c r="N465" i="4"/>
  <c r="M465" i="4"/>
  <c r="L465" i="4"/>
  <c r="K465" i="4"/>
  <c r="J465" i="4"/>
  <c r="I465" i="4"/>
  <c r="H465" i="4"/>
  <c r="G465" i="4"/>
  <c r="F465" i="4"/>
  <c r="E465" i="4"/>
  <c r="D465" i="4"/>
  <c r="C465" i="4"/>
  <c r="B465" i="4"/>
  <c r="A465" i="4"/>
  <c r="N464" i="4"/>
  <c r="M464" i="4"/>
  <c r="L464" i="4"/>
  <c r="K464" i="4"/>
  <c r="J464" i="4"/>
  <c r="I464" i="4"/>
  <c r="H464" i="4"/>
  <c r="G464" i="4"/>
  <c r="F464" i="4"/>
  <c r="E464" i="4"/>
  <c r="D464" i="4"/>
  <c r="C464" i="4"/>
  <c r="B464" i="4"/>
  <c r="A464" i="4"/>
  <c r="N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A463" i="4"/>
  <c r="N462" i="4"/>
  <c r="M462" i="4"/>
  <c r="L462" i="4"/>
  <c r="K462" i="4"/>
  <c r="J462" i="4"/>
  <c r="I462" i="4"/>
  <c r="H462" i="4"/>
  <c r="G462" i="4"/>
  <c r="F462" i="4"/>
  <c r="E462" i="4"/>
  <c r="D462" i="4"/>
  <c r="C462" i="4"/>
  <c r="B462" i="4"/>
  <c r="A462" i="4"/>
  <c r="N461" i="4"/>
  <c r="M461" i="4"/>
  <c r="L461" i="4"/>
  <c r="K461" i="4"/>
  <c r="J461" i="4"/>
  <c r="I461" i="4"/>
  <c r="H461" i="4"/>
  <c r="G461" i="4"/>
  <c r="F461" i="4"/>
  <c r="E461" i="4"/>
  <c r="D461" i="4"/>
  <c r="C461" i="4"/>
  <c r="B461" i="4"/>
  <c r="A461" i="4"/>
  <c r="N460" i="4"/>
  <c r="M460" i="4"/>
  <c r="L460" i="4"/>
  <c r="K460" i="4"/>
  <c r="J460" i="4"/>
  <c r="I460" i="4"/>
  <c r="H460" i="4"/>
  <c r="G460" i="4"/>
  <c r="F460" i="4"/>
  <c r="E460" i="4"/>
  <c r="D460" i="4"/>
  <c r="C460" i="4"/>
  <c r="B460" i="4"/>
  <c r="A460" i="4"/>
  <c r="N459" i="4"/>
  <c r="M459" i="4"/>
  <c r="L459" i="4"/>
  <c r="K459" i="4"/>
  <c r="J459" i="4"/>
  <c r="I459" i="4"/>
  <c r="H459" i="4"/>
  <c r="G459" i="4"/>
  <c r="F459" i="4"/>
  <c r="E459" i="4"/>
  <c r="D459" i="4"/>
  <c r="C459" i="4"/>
  <c r="B459" i="4"/>
  <c r="A459" i="4"/>
  <c r="N458" i="4"/>
  <c r="M458" i="4"/>
  <c r="L458" i="4"/>
  <c r="K458" i="4"/>
  <c r="J458" i="4"/>
  <c r="I458" i="4"/>
  <c r="H458" i="4"/>
  <c r="G458" i="4"/>
  <c r="F458" i="4"/>
  <c r="E458" i="4"/>
  <c r="D458" i="4"/>
  <c r="C458" i="4"/>
  <c r="B458" i="4"/>
  <c r="A458" i="4"/>
  <c r="N457" i="4"/>
  <c r="M457" i="4"/>
  <c r="L457" i="4"/>
  <c r="K457" i="4"/>
  <c r="J457" i="4"/>
  <c r="I457" i="4"/>
  <c r="H457" i="4"/>
  <c r="G457" i="4"/>
  <c r="F457" i="4"/>
  <c r="E457" i="4"/>
  <c r="D457" i="4"/>
  <c r="C457" i="4"/>
  <c r="B457" i="4"/>
  <c r="A457" i="4"/>
  <c r="N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A456" i="4"/>
  <c r="N455" i="4"/>
  <c r="M455" i="4"/>
  <c r="L455" i="4"/>
  <c r="K455" i="4"/>
  <c r="J455" i="4"/>
  <c r="I455" i="4"/>
  <c r="H455" i="4"/>
  <c r="G455" i="4"/>
  <c r="F455" i="4"/>
  <c r="E455" i="4"/>
  <c r="D455" i="4"/>
  <c r="C455" i="4"/>
  <c r="B455" i="4"/>
  <c r="A455" i="4"/>
  <c r="N454" i="4"/>
  <c r="M454" i="4"/>
  <c r="L454" i="4"/>
  <c r="K454" i="4"/>
  <c r="J454" i="4"/>
  <c r="I454" i="4"/>
  <c r="H454" i="4"/>
  <c r="G454" i="4"/>
  <c r="F454" i="4"/>
  <c r="E454" i="4"/>
  <c r="D454" i="4"/>
  <c r="C454" i="4"/>
  <c r="B454" i="4"/>
  <c r="A454" i="4"/>
  <c r="N453" i="4"/>
  <c r="M453" i="4"/>
  <c r="L453" i="4"/>
  <c r="K453" i="4"/>
  <c r="J453" i="4"/>
  <c r="I453" i="4"/>
  <c r="H453" i="4"/>
  <c r="G453" i="4"/>
  <c r="F453" i="4"/>
  <c r="E453" i="4"/>
  <c r="D453" i="4"/>
  <c r="C453" i="4"/>
  <c r="B453" i="4"/>
  <c r="A453" i="4"/>
  <c r="N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A452" i="4"/>
  <c r="N451" i="4"/>
  <c r="M451" i="4"/>
  <c r="L451" i="4"/>
  <c r="K451" i="4"/>
  <c r="J451" i="4"/>
  <c r="I451" i="4"/>
  <c r="H451" i="4"/>
  <c r="G451" i="4"/>
  <c r="F451" i="4"/>
  <c r="E451" i="4"/>
  <c r="D451" i="4"/>
  <c r="C451" i="4"/>
  <c r="B451" i="4"/>
  <c r="A451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B450" i="4"/>
  <c r="A450" i="4"/>
  <c r="N449" i="4"/>
  <c r="M449" i="4"/>
  <c r="L449" i="4"/>
  <c r="K449" i="4"/>
  <c r="J449" i="4"/>
  <c r="I449" i="4"/>
  <c r="H449" i="4"/>
  <c r="G449" i="4"/>
  <c r="F449" i="4"/>
  <c r="E449" i="4"/>
  <c r="D449" i="4"/>
  <c r="C449" i="4"/>
  <c r="B449" i="4"/>
  <c r="A449" i="4"/>
  <c r="N448" i="4"/>
  <c r="M448" i="4"/>
  <c r="L448" i="4"/>
  <c r="K448" i="4"/>
  <c r="J448" i="4"/>
  <c r="I448" i="4"/>
  <c r="H448" i="4"/>
  <c r="G448" i="4"/>
  <c r="F448" i="4"/>
  <c r="E448" i="4"/>
  <c r="D448" i="4"/>
  <c r="C448" i="4"/>
  <c r="B448" i="4"/>
  <c r="A448" i="4"/>
  <c r="N447" i="4"/>
  <c r="M447" i="4"/>
  <c r="L447" i="4"/>
  <c r="K447" i="4"/>
  <c r="J447" i="4"/>
  <c r="I447" i="4"/>
  <c r="H447" i="4"/>
  <c r="G447" i="4"/>
  <c r="F447" i="4"/>
  <c r="E447" i="4"/>
  <c r="D447" i="4"/>
  <c r="C447" i="4"/>
  <c r="B447" i="4"/>
  <c r="A447" i="4"/>
  <c r="N446" i="4"/>
  <c r="M446" i="4"/>
  <c r="L446" i="4"/>
  <c r="K446" i="4"/>
  <c r="J446" i="4"/>
  <c r="I446" i="4"/>
  <c r="H446" i="4"/>
  <c r="G446" i="4"/>
  <c r="F446" i="4"/>
  <c r="E446" i="4"/>
  <c r="D446" i="4"/>
  <c r="C446" i="4"/>
  <c r="B446" i="4"/>
  <c r="A446" i="4"/>
  <c r="N445" i="4"/>
  <c r="M445" i="4"/>
  <c r="L445" i="4"/>
  <c r="K445" i="4"/>
  <c r="J445" i="4"/>
  <c r="I445" i="4"/>
  <c r="H445" i="4"/>
  <c r="G445" i="4"/>
  <c r="F445" i="4"/>
  <c r="E445" i="4"/>
  <c r="D445" i="4"/>
  <c r="C445" i="4"/>
  <c r="B445" i="4"/>
  <c r="A445" i="4"/>
  <c r="N444" i="4"/>
  <c r="M444" i="4"/>
  <c r="L444" i="4"/>
  <c r="K444" i="4"/>
  <c r="J444" i="4"/>
  <c r="I444" i="4"/>
  <c r="H444" i="4"/>
  <c r="G444" i="4"/>
  <c r="F444" i="4"/>
  <c r="E444" i="4"/>
  <c r="D444" i="4"/>
  <c r="C444" i="4"/>
  <c r="B444" i="4"/>
  <c r="A444" i="4"/>
  <c r="N443" i="4"/>
  <c r="M443" i="4"/>
  <c r="L443" i="4"/>
  <c r="K443" i="4"/>
  <c r="J443" i="4"/>
  <c r="I443" i="4"/>
  <c r="H443" i="4"/>
  <c r="G443" i="4"/>
  <c r="F443" i="4"/>
  <c r="E443" i="4"/>
  <c r="D443" i="4"/>
  <c r="C443" i="4"/>
  <c r="B443" i="4"/>
  <c r="A443" i="4"/>
  <c r="N442" i="4"/>
  <c r="M442" i="4"/>
  <c r="L442" i="4"/>
  <c r="K442" i="4"/>
  <c r="J442" i="4"/>
  <c r="I442" i="4"/>
  <c r="H442" i="4"/>
  <c r="G442" i="4"/>
  <c r="F442" i="4"/>
  <c r="E442" i="4"/>
  <c r="D442" i="4"/>
  <c r="C442" i="4"/>
  <c r="B442" i="4"/>
  <c r="A442" i="4"/>
  <c r="N441" i="4"/>
  <c r="M441" i="4"/>
  <c r="L441" i="4"/>
  <c r="K441" i="4"/>
  <c r="J441" i="4"/>
  <c r="I441" i="4"/>
  <c r="H441" i="4"/>
  <c r="G441" i="4"/>
  <c r="F441" i="4"/>
  <c r="E441" i="4"/>
  <c r="D441" i="4"/>
  <c r="C441" i="4"/>
  <c r="B441" i="4"/>
  <c r="A441" i="4"/>
  <c r="N440" i="4"/>
  <c r="M440" i="4"/>
  <c r="L440" i="4"/>
  <c r="K440" i="4"/>
  <c r="J440" i="4"/>
  <c r="I440" i="4"/>
  <c r="H440" i="4"/>
  <c r="G440" i="4"/>
  <c r="F440" i="4"/>
  <c r="E440" i="4"/>
  <c r="D440" i="4"/>
  <c r="C440" i="4"/>
  <c r="B440" i="4"/>
  <c r="A440" i="4"/>
  <c r="N439" i="4"/>
  <c r="M439" i="4"/>
  <c r="L439" i="4"/>
  <c r="K439" i="4"/>
  <c r="J439" i="4"/>
  <c r="I439" i="4"/>
  <c r="H439" i="4"/>
  <c r="G439" i="4"/>
  <c r="F439" i="4"/>
  <c r="E439" i="4"/>
  <c r="D439" i="4"/>
  <c r="C439" i="4"/>
  <c r="B439" i="4"/>
  <c r="A439" i="4"/>
  <c r="N438" i="4"/>
  <c r="M438" i="4"/>
  <c r="L438" i="4"/>
  <c r="K438" i="4"/>
  <c r="J438" i="4"/>
  <c r="I438" i="4"/>
  <c r="H438" i="4"/>
  <c r="G438" i="4"/>
  <c r="F438" i="4"/>
  <c r="E438" i="4"/>
  <c r="D438" i="4"/>
  <c r="C438" i="4"/>
  <c r="B438" i="4"/>
  <c r="A438" i="4"/>
  <c r="N437" i="4"/>
  <c r="M437" i="4"/>
  <c r="L437" i="4"/>
  <c r="K437" i="4"/>
  <c r="J437" i="4"/>
  <c r="I437" i="4"/>
  <c r="H437" i="4"/>
  <c r="G437" i="4"/>
  <c r="F437" i="4"/>
  <c r="E437" i="4"/>
  <c r="D437" i="4"/>
  <c r="C437" i="4"/>
  <c r="B437" i="4"/>
  <c r="A437" i="4"/>
  <c r="N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A436" i="4"/>
  <c r="N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A435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B434" i="4"/>
  <c r="A434" i="4"/>
  <c r="N433" i="4"/>
  <c r="M433" i="4"/>
  <c r="L433" i="4"/>
  <c r="K433" i="4"/>
  <c r="J433" i="4"/>
  <c r="I433" i="4"/>
  <c r="H433" i="4"/>
  <c r="G433" i="4"/>
  <c r="F433" i="4"/>
  <c r="E433" i="4"/>
  <c r="D433" i="4"/>
  <c r="C433" i="4"/>
  <c r="B433" i="4"/>
  <c r="A433" i="4"/>
  <c r="N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A432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A431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A430" i="4"/>
  <c r="N429" i="4"/>
  <c r="M429" i="4"/>
  <c r="L429" i="4"/>
  <c r="K429" i="4"/>
  <c r="J429" i="4"/>
  <c r="I429" i="4"/>
  <c r="H429" i="4"/>
  <c r="G429" i="4"/>
  <c r="F429" i="4"/>
  <c r="E429" i="4"/>
  <c r="D429" i="4"/>
  <c r="C429" i="4"/>
  <c r="B429" i="4"/>
  <c r="A429" i="4"/>
  <c r="N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A428" i="4"/>
  <c r="N427" i="4"/>
  <c r="M427" i="4"/>
  <c r="L427" i="4"/>
  <c r="K427" i="4"/>
  <c r="J427" i="4"/>
  <c r="I427" i="4"/>
  <c r="H427" i="4"/>
  <c r="G427" i="4"/>
  <c r="F427" i="4"/>
  <c r="E427" i="4"/>
  <c r="D427" i="4"/>
  <c r="C427" i="4"/>
  <c r="B427" i="4"/>
  <c r="A427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A426" i="4"/>
  <c r="N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A425" i="4"/>
  <c r="N424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A424" i="4"/>
  <c r="N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A423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A422" i="4"/>
  <c r="N421" i="4"/>
  <c r="M421" i="4"/>
  <c r="L421" i="4"/>
  <c r="K421" i="4"/>
  <c r="J421" i="4"/>
  <c r="I421" i="4"/>
  <c r="H421" i="4"/>
  <c r="G421" i="4"/>
  <c r="F421" i="4"/>
  <c r="E421" i="4"/>
  <c r="D421" i="4"/>
  <c r="C421" i="4"/>
  <c r="B421" i="4"/>
  <c r="A421" i="4"/>
  <c r="N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A420" i="4"/>
  <c r="N419" i="4"/>
  <c r="M419" i="4"/>
  <c r="L419" i="4"/>
  <c r="K419" i="4"/>
  <c r="J419" i="4"/>
  <c r="I419" i="4"/>
  <c r="H419" i="4"/>
  <c r="G419" i="4"/>
  <c r="F419" i="4"/>
  <c r="E419" i="4"/>
  <c r="D419" i="4"/>
  <c r="C419" i="4"/>
  <c r="B419" i="4"/>
  <c r="A419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B418" i="4"/>
  <c r="A418" i="4"/>
  <c r="N417" i="4"/>
  <c r="M417" i="4"/>
  <c r="L417" i="4"/>
  <c r="K417" i="4"/>
  <c r="J417" i="4"/>
  <c r="I417" i="4"/>
  <c r="H417" i="4"/>
  <c r="G417" i="4"/>
  <c r="F417" i="4"/>
  <c r="E417" i="4"/>
  <c r="D417" i="4"/>
  <c r="C417" i="4"/>
  <c r="B417" i="4"/>
  <c r="A417" i="4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A416" i="4"/>
  <c r="N415" i="4"/>
  <c r="M415" i="4"/>
  <c r="L415" i="4"/>
  <c r="K415" i="4"/>
  <c r="J415" i="4"/>
  <c r="I415" i="4"/>
  <c r="H415" i="4"/>
  <c r="G415" i="4"/>
  <c r="F415" i="4"/>
  <c r="E415" i="4"/>
  <c r="D415" i="4"/>
  <c r="C415" i="4"/>
  <c r="B415" i="4"/>
  <c r="A415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B414" i="4"/>
  <c r="A414" i="4"/>
  <c r="N413" i="4"/>
  <c r="M413" i="4"/>
  <c r="L413" i="4"/>
  <c r="K413" i="4"/>
  <c r="J413" i="4"/>
  <c r="I413" i="4"/>
  <c r="H413" i="4"/>
  <c r="G413" i="4"/>
  <c r="F413" i="4"/>
  <c r="E413" i="4"/>
  <c r="D413" i="4"/>
  <c r="C413" i="4"/>
  <c r="B413" i="4"/>
  <c r="A413" i="4"/>
  <c r="N412" i="4"/>
  <c r="M412" i="4"/>
  <c r="L412" i="4"/>
  <c r="K412" i="4"/>
  <c r="J412" i="4"/>
  <c r="I412" i="4"/>
  <c r="H412" i="4"/>
  <c r="G412" i="4"/>
  <c r="F412" i="4"/>
  <c r="E412" i="4"/>
  <c r="D412" i="4"/>
  <c r="C412" i="4"/>
  <c r="B412" i="4"/>
  <c r="A412" i="4"/>
  <c r="N411" i="4"/>
  <c r="M411" i="4"/>
  <c r="L411" i="4"/>
  <c r="K411" i="4"/>
  <c r="J411" i="4"/>
  <c r="I411" i="4"/>
  <c r="H411" i="4"/>
  <c r="G411" i="4"/>
  <c r="F411" i="4"/>
  <c r="E411" i="4"/>
  <c r="D411" i="4"/>
  <c r="C411" i="4"/>
  <c r="B411" i="4"/>
  <c r="A411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A410" i="4"/>
  <c r="N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A409" i="4"/>
  <c r="N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A408" i="4"/>
  <c r="N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A407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A406" i="4"/>
  <c r="N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A405" i="4"/>
  <c r="N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A404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A403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A402" i="4"/>
  <c r="N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A401" i="4"/>
  <c r="N400" i="4"/>
  <c r="M400" i="4"/>
  <c r="L400" i="4"/>
  <c r="K400" i="4"/>
  <c r="J400" i="4"/>
  <c r="I400" i="4"/>
  <c r="H400" i="4"/>
  <c r="G400" i="4"/>
  <c r="F400" i="4"/>
  <c r="E400" i="4"/>
  <c r="D400" i="4"/>
  <c r="C400" i="4"/>
  <c r="B400" i="4"/>
  <c r="A400" i="4"/>
  <c r="N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A399" i="4"/>
  <c r="N398" i="4"/>
  <c r="M398" i="4"/>
  <c r="L398" i="4"/>
  <c r="K398" i="4"/>
  <c r="J398" i="4"/>
  <c r="I398" i="4"/>
  <c r="H398" i="4"/>
  <c r="G398" i="4"/>
  <c r="F398" i="4"/>
  <c r="E398" i="4"/>
  <c r="D398" i="4"/>
  <c r="C398" i="4"/>
  <c r="B398" i="4"/>
  <c r="A398" i="4"/>
  <c r="N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A397" i="4"/>
  <c r="N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A396" i="4"/>
  <c r="N395" i="4"/>
  <c r="M395" i="4"/>
  <c r="L395" i="4"/>
  <c r="K395" i="4"/>
  <c r="J395" i="4"/>
  <c r="I395" i="4"/>
  <c r="H395" i="4"/>
  <c r="G395" i="4"/>
  <c r="F395" i="4"/>
  <c r="E395" i="4"/>
  <c r="D395" i="4"/>
  <c r="C395" i="4"/>
  <c r="B395" i="4"/>
  <c r="A395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A394" i="4"/>
  <c r="N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A393" i="4"/>
  <c r="N392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A392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A391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A390" i="4"/>
  <c r="N389" i="4"/>
  <c r="M389" i="4"/>
  <c r="L389" i="4"/>
  <c r="K389" i="4"/>
  <c r="J389" i="4"/>
  <c r="I389" i="4"/>
  <c r="H389" i="4"/>
  <c r="G389" i="4"/>
  <c r="F389" i="4"/>
  <c r="E389" i="4"/>
  <c r="D389" i="4"/>
  <c r="C389" i="4"/>
  <c r="B389" i="4"/>
  <c r="A389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A388" i="4"/>
  <c r="N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A387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B386" i="4"/>
  <c r="A386" i="4"/>
  <c r="N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A385" i="4"/>
  <c r="N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A384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A383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A382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A381" i="4"/>
  <c r="N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A380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A379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A378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A377" i="4"/>
  <c r="N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A376" i="4"/>
  <c r="N375" i="4"/>
  <c r="M375" i="4"/>
  <c r="L375" i="4"/>
  <c r="K375" i="4"/>
  <c r="J375" i="4"/>
  <c r="I375" i="4"/>
  <c r="H375" i="4"/>
  <c r="G375" i="4"/>
  <c r="F375" i="4"/>
  <c r="E375" i="4"/>
  <c r="D375" i="4"/>
  <c r="C375" i="4"/>
  <c r="B375" i="4"/>
  <c r="A375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A374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A373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A372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A371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A370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A369" i="4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A368" i="4"/>
  <c r="N367" i="4"/>
  <c r="M367" i="4"/>
  <c r="L367" i="4"/>
  <c r="K367" i="4"/>
  <c r="J367" i="4"/>
  <c r="I367" i="4"/>
  <c r="H367" i="4"/>
  <c r="G367" i="4"/>
  <c r="F367" i="4"/>
  <c r="E367" i="4"/>
  <c r="D367" i="4"/>
  <c r="C367" i="4"/>
  <c r="B367" i="4"/>
  <c r="A367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A366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A365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A364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A363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A362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A361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A360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A359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A358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A357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A356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A355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A354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A353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A352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A351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A350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A349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A348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A347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A346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A345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A344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A343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A342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A341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A340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A339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A338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A337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A336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A335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A334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A333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A332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A331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A330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A329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A328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A327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A326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A325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A324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A323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A322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A321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A320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A319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A318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A317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A316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A315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A314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A313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A312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A311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A310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A309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A308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A307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A306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A305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A304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A303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A302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A301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A300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A299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A298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A297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A296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A295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A294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A293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A292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A291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A290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A289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A288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A287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A286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A285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A284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A283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A282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A281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A280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A279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A278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A277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A276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A275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A274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A273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A272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A271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A270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A269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A268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A267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A266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A265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A264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A263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A262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A261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A260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A259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A258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A257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A256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A255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A254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A253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A252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A251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A250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A249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A248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A247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A246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A245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A244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A243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A242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A241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A240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A234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A233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A232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A231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A230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A229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A228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A227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A226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A225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A224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A223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A222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A221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A220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A219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A218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A217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A216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215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A214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A213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A212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A211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A210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A209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A208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A207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A206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A205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A204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A203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A202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A201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A200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A199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A198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A197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A196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A195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A194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A193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A192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A191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A190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A189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A188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A187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186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A185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A184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A183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182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181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A180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A179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A178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177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176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A175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174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A173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A172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A171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A170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169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168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167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166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A165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A164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A163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A162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A161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160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A159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158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157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156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155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A154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A150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A149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148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147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A146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145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144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A143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142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A141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140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A139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A138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137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A133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A132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A131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129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125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124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123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A122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A121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A120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119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118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A117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116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115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A114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A113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A111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A108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A107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A106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A103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101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99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A98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95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93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90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5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50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41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B31" i="3"/>
  <c r="B30" i="3"/>
  <c r="B29" i="3"/>
  <c r="B28" i="3"/>
  <c r="B24" i="3"/>
  <c r="B23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D18" i="3" l="1"/>
  <c r="C18" i="3"/>
  <c r="D13" i="3"/>
  <c r="D12" i="3"/>
  <c r="C12" i="3"/>
  <c r="D10" i="3"/>
  <c r="D9" i="3"/>
  <c r="C9" i="3"/>
  <c r="D7" i="3"/>
  <c r="C7" i="3"/>
  <c r="D6" i="3"/>
  <c r="C6" i="3"/>
  <c r="C31" i="3"/>
  <c r="D19" i="3"/>
  <c r="C19" i="3"/>
  <c r="D17" i="3"/>
  <c r="C17" i="3"/>
  <c r="D16" i="3"/>
  <c r="C16" i="3"/>
  <c r="D15" i="3"/>
  <c r="C15" i="3"/>
  <c r="D14" i="3"/>
  <c r="C14" i="3"/>
  <c r="C13" i="3"/>
  <c r="D11" i="3"/>
  <c r="C11" i="3"/>
  <c r="C10" i="3"/>
  <c r="D8" i="3"/>
  <c r="C8" i="3"/>
  <c r="C28" i="3"/>
  <c r="C29" i="3"/>
  <c r="C24" i="3"/>
  <c r="C30" i="3"/>
  <c r="C23" i="3"/>
</calcChain>
</file>

<file path=xl/sharedStrings.xml><?xml version="1.0" encoding="utf-8"?>
<sst xmlns="http://schemas.openxmlformats.org/spreadsheetml/2006/main" count="10570" uniqueCount="4316">
  <si>
    <t>E-Commerce Orders — Data Cleaning Workbook</t>
  </si>
  <si>
    <t>Goal: Clean a raw dataset by identifying missing values, removing duplicates, and correcting data formats.</t>
  </si>
  <si>
    <t>Sheet</t>
  </si>
  <si>
    <t>Purpose</t>
  </si>
  <si>
    <t>RawData</t>
  </si>
  <si>
    <t>Original, unmodified dataset (1,200 orders) for reference.</t>
  </si>
  <si>
    <t>Cleaning_Audit</t>
  </si>
  <si>
    <t>Live formulas checking for nulls, duplicates, and format issues across every column.</t>
  </si>
  <si>
    <t>CleanedData</t>
  </si>
  <si>
    <t>Final cleaned dataset — nulls handled, formats validated, ready for analysis.</t>
  </si>
  <si>
    <t>Summary of findings</t>
  </si>
  <si>
    <t>• Missing values: only CouponCode has nulls (309 of 1,200 rows, ~25.8%). All other columns are fully populated.</t>
  </si>
  <si>
    <t>• Duplicates: zero fully duplicate rows, zero duplicate OrderIDs, zero duplicate TrackingNumbers.</t>
  </si>
  <si>
    <t>• Data formats: Date is stored as a true date type; Quantity, UnitPrice, TotalPrice are numeric; TotalPrice = Quantity x UnitPrice with zero mismatches.</t>
  </si>
  <si>
    <t>• Text fields (Product, PaymentMethod, OrderStatus, ReferralSource): consistent capitalization, no stray whitespace.</t>
  </si>
  <si>
    <t>• Action taken: blank CouponCode values were replaced with "No Coupon" so the field stays analyzable instead of being dropped.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</si>
  <si>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</si>
  <si>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</si>
  <si>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</si>
  <si>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</si>
  <si>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</si>
  <si>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</si>
  <si>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</si>
  <si>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</si>
  <si>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</si>
  <si>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</si>
  <si>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</si>
  <si>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</si>
  <si>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</si>
  <si>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</si>
  <si>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</si>
  <si>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</si>
  <si>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</si>
  <si>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</si>
  <si>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</si>
  <si>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</si>
  <si>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</si>
  <si>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</si>
  <si>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</si>
  <si>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</si>
  <si>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</si>
  <si>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</si>
  <si>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</si>
  <si>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</si>
  <si>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</si>
  <si>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</si>
  <si>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</si>
  <si>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</si>
  <si>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</si>
  <si>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</si>
  <si>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</si>
  <si>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</si>
  <si>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</si>
  <si>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</si>
  <si>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</si>
  <si>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</si>
  <si>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</si>
  <si>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</si>
  <si>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</si>
  <si>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</si>
  <si>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</si>
  <si>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</si>
  <si>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</si>
  <si>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</si>
  <si>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</si>
  <si>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</si>
  <si>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</si>
  <si>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</si>
  <si>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</si>
  <si>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</si>
  <si>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</si>
  <si>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</si>
  <si>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</si>
  <si>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</si>
  <si>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</si>
  <si>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</si>
  <si>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</si>
  <si>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</si>
  <si>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</si>
  <si>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</si>
  <si>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</si>
  <si>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</si>
  <si>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</si>
  <si>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</si>
  <si>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</si>
  <si>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</si>
  <si>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</si>
  <si>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</si>
  <si>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</si>
  <si>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</si>
  <si>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</si>
  <si>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</si>
  <si>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</si>
  <si>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</si>
  <si>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</si>
  <si>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</si>
  <si>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</si>
  <si>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</si>
  <si>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</si>
  <si>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</si>
  <si>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</si>
  <si>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</si>
  <si>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</si>
  <si>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</si>
  <si>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</si>
  <si>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</si>
  <si>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</si>
  <si>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</si>
  <si>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</si>
  <si>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</si>
  <si>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</si>
  <si>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</si>
  <si>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</si>
  <si>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</si>
  <si>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</si>
  <si>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</si>
  <si>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</si>
  <si>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</si>
  <si>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</si>
  <si>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</si>
  <si>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</si>
  <si>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</si>
  <si>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</si>
  <si>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</si>
  <si>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</si>
  <si>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</si>
  <si>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</si>
  <si>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</si>
  <si>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</si>
  <si>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</si>
  <si>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</si>
  <si>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</si>
  <si>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</si>
  <si>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</si>
  <si>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</si>
  <si>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</si>
  <si>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</si>
  <si>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</si>
  <si>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</si>
  <si>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</si>
  <si>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</si>
  <si>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</si>
  <si>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</si>
  <si>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</si>
  <si>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</si>
  <si>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</si>
  <si>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</si>
  <si>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</si>
  <si>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</si>
  <si>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</si>
  <si>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</si>
  <si>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</si>
  <si>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</si>
  <si>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</si>
  <si>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</si>
  <si>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</si>
  <si>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</si>
  <si>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</si>
  <si>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</si>
  <si>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</si>
  <si>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</si>
  <si>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</si>
  <si>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</si>
  <si>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</si>
  <si>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</si>
  <si>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</si>
  <si>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</si>
  <si>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</si>
  <si>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</si>
  <si>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</si>
  <si>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</si>
  <si>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</si>
  <si>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</si>
  <si>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</si>
  <si>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</si>
  <si>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</si>
  <si>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</si>
  <si>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</si>
  <si>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</si>
  <si>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</si>
  <si>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</si>
  <si>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</si>
  <si>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</si>
  <si>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</si>
  <si>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</si>
  <si>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</si>
  <si>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</si>
  <si>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</si>
  <si>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</si>
  <si>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</si>
  <si>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</si>
  <si>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</si>
  <si>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</si>
  <si>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</si>
  <si>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</si>
  <si>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</si>
  <si>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</si>
  <si>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</si>
  <si>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</si>
  <si>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</si>
  <si>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</si>
  <si>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</si>
  <si>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</si>
  <si>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</si>
  <si>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</si>
  <si>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</si>
  <si>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</si>
  <si>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</si>
  <si>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</si>
  <si>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</si>
  <si>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</si>
  <si>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</si>
  <si>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</si>
  <si>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</si>
  <si>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</si>
  <si>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</si>
  <si>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</si>
  <si>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</si>
  <si>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</si>
  <si>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</si>
  <si>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</si>
  <si>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</si>
  <si>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</si>
  <si>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</si>
  <si>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</si>
  <si>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</si>
  <si>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</si>
  <si>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</si>
  <si>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</si>
  <si>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</si>
  <si>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</si>
  <si>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</si>
  <si>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</si>
  <si>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</si>
  <si>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</si>
  <si>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</si>
  <si>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</si>
  <si>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</si>
  <si>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</si>
  <si>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</si>
  <si>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</si>
  <si>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</si>
  <si>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</si>
  <si>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</si>
  <si>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</si>
  <si>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</si>
  <si>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</si>
  <si>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</si>
  <si>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</si>
  <si>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</si>
  <si>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</si>
  <si>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</si>
  <si>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</si>
  <si>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</si>
  <si>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</si>
  <si>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</si>
  <si>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</si>
  <si>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</si>
  <si>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</si>
  <si>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</si>
  <si>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</si>
  <si>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</si>
  <si>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</si>
  <si>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</si>
  <si>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</si>
  <si>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</si>
  <si>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</si>
  <si>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</si>
  <si>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</si>
  <si>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</si>
  <si>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</si>
  <si>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</si>
  <si>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</si>
  <si>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</si>
  <si>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</si>
  <si>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</si>
  <si>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</si>
  <si>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</si>
  <si>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</si>
  <si>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</si>
  <si>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</si>
  <si>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</si>
  <si>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</si>
  <si>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</si>
  <si>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</si>
  <si>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</si>
  <si>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</si>
  <si>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</si>
  <si>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</si>
  <si>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</si>
  <si>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</si>
  <si>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</si>
  <si>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</si>
  <si>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</si>
  <si>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</si>
  <si>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</si>
  <si>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</si>
  <si>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</si>
  <si>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</si>
  <si>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</si>
  <si>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</si>
  <si>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</si>
  <si>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</si>
  <si>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</si>
  <si>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</si>
  <si>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</si>
  <si>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</si>
  <si>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</si>
  <si>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</si>
  <si>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</si>
  <si>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</si>
  <si>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</si>
  <si>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</si>
  <si>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</si>
  <si>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</si>
  <si>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</si>
  <si>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</si>
  <si>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</si>
  <si>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</si>
  <si>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</si>
  <si>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</si>
  <si>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</si>
  <si>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</si>
  <si>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</si>
  <si>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</si>
  <si>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</si>
  <si>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</si>
  <si>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</si>
  <si>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</si>
  <si>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</si>
  <si>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</si>
  <si>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</si>
  <si>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</si>
  <si>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</si>
  <si>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</si>
  <si>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</si>
  <si>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</si>
  <si>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</si>
  <si>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</si>
  <si>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</si>
  <si>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</si>
  <si>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</si>
  <si>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</si>
  <si>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</si>
  <si>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</si>
  <si>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</si>
  <si>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</si>
  <si>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</si>
  <si>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</si>
  <si>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</si>
  <si>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</si>
  <si>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</si>
  <si>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</si>
  <si>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</si>
  <si>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</si>
  <si>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</si>
  <si>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</si>
  <si>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</si>
  <si>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</si>
  <si>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</si>
  <si>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</si>
  <si>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</si>
  <si>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</si>
  <si>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</si>
  <si>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</si>
  <si>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</si>
  <si>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</si>
  <si>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</si>
  <si>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</si>
  <si>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</si>
  <si>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</si>
  <si>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</si>
  <si>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</si>
  <si>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</si>
  <si>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</si>
  <si>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</si>
  <si>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</si>
  <si>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</si>
  <si>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</si>
  <si>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</si>
  <si>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</si>
  <si>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</si>
  <si>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</si>
  <si>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</si>
  <si>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</si>
  <si>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</si>
  <si>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</si>
  <si>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</si>
  <si>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</si>
  <si>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</si>
  <si>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</si>
  <si>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</si>
  <si>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</si>
  <si>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</si>
  <si>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</si>
  <si>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</si>
  <si>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</si>
  <si>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</si>
  <si>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</si>
  <si>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</si>
  <si>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</si>
  <si>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</si>
  <si>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</si>
  <si>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</si>
  <si>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</si>
  <si>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</si>
  <si>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</si>
  <si>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</si>
  <si>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</si>
  <si>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</si>
  <si>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</si>
  <si>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</si>
  <si>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</si>
  <si>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</si>
  <si>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</si>
  <si>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</si>
  <si>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</si>
  <si>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</si>
  <si>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</si>
  <si>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</si>
  <si>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</si>
  <si>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</si>
  <si>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</si>
  <si>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</si>
  <si>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</si>
  <si>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</si>
  <si>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</si>
  <si>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</si>
  <si>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</si>
  <si>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</si>
  <si>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</si>
  <si>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</si>
  <si>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</si>
  <si>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</si>
  <si>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</si>
  <si>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</si>
  <si>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</si>
  <si>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</si>
  <si>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</si>
  <si>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</si>
  <si>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</si>
  <si>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</si>
  <si>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</si>
  <si>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</si>
  <si>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</si>
  <si>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</si>
  <si>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</si>
  <si>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</si>
  <si>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</si>
  <si>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</si>
  <si>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</si>
  <si>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</si>
  <si>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</si>
  <si>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</si>
  <si>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</si>
  <si>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</si>
  <si>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</si>
  <si>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</si>
  <si>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</si>
  <si>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</si>
  <si>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</si>
  <si>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</si>
  <si>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</si>
  <si>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</si>
  <si>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</si>
  <si>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</si>
  <si>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</si>
  <si>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</si>
  <si>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</si>
  <si>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</si>
  <si>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</si>
  <si>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</si>
  <si>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</si>
  <si>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</si>
  <si>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</si>
  <si>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</si>
  <si>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</si>
  <si>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</si>
  <si>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</si>
  <si>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</si>
  <si>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</si>
  <si>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</si>
  <si>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</si>
  <si>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</si>
  <si>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</si>
  <si>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</si>
  <si>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</si>
  <si>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</si>
  <si>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</si>
  <si>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</si>
  <si>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</si>
  <si>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</si>
  <si>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</si>
  <si>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</si>
  <si>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</si>
  <si>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</si>
  <si>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</si>
  <si>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</si>
  <si>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</si>
  <si>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</si>
  <si>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</si>
  <si>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</si>
  <si>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</si>
  <si>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</si>
  <si>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</si>
  <si>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</si>
  <si>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</si>
  <si>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</si>
  <si>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</si>
  <si>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</si>
  <si>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</si>
  <si>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</si>
  <si>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</si>
  <si>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</si>
  <si>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</si>
  <si>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</si>
  <si>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</si>
  <si>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</si>
  <si>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</si>
  <si>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</si>
  <si>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</si>
  <si>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</si>
  <si>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</si>
  <si>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</si>
  <si>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</si>
  <si>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</si>
  <si>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</si>
  <si>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</si>
  <si>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</si>
  <si>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</si>
  <si>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</si>
  <si>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</si>
  <si>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</si>
  <si>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</si>
  <si>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</si>
  <si>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</si>
  <si>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</si>
  <si>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</si>
  <si>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</si>
  <si>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</si>
  <si>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</si>
  <si>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</si>
  <si>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</si>
  <si>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</si>
  <si>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</si>
  <si>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</si>
  <si>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</si>
  <si>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</si>
  <si>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</si>
  <si>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</si>
  <si>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</si>
  <si>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</si>
  <si>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</si>
  <si>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</si>
  <si>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</si>
  <si>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</si>
  <si>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</si>
  <si>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</si>
  <si>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</si>
  <si>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</si>
  <si>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</si>
  <si>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</si>
  <si>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</si>
  <si>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</si>
  <si>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</si>
  <si>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</si>
  <si>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</si>
  <si>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</si>
  <si>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</si>
  <si>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</si>
  <si>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</si>
  <si>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</si>
  <si>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</si>
  <si>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</si>
  <si>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</si>
  <si>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</si>
  <si>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</si>
  <si>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</si>
  <si>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</si>
  <si>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</si>
  <si>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</si>
  <si>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</si>
  <si>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</si>
  <si>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</si>
  <si>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</si>
  <si>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</si>
  <si>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</si>
  <si>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</si>
  <si>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</si>
  <si>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</si>
  <si>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</si>
  <si>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</si>
  <si>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</si>
  <si>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</si>
  <si>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</si>
  <si>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</si>
  <si>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</si>
  <si>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</si>
  <si>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</si>
  <si>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</si>
  <si>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</si>
  <si>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</si>
  <si>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</si>
  <si>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</si>
  <si>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</si>
  <si>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</si>
  <si>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</si>
  <si>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</si>
  <si>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</si>
  <si>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</si>
  <si>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</si>
  <si>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</si>
  <si>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</si>
  <si>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</si>
  <si>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</si>
  <si>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</si>
  <si>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</si>
  <si>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</si>
  <si>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</si>
  <si>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</si>
  <si>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</si>
  <si>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</si>
  <si>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</si>
  <si>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</si>
  <si>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</si>
  <si>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</si>
  <si>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</si>
  <si>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</si>
  <si>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</si>
  <si>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</si>
  <si>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</si>
  <si>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</si>
  <si>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</si>
  <si>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</si>
  <si>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</si>
  <si>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</si>
  <si>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</si>
  <si>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</si>
  <si>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</si>
  <si>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</si>
  <si>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</si>
  <si>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</si>
  <si>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</si>
  <si>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</si>
  <si>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</si>
  <si>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</si>
  <si>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</si>
  <si>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</si>
  <si>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</si>
  <si>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</si>
  <si>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</si>
  <si>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</si>
  <si>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</si>
  <si>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</si>
  <si>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</si>
  <si>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</si>
  <si>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</si>
  <si>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</si>
  <si>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</si>
  <si>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</si>
  <si>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</si>
  <si>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</si>
  <si>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</si>
  <si>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</si>
  <si>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</si>
  <si>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</si>
  <si>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</si>
  <si>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</si>
  <si>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</si>
  <si>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</si>
  <si>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</si>
  <si>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</si>
  <si>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</si>
  <si>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</si>
  <si>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</si>
  <si>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</si>
  <si>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</si>
  <si>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</si>
  <si>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</si>
  <si>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</si>
  <si>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</si>
  <si>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</si>
  <si>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</si>
  <si>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</si>
  <si>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</si>
  <si>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</si>
  <si>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</si>
  <si>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</si>
  <si>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</si>
  <si>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</si>
  <si>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</si>
  <si>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</si>
  <si>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</si>
  <si>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</si>
  <si>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</si>
  <si>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</si>
  <si>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</si>
  <si>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</si>
  <si>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</si>
  <si>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</si>
  <si>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</si>
  <si>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</si>
  <si>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</si>
  <si>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</si>
  <si>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</si>
  <si>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</si>
  <si>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</si>
  <si>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</si>
  <si>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</si>
  <si>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</si>
  <si>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</si>
  <si>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</si>
  <si>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</si>
  <si>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</si>
  <si>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</si>
  <si>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</si>
  <si>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</si>
  <si>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</si>
  <si>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</si>
  <si>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</si>
  <si>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</si>
  <si>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</si>
  <si>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</si>
  <si>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</si>
  <si>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</si>
  <si>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</si>
  <si>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</si>
  <si>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</si>
  <si>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</si>
  <si>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</si>
  <si>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</si>
  <si>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</si>
  <si>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</si>
  <si>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</si>
  <si>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</si>
  <si>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</si>
  <si>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</si>
  <si>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</si>
  <si>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</si>
  <si>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</si>
  <si>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</si>
  <si>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</si>
  <si>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</si>
  <si>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</si>
  <si>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</si>
  <si>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</si>
  <si>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</si>
  <si>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</si>
  <si>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</si>
  <si>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</si>
  <si>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</si>
  <si>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</si>
  <si>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</si>
  <si>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</si>
  <si>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</si>
  <si>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</si>
  <si>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</si>
  <si>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</si>
  <si>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</si>
  <si>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</si>
  <si>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</si>
  <si>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</si>
  <si>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</si>
  <si>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</si>
  <si>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</si>
  <si>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</si>
  <si>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</si>
  <si>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</si>
  <si>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</si>
  <si>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</si>
  <si>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</si>
  <si>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</si>
  <si>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</si>
  <si>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</si>
  <si>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</si>
  <si>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</si>
  <si>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</si>
  <si>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</si>
  <si>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</si>
  <si>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</si>
  <si>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</si>
  <si>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</si>
  <si>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</si>
  <si>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</si>
  <si>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</si>
  <si>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</si>
  <si>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</si>
  <si>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</si>
  <si>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</si>
  <si>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</si>
  <si>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</si>
  <si>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</si>
  <si>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</si>
  <si>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</si>
  <si>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</si>
  <si>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</si>
  <si>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</si>
  <si>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</si>
  <si>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</si>
  <si>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</si>
  <si>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</si>
  <si>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</si>
  <si>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</si>
  <si>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</si>
  <si>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</si>
  <si>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</si>
  <si>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</si>
  <si>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</si>
  <si>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</si>
  <si>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</si>
  <si>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</si>
  <si>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</si>
  <si>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</si>
  <si>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</si>
  <si>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</si>
  <si>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</si>
  <si>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</si>
  <si>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</si>
  <si>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</si>
  <si>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</si>
  <si>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</si>
  <si>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</si>
  <si>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</si>
  <si>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</si>
  <si>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</si>
  <si>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</si>
  <si>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</si>
  <si>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</si>
  <si>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</si>
  <si>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</si>
  <si>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</si>
  <si>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</si>
  <si>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</si>
  <si>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</si>
  <si>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</si>
  <si>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</si>
  <si>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</si>
  <si>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</si>
  <si>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</si>
  <si>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</si>
  <si>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</si>
  <si>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</si>
  <si>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</si>
  <si>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</si>
  <si>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</si>
  <si>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</si>
  <si>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</si>
  <si>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</si>
  <si>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</si>
  <si>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</si>
  <si>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</si>
  <si>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</si>
  <si>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</si>
  <si>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</si>
  <si>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</si>
  <si>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</si>
  <si>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</si>
  <si>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</si>
  <si>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</si>
  <si>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</si>
  <si>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</si>
  <si>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</si>
  <si>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</si>
  <si>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</si>
  <si>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</si>
  <si>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</si>
  <si>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</si>
  <si>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</si>
  <si>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</si>
  <si>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</si>
  <si>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</si>
  <si>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</si>
  <si>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</si>
  <si>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</si>
  <si>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</si>
  <si>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</si>
  <si>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</si>
  <si>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</si>
  <si>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</si>
  <si>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</si>
  <si>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</si>
  <si>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</si>
  <si>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</si>
  <si>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</si>
  <si>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</si>
  <si>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</si>
  <si>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</si>
  <si>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</si>
  <si>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</si>
  <si>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</si>
  <si>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</si>
  <si>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</si>
  <si>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</si>
  <si>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</si>
  <si>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</si>
  <si>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</si>
  <si>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</si>
  <si>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</si>
  <si>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</si>
  <si>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</si>
  <si>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</si>
  <si>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</si>
  <si>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</si>
  <si>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</si>
  <si>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</si>
  <si>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</si>
  <si>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</si>
  <si>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</si>
  <si>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</si>
  <si>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</si>
  <si>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</si>
  <si>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</si>
  <si>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</si>
  <si>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</si>
  <si>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</si>
  <si>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</si>
  <si>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</si>
  <si>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</si>
  <si>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</si>
  <si>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</si>
  <si>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</si>
  <si>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</si>
  <si>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</si>
  <si>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</si>
  <si>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</si>
  <si>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</si>
  <si>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</si>
  <si>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</si>
  <si>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</si>
  <si>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</si>
  <si>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</si>
  <si>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</si>
  <si>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</si>
  <si>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</si>
  <si>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</si>
  <si>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</si>
  <si>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</si>
  <si>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</si>
  <si>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</si>
  <si>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</si>
  <si>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</si>
  <si>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</si>
  <si>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</si>
  <si>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</si>
  <si>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</si>
  <si>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</si>
  <si>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</si>
  <si>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</si>
  <si>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</si>
  <si>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</si>
  <si>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</si>
  <si>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</si>
  <si>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</si>
  <si>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</si>
  <si>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</si>
  <si>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</si>
  <si>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</si>
  <si>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</si>
  <si>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</si>
  <si>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</si>
  <si>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</si>
  <si>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</si>
  <si>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</si>
  <si>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</si>
  <si>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</si>
  <si>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</si>
  <si>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</si>
  <si>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</si>
  <si>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</si>
  <si>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</si>
  <si>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</si>
  <si>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</si>
  <si>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</si>
  <si>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</si>
  <si>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</si>
  <si>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</si>
  <si>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</si>
  <si>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</si>
  <si>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</si>
  <si>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</si>
  <si>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</si>
  <si>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</si>
  <si>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</si>
  <si>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</si>
  <si>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</si>
  <si>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</si>
  <si>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</si>
  <si>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</si>
  <si>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</si>
  <si>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</si>
  <si>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</si>
  <si>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</si>
  <si>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</si>
  <si>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</si>
  <si>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</si>
  <si>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</si>
  <si>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</si>
  <si>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</si>
  <si>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</si>
  <si>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</si>
  <si>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</si>
  <si>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</si>
  <si>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</si>
  <si>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</si>
  <si>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</si>
  <si>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</si>
  <si>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</si>
  <si>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</si>
  <si>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</si>
  <si>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</si>
  <si>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</si>
  <si>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</si>
  <si>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</si>
  <si>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</si>
  <si>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</si>
  <si>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</si>
  <si>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</si>
  <si>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</si>
  <si>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</si>
  <si>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</si>
  <si>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</si>
  <si>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</si>
  <si>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</si>
  <si>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</si>
  <si>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</si>
  <si>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</si>
  <si>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</si>
  <si>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</si>
  <si>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</si>
  <si>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</si>
  <si>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</si>
  <si>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</si>
  <si>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</si>
  <si>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</si>
  <si>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</si>
  <si>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</si>
  <si>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</si>
  <si>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</si>
  <si>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</si>
  <si>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</si>
  <si>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</si>
  <si>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</si>
  <si>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</si>
  <si>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</si>
  <si>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</si>
  <si>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</si>
  <si>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</si>
  <si>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</si>
  <si>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</si>
  <si>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</si>
  <si>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</si>
  <si>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</si>
  <si>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</si>
  <si>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</si>
  <si>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</si>
  <si>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</si>
  <si>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</si>
  <si>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</si>
  <si>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</si>
  <si>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</si>
  <si>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</si>
  <si>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</si>
  <si>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</si>
  <si>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</si>
  <si>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</si>
  <si>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</si>
  <si>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</si>
  <si>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</si>
  <si>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</si>
  <si>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</si>
  <si>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</si>
  <si>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</si>
  <si>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</si>
  <si>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</si>
  <si>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</si>
  <si>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</si>
  <si>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</si>
  <si>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</si>
  <si>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</si>
  <si>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</si>
  <si>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</si>
  <si>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</si>
  <si>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</si>
  <si>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</si>
  <si>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</si>
  <si>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</si>
  <si>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</si>
  <si>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</si>
  <si>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</si>
  <si>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</si>
  <si>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</si>
  <si>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</si>
  <si>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</si>
  <si>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</si>
  <si>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</si>
  <si>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</si>
  <si>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</si>
  <si>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</si>
  <si>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</si>
  <si>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</si>
  <si>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</si>
  <si>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</si>
  <si>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</si>
  <si>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</si>
  <si>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</si>
  <si>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</si>
  <si>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</si>
  <si>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</si>
  <si>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</si>
  <si>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</si>
  <si>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</si>
  <si>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</si>
  <si>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</si>
  <si>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</si>
  <si>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</si>
  <si>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</si>
  <si>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</si>
  <si>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</si>
  <si>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</si>
  <si>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</si>
  <si>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</si>
  <si>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</si>
  <si>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</si>
  <si>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</si>
  <si>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</si>
  <si>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</si>
  <si>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</si>
  <si>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</si>
  <si>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</si>
  <si>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</si>
  <si>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</si>
  <si>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</si>
  <si>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</si>
  <si>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</si>
  <si>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</si>
  <si>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</si>
  <si>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</si>
  <si>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</si>
  <si>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</si>
  <si>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</si>
  <si>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</si>
  <si>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</si>
  <si>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</si>
  <si>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</si>
  <si>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</si>
  <si>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</si>
  <si>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</si>
  <si>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</si>
  <si>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</si>
  <si>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</si>
  <si>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</si>
  <si>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</si>
  <si>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</si>
  <si>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</si>
  <si>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</si>
  <si>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</si>
  <si>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</si>
  <si>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</si>
  <si>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</si>
  <si>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</si>
  <si>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</si>
  <si>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</si>
  <si>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</si>
  <si>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</si>
  <si>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</si>
  <si>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</si>
  <si>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</si>
  <si>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</si>
  <si>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</si>
  <si>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</si>
  <si>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</si>
  <si>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</si>
  <si>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</si>
  <si>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</si>
  <si>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</si>
  <si>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</si>
  <si>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</si>
  <si>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</si>
  <si>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</si>
  <si>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</si>
  <si>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</si>
  <si>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</si>
  <si>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</si>
  <si>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</si>
  <si>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</si>
  <si>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</si>
  <si>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</si>
  <si>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</si>
  <si>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</si>
  <si>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</si>
  <si>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</si>
  <si>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</si>
  <si>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</si>
  <si>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</si>
  <si>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</si>
  <si>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</si>
  <si>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</si>
  <si>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</si>
  <si>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</si>
  <si>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</si>
  <si>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</si>
  <si>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</si>
  <si>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</si>
  <si>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</si>
  <si>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</si>
  <si>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</si>
  <si>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</si>
  <si>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</si>
  <si>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</si>
  <si>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</si>
  <si>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</si>
  <si>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</si>
  <si>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</si>
  <si>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</si>
  <si>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</si>
  <si>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</si>
  <si>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</si>
  <si>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</si>
  <si>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</si>
  <si>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</si>
  <si>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</si>
  <si>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</si>
  <si>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</si>
  <si>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</si>
  <si>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</si>
  <si>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</si>
  <si>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</si>
  <si>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</si>
  <si>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</si>
  <si>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</si>
  <si>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</si>
  <si>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</si>
  <si>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</si>
  <si>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</si>
  <si>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</si>
  <si>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</si>
  <si>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</si>
  <si>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</si>
  <si>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</si>
  <si>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</si>
  <si>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</si>
  <si>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</si>
  <si>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</si>
  <si>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</si>
  <si>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</si>
  <si>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</si>
  <si>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</si>
  <si>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</si>
  <si>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</si>
  <si>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</si>
  <si>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</si>
  <si>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</si>
  <si>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</si>
  <si>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</si>
  <si>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</si>
  <si>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</si>
  <si>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</si>
  <si>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</si>
  <si>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</si>
  <si>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</si>
  <si>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</si>
  <si>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</si>
  <si>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</si>
  <si>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</si>
  <si>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</si>
  <si>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</si>
  <si>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</si>
  <si>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</si>
  <si>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</si>
  <si>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</si>
  <si>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</si>
  <si>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</si>
  <si>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</si>
  <si>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</si>
  <si>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</si>
  <si>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</si>
  <si>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</si>
  <si>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</si>
  <si>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</si>
  <si>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</si>
  <si>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</si>
  <si>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</si>
  <si>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</si>
  <si>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</si>
  <si>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</si>
  <si>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</si>
  <si>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</si>
  <si>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</si>
  <si>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</si>
  <si>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</si>
  <si>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</si>
  <si>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</si>
  <si>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</si>
  <si>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</si>
  <si>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</si>
  <si>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</si>
  <si>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</si>
  <si>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</si>
  <si>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</si>
  <si>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</si>
  <si>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</si>
  <si>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</si>
  <si>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</si>
  <si>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</si>
  <si>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</si>
  <si>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</si>
  <si>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</si>
  <si>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</si>
  <si>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</si>
  <si>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</si>
  <si>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</si>
  <si>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</si>
  <si>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</si>
  <si>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</si>
  <si>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</si>
  <si>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</si>
  <si>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</si>
  <si>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</si>
  <si>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</si>
  <si>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</si>
  <si>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</si>
  <si>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</si>
  <si>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</si>
  <si>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</si>
  <si>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</si>
  <si>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</si>
  <si>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</si>
  <si>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</si>
  <si>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</si>
  <si>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</si>
  <si>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</si>
  <si>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</si>
  <si>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</si>
  <si>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</si>
  <si>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</si>
  <si>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</si>
  <si>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</si>
  <si>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</si>
  <si>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</si>
  <si>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</si>
  <si>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</si>
  <si>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</si>
  <si>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</si>
  <si>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</si>
  <si>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</si>
  <si>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</si>
  <si>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</si>
  <si>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</si>
  <si>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</si>
  <si>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</si>
  <si>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</si>
  <si>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</si>
  <si>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</si>
  <si>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</si>
  <si>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</si>
  <si>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</si>
  <si>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</si>
  <si>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</si>
  <si>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</si>
  <si>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</si>
  <si>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</si>
  <si>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</si>
  <si>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</si>
  <si>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</si>
  <si>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</si>
  <si>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</si>
  <si>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</si>
  <si>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</si>
  <si>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</si>
  <si>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</si>
  <si>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</si>
  <si>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</si>
  <si>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</si>
  <si>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</si>
  <si>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</si>
  <si>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</si>
  <si>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</si>
  <si>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</si>
  <si>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</si>
  <si>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</si>
  <si>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</si>
  <si>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</si>
  <si>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</si>
  <si>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</si>
  <si>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</si>
  <si>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</si>
  <si>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</si>
  <si>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</si>
  <si>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</si>
  <si>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</si>
  <si>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</si>
  <si>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</si>
  <si>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</si>
  <si>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</si>
  <si>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</si>
  <si>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</si>
  <si>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</si>
  <si>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</si>
  <si>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</si>
  <si>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</si>
  <si>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</si>
  <si>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</si>
  <si>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</si>
  <si>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</si>
  <si>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</si>
  <si>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</si>
  <si>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</si>
  <si>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</si>
  <si>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</si>
  <si>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</si>
  <si>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</si>
  <si>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</si>
  <si>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</si>
  <si>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</si>
  <si>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</si>
  <si>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</si>
  <si>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</si>
  <si>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</si>
  <si>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</si>
  <si>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</si>
  <si>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</si>
  <si>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</si>
  <si>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</si>
  <si>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</si>
  <si>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</si>
  <si>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</si>
  <si>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</si>
  <si>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</si>
  <si>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</si>
  <si>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</si>
  <si>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</si>
  <si>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</si>
  <si>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</si>
  <si>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</si>
  <si>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</si>
  <si>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</si>
  <si>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</si>
  <si>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</si>
  <si>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</si>
  <si>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</si>
  <si>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</si>
  <si>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</si>
  <si>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</si>
  <si>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</si>
  <si>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</si>
  <si>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</si>
  <si>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</si>
  <si>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</si>
  <si>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</si>
  <si>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</si>
  <si>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</si>
  <si>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</si>
  <si>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</si>
  <si>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</si>
  <si>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</si>
  <si>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</si>
  <si>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</si>
  <si>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</si>
  <si>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</si>
  <si>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</si>
  <si>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</si>
  <si>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</si>
  <si>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</si>
  <si>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</si>
  <si>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</si>
  <si>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</si>
  <si>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</si>
  <si>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</si>
  <si>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</si>
  <si>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</si>
  <si>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</si>
  <si>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</si>
  <si>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</si>
  <si>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</si>
  <si>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</si>
  <si>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</si>
  <si>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</si>
  <si>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</si>
  <si>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</si>
  <si>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</si>
  <si>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</si>
  <si>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</si>
  <si>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</si>
  <si>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</si>
  <si>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</si>
  <si>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</si>
  <si>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</si>
  <si>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</si>
  <si>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</si>
  <si>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</si>
  <si>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</si>
  <si>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</si>
  <si>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</si>
  <si>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</si>
  <si>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</si>
  <si>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</si>
  <si>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</si>
  <si>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</si>
  <si>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</si>
  <si>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</si>
  <si>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</si>
  <si>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</si>
  <si>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</si>
  <si>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</si>
  <si>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</si>
  <si>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</si>
  <si>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</si>
  <si>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</si>
  <si>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</si>
  <si>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</si>
  <si>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</si>
  <si>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</si>
  <si>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</si>
  <si>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</si>
  <si>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</si>
  <si>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</si>
  <si>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</si>
  <si>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</si>
  <si>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</si>
  <si>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</si>
  <si>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</si>
  <si>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</si>
  <si>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</si>
  <si>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</si>
  <si>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</si>
  <si>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</si>
  <si>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</si>
  <si>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</si>
  <si>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</si>
  <si>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</si>
  <si>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</si>
  <si>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</si>
  <si>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</si>
  <si>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</si>
  <si>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</si>
  <si>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</si>
  <si>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</si>
  <si>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</si>
  <si>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</si>
  <si>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</si>
  <si>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</si>
  <si>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</si>
  <si>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</si>
  <si>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</si>
  <si>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</si>
  <si>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</si>
  <si>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</si>
  <si>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</si>
  <si>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</si>
  <si>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</si>
  <si>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</si>
  <si>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</si>
  <si>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</si>
  <si>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</si>
  <si>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</si>
  <si>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</si>
  <si>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</si>
  <si>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</si>
  <si>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</si>
  <si>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</si>
  <si>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</si>
  <si>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</si>
  <si>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</si>
  <si>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</si>
  <si>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</si>
  <si>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</si>
  <si>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</si>
  <si>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</si>
  <si>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</si>
  <si>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</si>
  <si>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</si>
  <si>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</si>
  <si>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</si>
  <si>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</si>
  <si>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</si>
  <si>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</si>
  <si>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</si>
  <si>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</si>
  <si>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</si>
  <si>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</si>
  <si>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</si>
  <si>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</si>
  <si>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</si>
  <si>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</si>
  <si>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</si>
  <si>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</si>
  <si>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</si>
  <si>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</si>
  <si>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</si>
  <si>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</si>
  <si>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</si>
  <si>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</si>
  <si>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</si>
  <si>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</si>
  <si>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</si>
  <si>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</si>
  <si>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</si>
  <si>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</si>
  <si>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</si>
  <si>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</si>
  <si>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</si>
  <si>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</si>
  <si>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</si>
  <si>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</si>
  <si>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</si>
  <si>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</si>
  <si>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</si>
  <si>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</si>
  <si>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</si>
  <si>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</si>
  <si>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</si>
  <si>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</si>
  <si>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</si>
  <si>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</si>
  <si>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</si>
  <si>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</si>
  <si>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</si>
  <si>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</si>
  <si>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</si>
  <si>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</si>
  <si>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</si>
  <si>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</si>
  <si>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</si>
  <si>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</si>
  <si>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</si>
  <si>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</si>
  <si>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</si>
  <si>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</si>
  <si>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</si>
  <si>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</si>
  <si>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</si>
  <si>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</si>
  <si>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</si>
  <si>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</si>
  <si>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</si>
  <si>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</si>
  <si>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</si>
  <si>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</si>
  <si>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</si>
  <si>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</si>
  <si>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</si>
  <si>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</si>
  <si>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</si>
  <si>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</si>
  <si>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</si>
  <si>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</si>
  <si>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</si>
  <si>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</si>
  <si>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</si>
  <si>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</si>
  <si>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</si>
  <si>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</si>
  <si>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</si>
  <si>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</si>
  <si>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</si>
  <si>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</si>
  <si>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</si>
  <si>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</si>
  <si>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</si>
  <si>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</si>
  <si>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</si>
  <si>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</si>
  <si>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</si>
  <si>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</si>
  <si>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</si>
  <si>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</si>
  <si>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</si>
  <si>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</si>
  <si>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</si>
  <si>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</si>
  <si>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</si>
  <si>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</si>
  <si>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</si>
  <si>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</si>
  <si>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</si>
  <si>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</si>
  <si>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</si>
  <si>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</si>
  <si>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</si>
  <si>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</si>
  <si>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</si>
  <si>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</si>
  <si>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</si>
  <si>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</si>
  <si>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</si>
  <si>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</si>
  <si>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</si>
  <si>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</si>
  <si>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</si>
  <si>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</si>
  <si>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</si>
  <si>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</si>
  <si>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</si>
  <si>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</si>
  <si>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</si>
  <si>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</si>
  <si>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</si>
  <si>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</si>
  <si>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</si>
  <si>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</si>
  <si>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</si>
  <si>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</si>
  <si>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</si>
  <si>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</si>
  <si>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</si>
  <si>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</si>
  <si>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</si>
  <si>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</si>
  <si>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</si>
  <si>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</si>
  <si>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</si>
  <si>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</si>
  <si>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</si>
  <si>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</si>
  <si>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</si>
  <si>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</si>
  <si>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</si>
  <si>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</si>
  <si>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</si>
  <si>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</si>
  <si>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</si>
  <si>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</si>
  <si>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</si>
  <si>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</si>
  <si>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</si>
  <si>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</si>
  <si>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</si>
  <si>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</si>
  <si>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</si>
  <si>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</si>
  <si>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</si>
  <si>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</si>
  <si>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</si>
  <si>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</si>
  <si>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</si>
  <si>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</si>
  <si>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</si>
  <si>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</si>
  <si>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</si>
  <si>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</si>
  <si>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</si>
  <si>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</si>
  <si>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</si>
  <si>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</si>
  <si>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</si>
  <si>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</si>
  <si>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</si>
  <si>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</si>
  <si>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</si>
  <si>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</si>
  <si>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</si>
  <si>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</si>
  <si>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</si>
  <si>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</si>
  <si>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</si>
  <si>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</si>
  <si>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</si>
  <si>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</si>
  <si>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</si>
  <si>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</si>
  <si>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</si>
  <si>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</si>
  <si>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</si>
  <si>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</si>
  <si>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</si>
  <si>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</si>
  <si>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</si>
  <si>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</si>
  <si>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</si>
  <si>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</si>
  <si>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</si>
  <si>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</si>
  <si>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</si>
  <si>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</si>
  <si>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</si>
  <si>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</si>
  <si>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</si>
  <si>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</si>
  <si>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</si>
  <si>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</si>
  <si>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</si>
  <si>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</si>
  <si>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</si>
  <si>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</si>
  <si>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</si>
  <si>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</si>
  <si>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</si>
  <si>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</si>
  <si>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</si>
  <si>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</si>
  <si>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</si>
  <si>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</si>
  <si>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</si>
  <si>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</si>
  <si>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</si>
  <si>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</si>
  <si>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</si>
  <si>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</si>
  <si>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</si>
  <si>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</si>
  <si>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</si>
  <si>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</si>
  <si>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</si>
  <si>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</si>
  <si>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</si>
  <si>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</si>
  <si>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</si>
  <si>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</si>
  <si>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</si>
  <si>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</si>
  <si>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</si>
  <si>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</si>
  <si>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</si>
  <si>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</si>
  <si>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</si>
  <si>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</si>
  <si>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</si>
  <si>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</si>
  <si>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</si>
  <si>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</si>
  <si>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</si>
  <si>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</si>
  <si>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</si>
  <si>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</si>
  <si>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</si>
  <si>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</si>
  <si>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</si>
  <si>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</si>
  <si>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</si>
  <si>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</si>
  <si>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</si>
  <si>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</si>
  <si>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</si>
  <si>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</si>
  <si>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</si>
  <si>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</si>
  <si>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</si>
  <si>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</si>
  <si>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</si>
  <si>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</si>
  <si>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</si>
  <si>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</si>
  <si>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</si>
  <si>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</si>
  <si>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</si>
  <si>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</si>
  <si>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</si>
  <si>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</si>
  <si>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</si>
  <si>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</si>
  <si>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</si>
  <si>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</si>
  <si>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</si>
  <si>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</si>
  <si>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</si>
  <si>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</si>
  <si>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</si>
  <si>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</si>
  <si>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</si>
  <si>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</si>
  <si>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</si>
  <si>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</si>
  <si>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</si>
  <si>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</si>
  <si>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</si>
  <si>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</si>
  <si>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</si>
  <si>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</si>
  <si>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</si>
  <si>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</si>
  <si>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</si>
  <si>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</si>
  <si>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</si>
  <si>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</si>
  <si>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</si>
  <si>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</si>
  <si>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</si>
  <si>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</si>
  <si>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</si>
  <si>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</si>
  <si>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</si>
  <si>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</si>
  <si>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</si>
  <si>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</si>
  <si>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</si>
  <si>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</si>
  <si>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</si>
  <si>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</si>
  <si>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</si>
  <si>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</si>
  <si>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</si>
  <si>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</si>
  <si>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</si>
  <si>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</si>
  <si>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</si>
  <si>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</si>
  <si>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</si>
  <si>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</si>
  <si>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</si>
  <si>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</si>
  <si>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</si>
  <si>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</si>
  <si>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</si>
  <si>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</si>
  <si>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</si>
  <si>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</si>
  <si>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</si>
  <si>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</si>
  <si>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</si>
  <si>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</si>
  <si>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</si>
  <si>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</si>
  <si>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</si>
  <si>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</si>
  <si>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</si>
  <si>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</si>
  <si>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</si>
  <si>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</si>
  <si>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</si>
  <si>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</si>
  <si>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</si>
  <si>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</si>
  <si>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</si>
  <si>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</si>
  <si>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</si>
  <si>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</si>
  <si>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</si>
  <si>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</si>
  <si>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</si>
  <si>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</si>
  <si>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</si>
  <si>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</si>
  <si>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</si>
  <si>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</si>
  <si>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</si>
  <si>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</si>
  <si>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</si>
  <si>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</si>
  <si>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</si>
  <si>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</si>
  <si>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</si>
  <si>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</si>
  <si>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</si>
  <si>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</si>
  <si>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</si>
  <si>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</si>
  <si>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</si>
  <si>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</si>
  <si>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</si>
  <si>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</si>
  <si>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</si>
  <si>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</si>
  <si>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</si>
  <si>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</si>
  <si>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</si>
  <si>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</si>
  <si>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</si>
  <si>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</si>
  <si>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</si>
  <si>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</si>
  <si>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</si>
  <si>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</si>
  <si>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</si>
  <si>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</si>
  <si>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</si>
  <si>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</si>
  <si>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</si>
  <si>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</si>
  <si>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</si>
  <si>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</si>
  <si>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</si>
  <si>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</si>
  <si>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</si>
  <si>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</si>
  <si>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</si>
  <si>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</si>
  <si>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</si>
  <si>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</si>
  <si>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</si>
  <si>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</si>
  <si>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</si>
  <si>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</si>
  <si>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</si>
  <si>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</si>
  <si>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</si>
  <si>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</si>
  <si>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</si>
  <si>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</si>
  <si>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</si>
  <si>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</si>
  <si>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</si>
  <si>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</si>
  <si>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</si>
  <si>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</si>
  <si>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</si>
  <si>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</si>
  <si>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</si>
  <si>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</si>
  <si>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</si>
  <si>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</si>
  <si>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</si>
  <si>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</si>
  <si>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</si>
  <si>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</si>
  <si>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</si>
  <si>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</si>
  <si>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</si>
  <si>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</si>
  <si>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</si>
  <si>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</si>
  <si>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</si>
  <si>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</si>
  <si>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</si>
  <si>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</si>
  <si>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</si>
  <si>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</si>
  <si>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</si>
  <si>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</si>
  <si>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</si>
  <si>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</si>
  <si>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</si>
  <si>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</si>
  <si>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</si>
  <si>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</si>
  <si>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</si>
  <si>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</si>
  <si>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</si>
  <si>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</si>
  <si>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</si>
  <si>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</si>
  <si>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</si>
  <si>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</si>
  <si>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</si>
  <si>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</si>
  <si>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</si>
  <si>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</si>
  <si>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</si>
  <si>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</si>
  <si>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</si>
  <si>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</si>
  <si>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</si>
  <si>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</si>
  <si>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</si>
  <si>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</si>
  <si>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</si>
  <si>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</si>
  <si>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</si>
  <si>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</si>
  <si>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</si>
  <si>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</si>
  <si>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</si>
  <si>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</si>
  <si>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</si>
  <si>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</si>
  <si>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</si>
  <si>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</si>
  <si>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</si>
  <si>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</si>
  <si>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</si>
  <si>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</si>
  <si>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</si>
  <si>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</si>
  <si>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</si>
  <si>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</si>
  <si>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</si>
  <si>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</si>
  <si>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</si>
  <si>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</si>
  <si>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</si>
  <si>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</si>
  <si>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</si>
  <si>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</si>
  <si>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</si>
  <si>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</si>
  <si>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</si>
  <si>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</si>
  <si>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</si>
  <si>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</si>
  <si>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</si>
  <si>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</si>
  <si>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</si>
  <si>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</si>
  <si>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</si>
  <si>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</si>
  <si>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</si>
  <si>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</si>
  <si>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</si>
  <si>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</si>
  <si>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</si>
  <si>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</si>
  <si>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</si>
  <si>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</si>
  <si>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</si>
  <si>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</si>
  <si>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</si>
  <si>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</si>
  <si>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</si>
  <si>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</si>
  <si>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</si>
  <si>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</si>
  <si>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</si>
  <si>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</si>
  <si>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</si>
  <si>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</si>
  <si>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</si>
  <si>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</si>
  <si>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</si>
  <si>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</si>
  <si>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</si>
  <si>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</si>
  <si>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</si>
  <si>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</si>
  <si>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</si>
  <si>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</si>
  <si>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</si>
  <si>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</si>
  <si>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</si>
  <si>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</si>
  <si>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</si>
  <si>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</si>
  <si>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</si>
  <si>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</si>
  <si>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</si>
  <si>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</si>
  <si>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</si>
  <si>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</si>
  <si>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</si>
  <si>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</si>
  <si>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</si>
  <si>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</si>
  <si>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</si>
  <si>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</si>
  <si>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</si>
  <si>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</si>
  <si>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</si>
  <si>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</si>
  <si>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</si>
  <si>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</si>
  <si>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</si>
  <si>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</si>
  <si>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</si>
  <si>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</si>
  <si>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</si>
  <si>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</si>
  <si>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</si>
  <si>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</si>
  <si>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</si>
  <si>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</si>
  <si>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</si>
  <si>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</si>
  <si>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</si>
  <si>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</si>
  <si>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</si>
  <si>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</si>
  <si>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</si>
  <si>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</si>
  <si>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</si>
  <si>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</si>
  <si>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</si>
  <si>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</si>
  <si>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</si>
  <si>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</si>
  <si>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</si>
  <si>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</si>
  <si>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</si>
  <si>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</si>
  <si>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</si>
  <si>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</si>
  <si>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</si>
  <si>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</si>
  <si>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</si>
  <si>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</si>
  <si>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</si>
  <si>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</si>
  <si>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</si>
  <si>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</si>
  <si>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</si>
  <si>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</si>
  <si>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</si>
  <si>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</si>
  <si>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</si>
  <si>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</si>
  <si>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</si>
  <si>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</si>
  <si>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</si>
  <si>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</si>
  <si>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</si>
  <si>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</si>
  <si>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</si>
  <si>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</si>
  <si>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</si>
  <si>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</si>
  <si>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</si>
  <si>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</si>
  <si>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</si>
  <si>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</si>
  <si>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</si>
  <si>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</si>
  <si>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</si>
  <si>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</si>
  <si>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</si>
  <si>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</si>
  <si>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</si>
  <si>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</si>
  <si>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</si>
  <si>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</si>
  <si>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</si>
  <si>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</si>
  <si>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</si>
  <si>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</si>
  <si>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</si>
  <si>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</si>
  <si>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</si>
  <si>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</si>
  <si>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</si>
  <si>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</si>
  <si>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</si>
  <si>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</si>
  <si>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</si>
  <si>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</si>
  <si>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</si>
  <si>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</si>
  <si>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</si>
  <si>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</si>
  <si>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</si>
  <si>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</si>
  <si>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</si>
  <si>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</si>
  <si>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</si>
  <si>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</si>
  <si>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</si>
  <si>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</si>
  <si>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</si>
  <si>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</si>
  <si>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</si>
  <si>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</si>
  <si>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</si>
  <si>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</si>
  <si>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</si>
  <si>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</si>
  <si>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</si>
  <si>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</si>
  <si>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</si>
  <si>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</si>
  <si>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</si>
  <si>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</si>
  <si>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</si>
  <si>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</si>
  <si>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</si>
  <si>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</si>
  <si>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</si>
  <si>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</si>
  <si>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</si>
  <si>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</si>
  <si>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</si>
  <si>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</si>
  <si>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</si>
  <si>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</si>
  <si>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</si>
  <si>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</si>
  <si>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</si>
  <si>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</si>
  <si>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</si>
  <si>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</si>
  <si>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</si>
  <si>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</si>
  <si>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</si>
  <si>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</si>
  <si>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</si>
  <si>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</si>
  <si>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</si>
  <si>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</si>
  <si>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</si>
  <si>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</si>
  <si>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</si>
  <si>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</si>
  <si>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</si>
  <si>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</si>
  <si>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</si>
  <si>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</si>
  <si>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</si>
  <si>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</si>
  <si>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</si>
  <si>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</si>
  <si>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</si>
  <si>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</si>
  <si>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</si>
  <si>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</si>
  <si>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</si>
  <si>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</si>
  <si>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</si>
  <si>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</si>
  <si>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</si>
  <si>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</si>
  <si>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</si>
  <si>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</si>
  <si>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</si>
  <si>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</si>
  <si>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</si>
  <si>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</si>
  <si>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</si>
  <si>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</si>
  <si>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</si>
  <si>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</si>
  <si>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</si>
  <si>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</si>
  <si>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</si>
  <si>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</si>
  <si>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</si>
  <si>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</si>
  <si>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</si>
  <si>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</si>
  <si>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</si>
  <si>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</si>
  <si>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</si>
  <si>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</si>
  <si>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</si>
  <si>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</si>
  <si>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</si>
  <si>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</si>
  <si>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</si>
  <si>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</si>
  <si>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</si>
  <si>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</si>
  <si>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</si>
  <si>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</si>
  <si>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</si>
  <si>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</si>
  <si>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</si>
  <si>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</si>
  <si>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</si>
  <si>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</si>
  <si>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</si>
  <si>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</si>
  <si>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</si>
  <si>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</si>
  <si>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</si>
  <si>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</si>
  <si>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</si>
  <si>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</si>
  <si>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</si>
  <si>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</si>
  <si>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</si>
  <si>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</si>
  <si>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</si>
  <si>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</si>
  <si>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</si>
  <si>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</si>
  <si>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</si>
  <si>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</si>
  <si>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</si>
  <si>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</si>
  <si>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</si>
  <si>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</si>
  <si>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</si>
  <si>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</si>
  <si>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</si>
  <si>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</si>
  <si>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</si>
  <si>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</si>
  <si>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</si>
  <si>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</si>
  <si>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</si>
  <si>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</si>
  <si>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</si>
  <si>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</si>
  <si>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</si>
  <si>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</si>
  <si>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</si>
  <si>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</si>
  <si>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</si>
  <si>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</si>
  <si>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</si>
  <si>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</si>
  <si>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</si>
  <si>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</si>
  <si>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</si>
  <si>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</si>
  <si>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</si>
  <si>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</si>
  <si>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</si>
  <si>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</si>
  <si>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</si>
  <si>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</si>
  <si>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</si>
  <si>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</si>
  <si>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</si>
  <si>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</si>
  <si>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</si>
  <si>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</si>
  <si>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</si>
  <si>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</si>
  <si>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</si>
  <si>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</si>
  <si>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</si>
  <si>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</si>
  <si>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</si>
  <si>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</si>
  <si>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</si>
  <si>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</si>
  <si>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</si>
  <si>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</si>
  <si>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</si>
  <si>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</si>
  <si>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</si>
  <si>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</si>
  <si>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</si>
  <si>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</si>
  <si>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</si>
  <si>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</si>
  <si>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</si>
  <si>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</si>
  <si>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</si>
  <si>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</si>
  <si>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</si>
  <si>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</si>
  <si>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</si>
  <si>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</si>
  <si>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</si>
  <si>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</si>
  <si>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</si>
  <si>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</si>
  <si>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</si>
  <si>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</si>
  <si>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</si>
  <si>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</si>
  <si>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</si>
  <si>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</si>
  <si>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</si>
  <si>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</si>
  <si>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</si>
  <si>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</si>
  <si>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</si>
  <si>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</si>
  <si>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</si>
  <si>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</si>
  <si>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</si>
  <si>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</si>
  <si>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</si>
  <si>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</si>
  <si>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</si>
  <si>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</si>
  <si>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</si>
  <si>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</si>
  <si>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</si>
  <si>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</si>
  <si>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</si>
  <si>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</si>
  <si>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</si>
  <si>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</si>
  <si>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</si>
  <si>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</si>
  <si>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</si>
  <si>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</si>
  <si>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</si>
  <si>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</si>
  <si>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</si>
  <si>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</si>
  <si>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</si>
  <si>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</si>
  <si>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</si>
  <si>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</si>
  <si>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</si>
  <si>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</si>
  <si>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</si>
  <si>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</si>
  <si>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</si>
  <si>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</si>
  <si>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</si>
  <si>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</si>
  <si>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</si>
  <si>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</si>
  <si>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</si>
  <si>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</si>
  <si>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</si>
  <si>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</si>
  <si>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</si>
  <si>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</si>
  <si>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</si>
  <si>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</si>
  <si>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</si>
  <si>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</si>
  <si>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</si>
  <si>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</si>
  <si>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</si>
  <si>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</si>
  <si>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</si>
  <si>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</si>
  <si>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</si>
  <si>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</si>
  <si>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</si>
  <si>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</si>
  <si>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</si>
  <si>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</si>
  <si>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</si>
  <si>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</si>
  <si>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</si>
  <si>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</si>
  <si>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</si>
  <si>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</si>
  <si>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</si>
  <si>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</si>
  <si>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</si>
  <si>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</si>
  <si>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</si>
  <si>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</si>
  <si>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</si>
  <si>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</si>
  <si>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</si>
  <si>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</si>
  <si>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</si>
  <si>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</si>
  <si>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</si>
  <si>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</si>
  <si>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</si>
  <si>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</si>
  <si>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</si>
  <si>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</si>
  <si>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</si>
  <si>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</si>
  <si>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</si>
  <si>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</si>
  <si>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</si>
  <si>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</si>
  <si>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</si>
  <si>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</si>
  <si>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</si>
  <si>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</si>
  <si>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</si>
  <si>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</si>
  <si>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</si>
  <si>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</si>
  <si>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</si>
  <si>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</si>
  <si>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</si>
  <si>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</si>
  <si>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</si>
  <si>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</si>
  <si>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</si>
  <si>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</si>
  <si>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</si>
  <si>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</si>
  <si>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</si>
  <si>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</si>
  <si>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</si>
  <si>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</si>
  <si>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</si>
  <si>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</si>
  <si>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</si>
  <si>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</si>
  <si>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</si>
  <si>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</si>
  <si>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</si>
  <si>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</si>
  <si>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</si>
  <si>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</si>
  <si>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</si>
  <si>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</si>
  <si>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</si>
  <si>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</si>
  <si>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</si>
  <si>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</si>
  <si>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</si>
  <si>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</si>
  <si>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</si>
  <si>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</si>
  <si>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</si>
  <si>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</si>
  <si>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</si>
  <si>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</si>
  <si>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</si>
  <si>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</si>
  <si>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</si>
  <si>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</si>
  <si>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</si>
  <si>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</si>
  <si>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</si>
  <si>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</si>
  <si>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</si>
  <si>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</si>
  <si>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</si>
  <si>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</si>
  <si>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</si>
  <si>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</si>
  <si>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</si>
  <si>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</si>
  <si>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</si>
  <si>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</si>
  <si>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</si>
  <si>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</si>
  <si>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</si>
  <si>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</si>
  <si>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</si>
  <si>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</si>
  <si>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</si>
  <si>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</si>
  <si>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</si>
  <si>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</si>
  <si>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</si>
  <si>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</si>
  <si>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</si>
  <si>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</si>
  <si>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</si>
  <si>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</si>
  <si>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</si>
  <si>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</si>
  <si>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</si>
  <si>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</si>
  <si>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</si>
  <si>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</si>
  <si>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</si>
  <si>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</si>
  <si>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</si>
  <si>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</si>
  <si>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</si>
  <si>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</si>
  <si>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</si>
  <si>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</si>
  <si>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</si>
  <si>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</si>
  <si>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</si>
  <si>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</si>
  <si>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</si>
  <si>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</si>
  <si>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</si>
  <si>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</si>
  <si>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</si>
  <si>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</si>
  <si>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</si>
  <si>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</si>
  <si>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</si>
  <si>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</si>
  <si>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</si>
  <si>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</si>
  <si>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</si>
  <si>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</si>
  <si>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</si>
  <si>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</si>
  <si>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</si>
  <si>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</si>
  <si>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</si>
  <si>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</si>
  <si>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</si>
  <si>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</si>
  <si>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</si>
  <si>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</si>
  <si>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</si>
  <si>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</si>
  <si>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</si>
  <si>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</si>
  <si>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</si>
  <si>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</si>
  <si>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</si>
  <si>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</si>
  <si>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</si>
  <si>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</si>
  <si>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</si>
  <si>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</si>
  <si>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</si>
  <si>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</si>
  <si>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</si>
  <si>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</si>
  <si>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</si>
  <si>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</si>
  <si>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</si>
  <si>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</si>
  <si>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</si>
  <si>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</si>
  <si>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</si>
  <si>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</si>
  <si>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</si>
  <si>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</si>
  <si>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</si>
  <si>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</si>
  <si>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</si>
  <si>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</si>
  <si>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</si>
  <si>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</si>
  <si>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</si>
  <si>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</si>
  <si>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</si>
  <si>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</si>
  <si>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</si>
  <si>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</si>
  <si>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</si>
  <si>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</si>
  <si>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</si>
  <si>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</si>
  <si>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</si>
  <si>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</si>
  <si>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</si>
  <si>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</si>
  <si>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</si>
  <si>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</si>
  <si>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</si>
  <si>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</si>
  <si>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</si>
  <si>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</si>
  <si>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</si>
  <si>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</si>
  <si>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</si>
  <si>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</si>
  <si>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</si>
  <si>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</si>
  <si>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</si>
  <si>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</si>
  <si>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</si>
  <si>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</si>
  <si>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</si>
  <si>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</si>
  <si>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</si>
  <si>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</si>
  <si>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</si>
  <si>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</si>
  <si>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</si>
  <si>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</si>
  <si>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</si>
  <si>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</si>
  <si>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</si>
  <si>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</si>
  <si>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</si>
  <si>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</si>
  <si>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</si>
  <si>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</si>
  <si>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</si>
  <si>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</si>
  <si>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</si>
  <si>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</si>
  <si>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</si>
  <si>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</si>
  <si>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</si>
  <si>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</si>
  <si>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</si>
  <si>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</si>
  <si>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</si>
  <si>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</si>
  <si>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</si>
  <si>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</si>
  <si>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</si>
  <si>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</si>
  <si>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</si>
  <si>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</si>
  <si>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</si>
  <si>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</si>
  <si>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</si>
  <si>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</si>
  <si>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</si>
  <si>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</si>
  <si>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</si>
  <si>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</si>
  <si>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</si>
  <si>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</si>
  <si>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</si>
  <si>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</si>
  <si>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</si>
  <si>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</si>
  <si>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</si>
  <si>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</si>
  <si>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</si>
  <si>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</si>
  <si>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</si>
  <si>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</si>
  <si>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</si>
  <si>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</si>
  <si>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</si>
  <si>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</si>
  <si>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</si>
  <si>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</si>
  <si>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</si>
  <si>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</si>
  <si>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</si>
  <si>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</si>
  <si>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</si>
  <si>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</si>
  <si>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</si>
  <si>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</si>
  <si>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</si>
  <si>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</si>
  <si>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</si>
  <si>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</si>
  <si>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</si>
  <si>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</si>
  <si>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</si>
  <si>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</si>
  <si>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</si>
  <si>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</si>
  <si>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</si>
  <si>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</si>
  <si>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</si>
  <si>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</si>
  <si>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</si>
  <si>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</si>
  <si>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</si>
  <si>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</si>
  <si>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</si>
  <si>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</si>
  <si>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</si>
  <si>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</si>
  <si>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</si>
  <si>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</si>
  <si>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</si>
  <si>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</si>
  <si>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</si>
  <si>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</si>
  <si>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</si>
  <si>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</si>
  <si>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</si>
  <si>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</si>
  <si>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</si>
  <si>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</si>
  <si>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</si>
  <si>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</si>
  <si>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</si>
  <si>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</si>
  <si>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</si>
  <si>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</si>
  <si>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</si>
  <si>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</si>
  <si>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</si>
  <si>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</si>
  <si>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</si>
  <si>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</si>
  <si>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</si>
  <si>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</si>
  <si>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</si>
  <si>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</si>
  <si>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</si>
  <si>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</si>
  <si>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</si>
  <si>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</si>
  <si>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</si>
  <si>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</si>
  <si>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</si>
  <si>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</si>
  <si>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</si>
  <si>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</si>
  <si>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</si>
  <si>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</si>
  <si>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</si>
  <si>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</si>
  <si>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</si>
  <si>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</si>
  <si>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</si>
  <si>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</si>
  <si>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</si>
  <si>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</si>
  <si>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</si>
  <si>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</si>
  <si>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</si>
  <si>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</si>
  <si>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</si>
  <si>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</si>
  <si>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</si>
  <si>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</si>
  <si>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</si>
  <si>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</si>
  <si>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</si>
  <si>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</si>
  <si>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</si>
  <si>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</si>
  <si>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</si>
  <si>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</si>
  <si>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</si>
  <si>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</si>
  <si>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</si>
  <si>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</si>
  <si>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</si>
  <si>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</si>
  <si>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</si>
  <si>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</si>
  <si>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</si>
  <si>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</si>
  <si>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</si>
  <si>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</si>
  <si>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</si>
  <si>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</si>
  <si>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</si>
  <si>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</si>
  <si>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</si>
  <si>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</si>
  <si>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</si>
  <si>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</si>
  <si>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</si>
  <si>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</si>
  <si>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</si>
  <si>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</si>
  <si>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</si>
  <si>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</si>
  <si>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</si>
  <si>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</si>
  <si>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</si>
  <si>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</si>
  <si>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</si>
  <si>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</si>
  <si>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</si>
  <si>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</si>
  <si>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</si>
  <si>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</si>
  <si>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</si>
  <si>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</si>
  <si>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</si>
  <si>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</si>
  <si>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</si>
  <si>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</si>
  <si>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</si>
  <si>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</si>
  <si>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</si>
  <si>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</si>
  <si>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</si>
  <si>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</si>
  <si>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</si>
  <si>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</si>
  <si>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</si>
  <si>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</si>
  <si>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</si>
  <si>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</si>
  <si>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</si>
  <si>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</si>
  <si>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</si>
  <si>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</si>
  <si>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</si>
  <si>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</si>
  <si>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</si>
  <si>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</si>
  <si>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</si>
  <si>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</si>
  <si>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</si>
  <si>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</si>
  <si>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</si>
  <si>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</si>
  <si>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</si>
  <si>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</si>
  <si>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</si>
  <si>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</si>
  <si>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</si>
  <si>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</si>
  <si>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</si>
  <si>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</si>
  <si>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</si>
  <si>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</si>
  <si>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</si>
  <si>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</si>
  <si>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</si>
  <si>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</si>
  <si>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</si>
  <si>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</si>
  <si>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</si>
  <si>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</si>
  <si>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</si>
  <si>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</si>
  <si>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</si>
  <si>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</si>
  <si>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</si>
  <si>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</si>
  <si>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</si>
  <si>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</si>
  <si>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</si>
  <si>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</si>
  <si>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</si>
  <si>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</si>
  <si>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</si>
  <si>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</si>
  <si>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</si>
  <si>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</si>
  <si>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</si>
  <si>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</si>
  <si>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</si>
  <si>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</si>
  <si>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</si>
  <si>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</si>
  <si>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</si>
  <si>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</si>
  <si>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</si>
  <si>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</si>
  <si>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</si>
  <si>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</si>
  <si>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</si>
  <si>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</si>
  <si>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</si>
  <si>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</si>
  <si>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</si>
  <si>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</si>
  <si>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</si>
  <si>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</si>
  <si>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</si>
  <si>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</si>
  <si>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</si>
  <si>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</si>
  <si>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</si>
  <si>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</si>
  <si>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</si>
  <si>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</si>
  <si>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</si>
  <si>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</si>
  <si>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</si>
  <si>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</si>
  <si>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</si>
  <si>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</si>
  <si>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</si>
  <si>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</si>
  <si>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</si>
  <si>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</si>
  <si>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</si>
  <si>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</si>
  <si>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</si>
  <si>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</si>
  <si>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</si>
  <si>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</si>
  <si>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</si>
  <si>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</si>
  <si>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</si>
  <si>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</si>
  <si>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</si>
  <si>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</si>
  <si>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</si>
  <si>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</si>
  <si>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</si>
  <si>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</si>
  <si>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</si>
  <si>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</si>
  <si>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</si>
  <si>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</si>
  <si>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</si>
  <si>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</si>
  <si>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</si>
  <si>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</si>
  <si>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</si>
  <si>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</si>
  <si>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</si>
  <si>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</si>
  <si>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</si>
  <si>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</si>
  <si>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</si>
  <si>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</si>
  <si>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</si>
  <si>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</si>
  <si>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</si>
  <si>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</si>
  <si>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</si>
  <si>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</si>
  <si>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</si>
  <si>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</si>
  <si>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</si>
  <si>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</si>
  <si>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</si>
  <si>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</si>
  <si>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</si>
  <si>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</si>
  <si>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</si>
  <si>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</si>
  <si>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</si>
  <si>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</si>
  <si>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</si>
  <si>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</si>
  <si>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</si>
  <si>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</si>
  <si>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</si>
  <si>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</si>
  <si>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</si>
  <si>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</si>
  <si>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</si>
  <si>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</si>
  <si>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</si>
  <si>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</si>
  <si>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</si>
  <si>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</si>
  <si>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</si>
  <si>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</si>
  <si>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</si>
  <si>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</si>
  <si>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</si>
  <si>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</si>
  <si>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</si>
  <si>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</si>
  <si>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</si>
  <si>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</si>
  <si>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</si>
  <si>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</si>
  <si>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</si>
  <si>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</si>
  <si>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</si>
  <si>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</si>
  <si>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</si>
  <si>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</si>
  <si>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</si>
  <si>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</si>
  <si>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</si>
  <si>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</si>
  <si>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</si>
  <si>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</si>
  <si>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</si>
  <si>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</si>
  <si>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</si>
  <si>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</si>
  <si>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</si>
  <si>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</si>
  <si>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</si>
  <si>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</si>
  <si>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</si>
  <si>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</si>
  <si>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</si>
  <si>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</si>
  <si>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</si>
  <si>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</si>
  <si>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</si>
  <si>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</si>
  <si>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</si>
  <si>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</si>
  <si>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</si>
  <si>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</si>
  <si>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</si>
  <si>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</si>
  <si>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</si>
  <si>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</si>
  <si>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</si>
  <si>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</si>
  <si>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</si>
  <si>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</si>
  <si>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</si>
  <si>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</si>
  <si>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</si>
  <si>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</si>
  <si>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</si>
  <si>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</si>
  <si>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</si>
  <si>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</si>
  <si>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</si>
  <si>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</si>
  <si>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</si>
  <si>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</si>
  <si>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</si>
  <si>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</si>
  <si>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</si>
  <si>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</si>
  <si>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</si>
  <si>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</si>
  <si>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</si>
  <si>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</si>
  <si>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</si>
  <si>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</si>
  <si>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</si>
  <si>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</si>
  <si>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</si>
  <si>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</si>
  <si>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</si>
  <si>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</si>
  <si>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</si>
  <si>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</si>
  <si>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</si>
  <si>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</si>
  <si>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</si>
  <si>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</si>
  <si>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</si>
  <si>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</si>
  <si>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</si>
  <si>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</si>
  <si>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</si>
  <si>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</si>
  <si>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</si>
  <si>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</si>
  <si>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</si>
  <si>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</si>
  <si>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</si>
  <si>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</si>
  <si>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</si>
  <si>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</si>
  <si>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</si>
  <si>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</si>
  <si>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</si>
  <si>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</si>
  <si>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</si>
  <si>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</si>
  <si>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</si>
  <si>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</si>
  <si>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</si>
  <si>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</si>
  <si>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</si>
  <si>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</si>
  <si>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</si>
  <si>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</si>
  <si>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</si>
  <si>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</si>
  <si>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</si>
  <si>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</si>
  <si>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</si>
  <si>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</si>
  <si>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</si>
  <si>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</si>
  <si>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</si>
  <si>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</si>
  <si>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</si>
  <si>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</si>
  <si>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</si>
  <si>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</si>
  <si>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</si>
  <si>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</si>
  <si>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</si>
  <si>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</si>
  <si>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</si>
  <si>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</si>
  <si>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</si>
  <si>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</si>
  <si>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</si>
  <si>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</si>
  <si>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</si>
  <si>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</si>
  <si>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</si>
  <si>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</si>
  <si>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</si>
  <si>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</si>
  <si>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</si>
  <si>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</si>
  <si>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</si>
  <si>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</si>
  <si>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</si>
  <si>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</si>
  <si>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</si>
  <si>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</si>
  <si>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</si>
  <si>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</si>
  <si>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</si>
  <si>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</si>
  <si>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</si>
  <si>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</si>
  <si>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</si>
  <si>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</si>
  <si>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</si>
  <si>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</si>
  <si>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</si>
  <si>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</si>
  <si>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</si>
  <si>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</si>
  <si>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</si>
  <si>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</si>
  <si>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</si>
  <si>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</si>
  <si>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</si>
  <si>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</si>
  <si>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</si>
  <si>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</si>
  <si>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</si>
  <si>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</si>
  <si>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</si>
  <si>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</si>
  <si>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</si>
  <si>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</si>
  <si>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</si>
  <si>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</si>
  <si>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</si>
  <si>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</si>
  <si>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</si>
  <si>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</si>
  <si>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</si>
  <si>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</si>
  <si>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</si>
  <si>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</si>
  <si>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</si>
  <si>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</si>
  <si>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</si>
  <si>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</si>
  <si>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</si>
  <si>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</si>
  <si>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</si>
  <si>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</si>
  <si>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</si>
  <si>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</si>
  <si>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</si>
  <si>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</si>
  <si>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</si>
  <si>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</si>
  <si>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</si>
  <si>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</si>
  <si>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</si>
  <si>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</si>
  <si>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</si>
  <si>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</si>
  <si>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</si>
  <si>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</si>
  <si>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</si>
  <si>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</si>
  <si>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</si>
  <si>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</si>
  <si>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</si>
  <si>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</si>
  <si>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</si>
  <si>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</si>
  <si>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</si>
  <si>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</si>
  <si>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</si>
  <si>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</si>
  <si>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</si>
  <si>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</si>
  <si>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</si>
  <si>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</si>
  <si>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</si>
  <si>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</si>
  <si>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</si>
  <si>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</si>
  <si>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</si>
  <si>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</si>
  <si>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</si>
  <si>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</si>
  <si>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</si>
  <si>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</si>
  <si>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</si>
  <si>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</si>
  <si>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</si>
  <si>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</si>
  <si>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</si>
  <si>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</si>
  <si>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</si>
  <si>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</si>
  <si>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</si>
  <si>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</si>
  <si>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</si>
  <si>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</si>
  <si>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</si>
  <si>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</si>
  <si>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</si>
  <si>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</si>
  <si>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</si>
  <si>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</si>
  <si>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</si>
  <si>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</si>
  <si>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</si>
  <si>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</si>
  <si>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</si>
  <si>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</si>
  <si>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</si>
  <si>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</si>
  <si>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</si>
  <si>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</si>
  <si>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</si>
  <si>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</si>
  <si>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</si>
  <si>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</si>
  <si>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</si>
  <si>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</si>
  <si>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</si>
  <si>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</si>
  <si>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</si>
  <si>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</si>
  <si>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</si>
  <si>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</si>
  <si>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</si>
  <si>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</si>
  <si>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</si>
  <si>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</si>
  <si>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</si>
  <si>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</si>
  <si>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</si>
  <si>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</si>
  <si>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</si>
  <si>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</si>
  <si>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</si>
  <si>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</si>
  <si>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</si>
  <si>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</si>
  <si>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</si>
  <si>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</si>
  <si>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</si>
  <si>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</si>
  <si>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</si>
  <si>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</si>
  <si>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</si>
  <si>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</si>
  <si>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</si>
  <si>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</si>
  <si>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</si>
  <si>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</si>
  <si>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</si>
  <si>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</si>
  <si>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</si>
  <si>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</si>
  <si>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</si>
  <si>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</si>
  <si>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</si>
  <si>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</si>
  <si>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</si>
  <si>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</si>
  <si>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</si>
  <si>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</si>
  <si>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</si>
  <si>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</si>
  <si>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</si>
  <si>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</si>
  <si>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</si>
  <si>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</si>
  <si>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</si>
  <si>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</si>
  <si>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</si>
  <si>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</si>
  <si>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</si>
  <si>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</si>
  <si>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</si>
  <si>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</si>
  <si>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</si>
  <si>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</si>
  <si>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</si>
  <si>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</si>
  <si>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</si>
  <si>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</si>
  <si>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</si>
  <si>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</si>
  <si>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</si>
  <si>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</si>
  <si>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</si>
  <si>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</si>
  <si>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</si>
  <si>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</si>
  <si>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</si>
  <si>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</si>
  <si>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</si>
  <si>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</si>
  <si>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</si>
  <si>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</si>
  <si>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</si>
  <si>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</si>
  <si>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</si>
  <si>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</si>
  <si>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</si>
  <si>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</si>
  <si>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</si>
  <si>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</si>
  <si>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</si>
  <si>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</si>
  <si>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</si>
  <si>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</si>
  <si>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</si>
  <si>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</si>
  <si>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</si>
  <si>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</si>
  <si>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</si>
  <si>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</si>
  <si>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</si>
  <si>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</si>
  <si>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</si>
  <si>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</si>
  <si>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</si>
  <si>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</si>
  <si>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</si>
  <si>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</si>
  <si>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</si>
  <si>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</si>
  <si>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</si>
  <si>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</si>
  <si>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</si>
  <si>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</si>
  <si>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</si>
  <si>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</si>
  <si>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</si>
  <si>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</si>
  <si>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</si>
  <si>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</si>
  <si>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</si>
  <si>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</si>
  <si>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</si>
  <si>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</si>
  <si>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</si>
  <si>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</si>
  <si>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</si>
  <si>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</si>
  <si>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</si>
  <si>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</si>
  <si>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</si>
  <si>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</si>
  <si>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</si>
  <si>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</si>
  <si>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</si>
  <si>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</si>
  <si>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</si>
  <si>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</si>
  <si>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</si>
  <si>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</si>
  <si>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</si>
  <si>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</si>
  <si>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</si>
  <si>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</si>
  <si>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</si>
  <si>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</si>
  <si>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</si>
  <si>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</si>
  <si>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</si>
  <si>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</si>
  <si>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</si>
  <si>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</si>
  <si>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</si>
  <si>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</si>
  <si>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</si>
  <si>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</si>
  <si>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</si>
  <si>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</si>
  <si>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</si>
  <si>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</si>
  <si>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</si>
  <si>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</si>
  <si>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</si>
  <si>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</si>
  <si>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</si>
  <si>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</si>
  <si>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</si>
  <si>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</si>
  <si>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</si>
  <si>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</si>
  <si>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</si>
  <si>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</si>
  <si>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</si>
  <si>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</si>
  <si>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</si>
  <si>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</si>
  <si>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</si>
  <si>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</si>
  <si>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</si>
  <si>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</si>
  <si>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</si>
  <si>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</si>
  <si>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</si>
  <si>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</si>
  <si>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</si>
  <si>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</si>
  <si>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</si>
  <si>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</si>
  <si>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</si>
  <si>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</si>
  <si>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</si>
  <si>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</si>
  <si>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</si>
  <si>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</si>
  <si>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</si>
  <si>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</si>
  <si>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</si>
  <si>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</si>
  <si>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</si>
  <si>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</si>
  <si>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</si>
  <si>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</si>
  <si>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</si>
  <si>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</si>
  <si>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</si>
  <si>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</si>
  <si>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</si>
  <si>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</si>
  <si>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</si>
  <si>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</si>
  <si>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</si>
  <si>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</si>
  <si>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</si>
  <si>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</si>
  <si>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</si>
  <si>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</si>
  <si>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</si>
  <si>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</si>
  <si>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</si>
  <si>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</si>
  <si>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</si>
  <si>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</si>
  <si>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</si>
  <si>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</si>
  <si>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</si>
  <si>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</si>
  <si>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</si>
  <si>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</si>
  <si>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</si>
  <si>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</si>
  <si>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</si>
  <si>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</si>
  <si>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</si>
  <si>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</si>
  <si>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</si>
  <si>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</si>
  <si>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</si>
  <si>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</si>
  <si>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</si>
  <si>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</si>
  <si>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</si>
  <si>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</si>
  <si>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</si>
  <si>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</si>
  <si>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</si>
  <si>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</si>
  <si>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</si>
  <si>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</si>
  <si>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</si>
  <si>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</si>
  <si>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</si>
  <si>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</si>
  <si>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</si>
  <si>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</si>
  <si>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</si>
  <si>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</si>
  <si>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</si>
  <si>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</si>
  <si>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</si>
  <si>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</si>
  <si>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</si>
  <si>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</si>
  <si>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</si>
  <si>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</si>
  <si>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</si>
  <si>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</si>
  <si>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</si>
  <si>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</si>
  <si>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</si>
  <si>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</si>
  <si>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</si>
  <si>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</si>
  <si>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</si>
  <si>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</si>
  <si>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</si>
  <si>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</si>
  <si>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</si>
  <si>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</si>
  <si>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</si>
  <si>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</si>
  <si>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</si>
  <si>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</si>
  <si>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</si>
  <si>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</si>
  <si>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</si>
  <si>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</si>
  <si>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</si>
  <si>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</si>
  <si>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</si>
  <si>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</si>
  <si>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</si>
  <si>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</si>
  <si>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</si>
  <si>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</si>
  <si>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</si>
  <si>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</si>
  <si>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</si>
  <si>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</si>
  <si>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</si>
  <si>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</si>
  <si>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</si>
  <si>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</si>
  <si>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</si>
  <si>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</si>
  <si>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</si>
  <si>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</si>
  <si>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</si>
  <si>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</si>
  <si>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</si>
  <si>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</si>
  <si>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</si>
  <si>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</si>
  <si>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</si>
  <si>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</si>
  <si>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</si>
  <si>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</si>
  <si>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</si>
  <si>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</si>
  <si>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</si>
  <si>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</si>
  <si>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</si>
  <si>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</si>
  <si>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</si>
  <si>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</si>
  <si>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</si>
  <si>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</si>
  <si>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</si>
  <si>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</si>
  <si>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</si>
  <si>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</si>
  <si>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</si>
  <si>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</si>
  <si>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</si>
  <si>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</si>
  <si>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</si>
  <si>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</si>
  <si>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</si>
  <si>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</si>
  <si>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</si>
  <si>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</si>
  <si>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</si>
  <si>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</si>
  <si>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</si>
  <si>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</si>
  <si>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</si>
  <si>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</si>
  <si>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</si>
  <si>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</si>
  <si>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</si>
  <si>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</si>
  <si>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</si>
  <si>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</si>
  <si>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</si>
  <si>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</si>
  <si>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</si>
  <si>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</si>
  <si>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</si>
  <si>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</si>
  <si>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</si>
  <si>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</si>
  <si>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</si>
  <si>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</si>
  <si>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</si>
  <si>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</si>
  <si>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</si>
  <si>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</si>
  <si>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</si>
  <si>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</si>
  <si>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</si>
  <si>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</si>
  <si>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</si>
  <si>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</si>
  <si>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</si>
  <si>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</si>
  <si>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</si>
  <si>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</si>
  <si>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</si>
  <si>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</si>
  <si>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</si>
  <si>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</si>
  <si>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</si>
  <si>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</si>
  <si>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</si>
  <si>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</si>
  <si>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</si>
  <si>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</si>
  <si>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</si>
  <si>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</si>
  <si>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</si>
  <si>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</si>
  <si>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</si>
  <si>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</si>
  <si>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</si>
  <si>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</si>
  <si>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</si>
  <si>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</si>
  <si>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</si>
  <si>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</si>
  <si>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</si>
  <si>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</si>
  <si>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</si>
  <si>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</si>
  <si>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</si>
  <si>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</si>
  <si>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</si>
  <si>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</si>
  <si>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</si>
  <si>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</si>
  <si>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</si>
  <si>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</si>
  <si>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</si>
  <si>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</si>
  <si>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</si>
  <si>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</si>
  <si>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</si>
  <si>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</si>
  <si>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</si>
  <si>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</si>
  <si>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</si>
  <si>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</si>
  <si>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</si>
  <si>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</si>
  <si>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</si>
  <si>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</si>
  <si>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</si>
  <si>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</si>
  <si>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</si>
  <si>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</si>
  <si>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</si>
  <si>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</si>
  <si>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</si>
  <si>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</si>
  <si>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</si>
  <si>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</si>
  <si>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</si>
  <si>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</si>
  <si>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</si>
  <si>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</si>
  <si>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</si>
  <si>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</si>
  <si>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</si>
  <si>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</si>
  <si>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</si>
  <si>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</si>
  <si>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</si>
  <si>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</si>
  <si>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</si>
  <si>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</si>
  <si>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</si>
  <si>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</si>
  <si>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</si>
  <si>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</si>
  <si>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</si>
  <si>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</si>
  <si>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</si>
  <si>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</si>
  <si>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</si>
  <si>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</si>
  <si>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</si>
  <si>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</si>
  <si>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</si>
  <si>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</si>
  <si>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</si>
  <si>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</si>
  <si>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</si>
  <si>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</si>
  <si>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</si>
  <si>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</si>
  <si>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</si>
  <si>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</si>
  <si>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</si>
  <si>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</si>
  <si>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</si>
  <si>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</si>
  <si>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</si>
  <si>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</si>
  <si>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</si>
  <si>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</si>
  <si>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</si>
  <si>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</si>
  <si>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</si>
  <si>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</si>
  <si>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</si>
  <si>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</si>
  <si>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</si>
  <si>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</si>
  <si>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</si>
  <si>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</si>
  <si>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</si>
  <si>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</si>
  <si>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</si>
  <si>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</si>
  <si>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</si>
  <si>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</si>
  <si>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</si>
  <si>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</si>
  <si>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</si>
  <si>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</si>
  <si>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</si>
  <si>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</si>
  <si>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</si>
  <si>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</si>
  <si>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</si>
  <si>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</si>
  <si>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</si>
  <si>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</si>
  <si>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</si>
  <si>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</si>
  <si>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</si>
  <si>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</si>
  <si>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</si>
  <si>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</si>
  <si>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</si>
  <si>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</si>
  <si>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</si>
  <si>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</si>
  <si>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</si>
  <si>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</si>
  <si>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</si>
  <si>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</si>
  <si>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</si>
  <si>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</si>
  <si>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</si>
  <si>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</si>
  <si>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</si>
  <si>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</si>
  <si>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</si>
  <si>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</si>
  <si>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</si>
  <si>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</si>
  <si>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</si>
  <si>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</si>
  <si>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</si>
  <si>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</si>
  <si>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</si>
  <si>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</si>
  <si>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</si>
  <si>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</si>
  <si>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</si>
  <si>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</si>
  <si>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</si>
  <si>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</si>
  <si>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</si>
  <si>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</si>
  <si>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</si>
  <si>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</si>
  <si>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</si>
  <si>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</si>
  <si>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</si>
  <si>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</si>
  <si>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</si>
  <si>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</si>
  <si>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</si>
  <si>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</si>
  <si>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</si>
  <si>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</si>
  <si>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</si>
  <si>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</si>
  <si>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</si>
  <si>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</si>
  <si>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</si>
  <si>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</si>
  <si>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</si>
  <si>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</si>
  <si>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</si>
  <si>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</si>
  <si>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</si>
  <si>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</si>
  <si>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</si>
  <si>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</si>
  <si>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</si>
  <si>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</si>
  <si>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</si>
  <si>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</si>
  <si>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</si>
  <si>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</si>
  <si>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</si>
  <si>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</si>
  <si>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</si>
  <si>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</si>
  <si>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</si>
  <si>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</si>
  <si>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</si>
  <si>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</si>
  <si>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</si>
  <si>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</si>
  <si>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</si>
  <si>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</si>
  <si>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</si>
  <si>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</si>
  <si>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</si>
  <si>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</si>
  <si>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</si>
  <si>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</si>
  <si>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</si>
  <si>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</si>
  <si>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</si>
  <si>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</si>
  <si>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</si>
  <si>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</si>
  <si>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</si>
  <si>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</si>
  <si>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</si>
  <si>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</si>
  <si>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</si>
  <si>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</si>
  <si>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</si>
  <si>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</si>
  <si>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</si>
  <si>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</si>
  <si>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</si>
  <si>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</si>
  <si>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</si>
  <si>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</si>
  <si>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</si>
  <si>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</si>
  <si>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</si>
  <si>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</si>
  <si>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</si>
  <si>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</si>
  <si>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</si>
  <si>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</si>
  <si>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</si>
  <si>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</si>
  <si>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</si>
  <si>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</si>
  <si>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</si>
  <si>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</si>
  <si>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</si>
  <si>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</si>
  <si>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</si>
  <si>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</si>
  <si>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</si>
  <si>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</si>
  <si>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</si>
  <si>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</si>
  <si>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</si>
  <si>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</si>
  <si>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</si>
  <si>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</si>
  <si>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</si>
  <si>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</si>
  <si>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</si>
  <si>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</si>
  <si>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</si>
  <si>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</si>
  <si>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</si>
  <si>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</si>
  <si>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</si>
  <si>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</si>
  <si>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</si>
  <si>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</si>
  <si>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</si>
  <si>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</si>
  <si>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</si>
  <si>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</si>
  <si>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</si>
  <si>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</si>
  <si>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</si>
  <si>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</si>
  <si>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</si>
  <si>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</si>
  <si>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</si>
  <si>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</si>
  <si>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</si>
  <si>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</si>
  <si>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</si>
  <si>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</si>
  <si>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</si>
  <si>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</si>
  <si>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</si>
  <si>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</si>
  <si>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</si>
  <si>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</si>
  <si>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</si>
  <si>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</si>
  <si>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</si>
  <si>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</si>
  <si>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</si>
  <si>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</si>
  <si>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</si>
  <si>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</si>
  <si>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</si>
  <si>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</si>
  <si>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</si>
  <si>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</si>
  <si>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</si>
  <si>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</si>
  <si>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</si>
  <si>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</si>
  <si>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</si>
  <si>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</si>
  <si>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</si>
  <si>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</si>
  <si>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</si>
  <si>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</si>
  <si>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</si>
  <si>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</si>
  <si>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</si>
  <si>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</si>
  <si>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</si>
  <si>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</si>
  <si>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</si>
  <si>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</si>
  <si>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</si>
  <si>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</si>
  <si>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</si>
  <si>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</si>
  <si>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</si>
  <si>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</si>
  <si>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</si>
  <si>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</si>
  <si>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</si>
  <si>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</si>
  <si>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</si>
  <si>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</si>
  <si>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</si>
  <si>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</si>
  <si>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</si>
  <si>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</si>
  <si>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</si>
  <si>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</si>
  <si>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</si>
  <si>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</si>
  <si>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</si>
  <si>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</si>
  <si>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</si>
  <si>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</si>
  <si>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</si>
  <si>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</si>
  <si>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</si>
  <si>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</si>
  <si>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</si>
  <si>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</si>
  <si>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</si>
  <si>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</si>
  <si>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</si>
  <si>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</si>
  <si>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</si>
  <si>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</si>
  <si>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</si>
  <si>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</si>
  <si>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</si>
  <si>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</si>
  <si>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</si>
  <si>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</si>
  <si>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</si>
  <si>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</si>
  <si>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</si>
  <si>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</si>
  <si>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</si>
  <si>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</si>
  <si>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</si>
  <si>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</si>
  <si>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</si>
  <si>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</si>
  <si>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</si>
  <si>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</si>
  <si>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</si>
  <si>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</si>
  <si>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</si>
  <si>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</si>
  <si>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</si>
  <si>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</si>
  <si>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</si>
  <si>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</si>
  <si>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</si>
  <si>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</si>
  <si>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</si>
  <si>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</si>
  <si>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</si>
  <si>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</si>
  <si>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</si>
  <si>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</si>
  <si>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</si>
  <si>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</si>
  <si>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</si>
  <si>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</si>
  <si>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</si>
  <si>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</si>
  <si>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</si>
  <si>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</si>
  <si>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</si>
  <si>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</si>
  <si>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</si>
  <si>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</si>
  <si>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</si>
  <si>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</si>
  <si>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</si>
  <si>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</si>
  <si>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</si>
  <si>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</si>
  <si>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</si>
  <si>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</si>
  <si>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</si>
  <si>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</si>
  <si>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</si>
  <si>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</si>
  <si>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</si>
  <si>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</si>
  <si>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</si>
  <si>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</si>
  <si>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</si>
  <si>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</si>
  <si>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</si>
  <si>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</si>
  <si>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</si>
  <si>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</si>
  <si>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</si>
  <si>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</si>
  <si>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</si>
  <si>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</si>
  <si>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</si>
  <si>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</si>
  <si>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</si>
  <si>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</si>
  <si>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</si>
  <si>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</si>
  <si>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</si>
  <si>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</si>
  <si>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</si>
  <si>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</si>
  <si>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</si>
  <si>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</si>
  <si>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</si>
  <si>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</si>
  <si>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</si>
  <si>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</si>
  <si>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</si>
  <si>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</si>
  <si>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</si>
  <si>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</si>
  <si>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</si>
  <si>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</si>
  <si>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</si>
  <si>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</si>
  <si>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</si>
  <si>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</si>
  <si>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</si>
  <si>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</si>
  <si>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</si>
  <si>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</si>
  <si>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</si>
  <si>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</si>
  <si>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</si>
  <si>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</si>
  <si>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</si>
  <si>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</si>
  <si>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</si>
  <si>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</si>
  <si>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</si>
  <si>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</si>
  <si>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</si>
  <si>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</si>
  <si>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</si>
  <si>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</si>
  <si>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</si>
  <si>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</si>
  <si>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</si>
  <si>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</si>
  <si>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</si>
  <si>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</si>
  <si>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</si>
  <si>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</si>
  <si>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</si>
  <si>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</si>
  <si>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</si>
  <si>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</si>
  <si>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</si>
  <si>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</si>
  <si>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</si>
  <si>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</si>
  <si>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</si>
  <si>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</si>
  <si>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</si>
  <si>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</si>
  <si>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</si>
  <si>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</si>
  <si>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</si>
  <si>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</si>
  <si>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</si>
  <si>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</si>
  <si>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</si>
  <si>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</si>
  <si>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</si>
  <si>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</si>
  <si>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</si>
  <si>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</si>
  <si>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</si>
  <si>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</si>
  <si>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</si>
  <si>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</si>
  <si>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</si>
  <si>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</si>
  <si>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</si>
  <si>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</si>
  <si>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</si>
  <si>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</si>
  <si>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</si>
  <si>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</si>
  <si>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</si>
  <si>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</si>
  <si>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</si>
  <si>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</si>
  <si>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</si>
  <si>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</si>
  <si>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</si>
  <si>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</si>
  <si>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</si>
  <si>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</si>
  <si>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</si>
  <si>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</si>
  <si>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</si>
  <si>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</si>
  <si>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</si>
  <si>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</si>
  <si>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</si>
  <si>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</si>
  <si>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</si>
  <si>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</si>
  <si>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</si>
  <si>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</si>
  <si>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</si>
  <si>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</si>
  <si>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</si>
  <si>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</si>
  <si>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</si>
  <si>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</si>
  <si>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</si>
  <si>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</si>
  <si>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</si>
  <si>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</si>
  <si>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</si>
  <si>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</si>
  <si>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</si>
  <si>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</si>
  <si>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</si>
  <si>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</si>
  <si>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</si>
  <si>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</si>
  <si>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</si>
  <si>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</si>
  <si>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</si>
  <si>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</si>
  <si>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</si>
  <si>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</si>
  <si>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</si>
  <si>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</si>
  <si>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</si>
  <si>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</si>
  <si>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</si>
  <si>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</si>
  <si>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</si>
  <si>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</si>
  <si>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</si>
  <si>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</si>
  <si>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</si>
  <si>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</si>
  <si>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</si>
  <si>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</si>
  <si>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</si>
  <si>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</si>
  <si>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</si>
  <si>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</si>
  <si>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</si>
  <si>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Data Cleaning Audit</t>
  </si>
  <si>
    <t>Live formulas referencing RawData — recalculates automatically if source data changes.</t>
  </si>
  <si>
    <t>1. Missing / null values per column</t>
  </si>
  <si>
    <t>Column</t>
  </si>
  <si>
    <t>Missing count</t>
  </si>
  <si>
    <t>% missing</t>
  </si>
  <si>
    <t>Status</t>
  </si>
  <si>
    <t>2. Duplicate checks</t>
  </si>
  <si>
    <t>Check</t>
  </si>
  <si>
    <t>Result</t>
  </si>
  <si>
    <t>Duplicate OrderID rows</t>
  </si>
  <si>
    <t>Duplicate TrackingNumber rows</t>
  </si>
  <si>
    <t>3. Data format &amp; value validation</t>
  </si>
  <si>
    <t>Rows where TotalPrice ≠ Quantity × UnitPrice</t>
  </si>
  <si>
    <t>Negative or zero Quantity</t>
  </si>
  <si>
    <t>Negative or zero UnitPrice</t>
  </si>
  <si>
    <t>Dates outside expected range (2023–2025)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</si>
</sst>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0F6E56"/>
      <name val="Arial"/>
      <charset val="1"/>
    </font>
    <font>
      <i/>
      <sz val="10"/>
      <color rgb="FF5F5E5A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F1EFE8"/>
        <bgColor rgb="FFFFFFFF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2" fillId="0" borderId="0" xfId="0" applyFont="1"/>
    <xf numFmtId="0" fontId="1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0" xfId="0" applyFont="1"/>
    <xf numFmtId="0" fontId="4" fillId="0" borderId="0" xfId="0" applyFont="1"/>
    <xf numFmtId="164" fontId="0" fillId="0" borderId="0" xfId="0" applyNumberFormat="1"/>
    <xf numFmtId="0" fontId="4" fillId="0" borderId="1" xfId="0" applyFont="1" applyBorder="1"/>
    <xf numFmtId="165" fontId="4" fillId="0" borderId="1" xfId="0" applyNumberFormat="1" applyFont="1" applyBorder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D3D1C7"/>
      <rgbColor rgb="FF808080"/>
      <rgbColor rgb="FF9999FF"/>
      <rgbColor rgb="FF993366"/>
      <rgbColor rgb="FFF1EF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zoomScaleNormal="100" workbookViewId="0"/>
  </sheetViews>
  <sheetFormatPr defaultColWidth="8.6640625" defaultRowHeight="14.4" x14ac:dyDescent="0.3"/>
  <cols>
    <col min="1" max="1" width="16" customWidth="1"/>
    <col min="2" max="6" width="18" customWidth="1"/>
  </cols>
  <sheetData>
    <row r="1" spans="1:6" ht="17.399999999999999" x14ac:dyDescent="0.3">
      <c r="A1" s="3" t="s">
        <v>0</v>
      </c>
      <c r="B1" s="3"/>
      <c r="C1" s="3"/>
      <c r="D1" s="3"/>
      <c r="E1" s="3"/>
      <c r="F1" s="3"/>
    </row>
    <row r="2" spans="1:6" x14ac:dyDescent="0.3">
      <c r="A2" s="2" t="s">
        <v>1</v>
      </c>
      <c r="B2" s="2"/>
      <c r="C2" s="2"/>
      <c r="D2" s="2"/>
      <c r="E2" s="2"/>
      <c r="F2" s="2"/>
    </row>
    <row r="4" spans="1:6" x14ac:dyDescent="0.3">
      <c r="A4" s="4" t="s">
        <v>2</v>
      </c>
      <c r="B4" s="4" t="s">
        <v>3</v>
      </c>
    </row>
    <row r="5" spans="1:6" x14ac:dyDescent="0.3">
      <c r="A5" s="5" t="s">
        <v>4</v>
      </c>
      <c r="B5" s="5" t="s">
        <v>5</v>
      </c>
    </row>
    <row r="6" spans="1:6" x14ac:dyDescent="0.3">
      <c r="A6" s="5" t="s">
        <v>6</v>
      </c>
      <c r="B6" s="5" t="s">
        <v>7</v>
      </c>
    </row>
    <row r="7" spans="1:6" x14ac:dyDescent="0.3">
      <c r="A7" s="5" t="s">
        <v>8</v>
      </c>
      <c r="B7" s="5" t="s">
        <v>9</v>
      </c>
    </row>
    <row r="9" spans="1:6" ht="15.6" x14ac:dyDescent="0.3">
      <c r="A9" s="6" t="s">
        <v>10</v>
      </c>
    </row>
    <row r="10" spans="1:6" ht="27.75" customHeight="1" x14ac:dyDescent="0.3">
      <c r="A10" s="1" t="s">
        <v>11</v>
      </c>
      <c r="B10" s="1"/>
      <c r="C10" s="1"/>
      <c r="D10" s="1"/>
      <c r="E10" s="1"/>
      <c r="F10" s="1"/>
    </row>
    <row r="11" spans="1:6" ht="27.75" customHeight="1" x14ac:dyDescent="0.3">
      <c r="A11" s="1" t="s">
        <v>12</v>
      </c>
      <c r="B11" s="1"/>
      <c r="C11" s="1"/>
      <c r="D11" s="1"/>
      <c r="E11" s="1"/>
      <c r="F11" s="1"/>
    </row>
    <row r="12" spans="1:6" ht="27.75" customHeight="1" x14ac:dyDescent="0.3">
      <c r="A12" s="1" t="s">
        <v>13</v>
      </c>
      <c r="B12" s="1"/>
      <c r="C12" s="1"/>
      <c r="D12" s="1"/>
      <c r="E12" s="1"/>
      <c r="F12" s="1"/>
    </row>
    <row r="13" spans="1:6" ht="27.75" customHeight="1" x14ac:dyDescent="0.3">
      <c r="A13" s="1" t="s">
        <v>14</v>
      </c>
      <c r="B13" s="1"/>
      <c r="C13" s="1"/>
      <c r="D13" s="1"/>
      <c r="E13" s="1"/>
      <c r="F13" s="1"/>
    </row>
    <row r="14" spans="1:6" ht="27.75" customHeight="1" x14ac:dyDescent="0.3">
      <c r="A14" s="1" t="s">
        <v>15</v>
      </c>
      <c r="B14" s="1"/>
      <c r="C14" s="1"/>
      <c r="D14" s="1"/>
      <c r="E14" s="1"/>
      <c r="F14" s="1"/>
    </row>
  </sheetData>
  <mergeCells count="7">
    <mergeCell ref="A13:F13"/>
    <mergeCell ref="A14:F14"/>
    <mergeCell ref="A1:F1"/>
    <mergeCell ref="A2:F2"/>
    <mergeCell ref="A10:F10"/>
    <mergeCell ref="A11:F11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6" width="14" customWidth="1"/>
    <col min="7" max="7" width="19" customWidth="1"/>
    <col min="8" max="8" width="17" customWidth="1"/>
    <col min="9" max="9" width="15" customWidth="1"/>
    <col min="10" max="10" width="18" customWidth="1"/>
    <col min="11" max="11" width="15" customWidth="1"/>
    <col min="12" max="12" width="14" customWidth="1"/>
    <col min="13" max="13" width="18" customWidth="1"/>
    <col min="14" max="14" width="14" customWidth="1"/>
  </cols>
  <sheetData>
    <row r="1" spans="1:14" x14ac:dyDescent="0.3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</row>
    <row r="2" spans="1:14" x14ac:dyDescent="0.3">
      <c r="A2" t="s">
        <v>30</v>
      </c>
      <c r="B2" s="8">
        <v>44930</v>
      </c>
      <c r="C2" t="s">
        <v>31</v>
      </c>
      <c r="D2" t="s">
        <v>32</v>
      </c>
      <c r="E2">
        <v>5</v>
      </c>
      <c r="F2">
        <v>570.62</v>
      </c>
      <c r="G2" t="s">
        <v>33</v>
      </c>
      <c r="H2" t="s">
        <v>34</v>
      </c>
      <c r="I2" t="s">
        <v>35</v>
      </c>
      <c r="J2" t="s">
        <v>36</v>
      </c>
      <c r="K2">
        <v>7</v>
      </c>
      <c r="L2" t="s">
        <v>37</v>
      </c>
      <c r="M2" t="s">
        <v>38</v>
      </c>
      <c r="N2">
        <v>2853.1</v>
      </c>
    </row>
    <row r="3" spans="1:14" x14ac:dyDescent="0.3">
      <c r="A3" t="s">
        <v>39</v>
      </c>
      <c r="B3" s="8">
        <v>45527</v>
      </c>
      <c r="C3" t="s">
        <v>40</v>
      </c>
      <c r="D3" t="s">
        <v>41</v>
      </c>
      <c r="E3">
        <v>2</v>
      </c>
      <c r="F3">
        <v>151.35</v>
      </c>
      <c r="G3" t="s">
        <v>42</v>
      </c>
      <c r="H3" t="s">
        <v>43</v>
      </c>
      <c r="I3" t="s">
        <v>35</v>
      </c>
      <c r="J3" t="s">
        <v>44</v>
      </c>
      <c r="K3">
        <v>3</v>
      </c>
      <c r="L3" t="s">
        <v>37</v>
      </c>
      <c r="M3" t="s">
        <v>45</v>
      </c>
      <c r="N3">
        <v>302.7</v>
      </c>
    </row>
    <row r="4" spans="1:14" x14ac:dyDescent="0.3">
      <c r="A4" t="s">
        <v>46</v>
      </c>
      <c r="B4" s="8">
        <v>45349</v>
      </c>
      <c r="C4" t="s">
        <v>47</v>
      </c>
      <c r="D4" t="s">
        <v>48</v>
      </c>
      <c r="E4">
        <v>5</v>
      </c>
      <c r="F4">
        <v>550.67999999999995</v>
      </c>
      <c r="G4" t="s">
        <v>49</v>
      </c>
      <c r="H4" t="s">
        <v>50</v>
      </c>
      <c r="I4" t="s">
        <v>51</v>
      </c>
      <c r="J4" t="s">
        <v>52</v>
      </c>
      <c r="K4">
        <v>8</v>
      </c>
      <c r="L4" t="s">
        <v>53</v>
      </c>
      <c r="M4" t="s">
        <v>54</v>
      </c>
      <c r="N4">
        <v>2753.4</v>
      </c>
    </row>
    <row r="5" spans="1:14" x14ac:dyDescent="0.3">
      <c r="A5" t="s">
        <v>55</v>
      </c>
      <c r="B5" s="8">
        <v>45214</v>
      </c>
      <c r="C5" t="s">
        <v>56</v>
      </c>
      <c r="D5" t="s">
        <v>57</v>
      </c>
      <c r="E5">
        <v>1</v>
      </c>
      <c r="F5">
        <v>273.19</v>
      </c>
      <c r="G5" t="s">
        <v>58</v>
      </c>
      <c r="H5" t="s">
        <v>34</v>
      </c>
      <c r="I5" t="s">
        <v>59</v>
      </c>
      <c r="J5" t="s">
        <v>60</v>
      </c>
      <c r="K5">
        <v>5</v>
      </c>
      <c r="L5" t="s">
        <v>37</v>
      </c>
      <c r="M5" t="s">
        <v>61</v>
      </c>
      <c r="N5">
        <v>273.19</v>
      </c>
    </row>
    <row r="6" spans="1:14" x14ac:dyDescent="0.3">
      <c r="A6" t="s">
        <v>62</v>
      </c>
      <c r="B6" s="8">
        <v>45785</v>
      </c>
      <c r="C6" t="s">
        <v>63</v>
      </c>
      <c r="D6" t="s">
        <v>64</v>
      </c>
      <c r="E6">
        <v>4</v>
      </c>
      <c r="F6">
        <v>626.01</v>
      </c>
      <c r="G6" t="s">
        <v>65</v>
      </c>
      <c r="H6" t="s">
        <v>43</v>
      </c>
      <c r="I6" t="s">
        <v>66</v>
      </c>
      <c r="J6" t="s">
        <v>67</v>
      </c>
      <c r="K6">
        <v>8</v>
      </c>
      <c r="L6" t="s">
        <v>37</v>
      </c>
      <c r="M6" t="s">
        <v>54</v>
      </c>
      <c r="N6">
        <v>2504.04</v>
      </c>
    </row>
    <row r="7" spans="1:14" x14ac:dyDescent="0.3">
      <c r="A7" t="s">
        <v>68</v>
      </c>
      <c r="B7" s="8">
        <v>45222</v>
      </c>
      <c r="C7" t="s">
        <v>69</v>
      </c>
      <c r="D7" t="s">
        <v>41</v>
      </c>
      <c r="E7">
        <v>2</v>
      </c>
      <c r="F7">
        <v>245.86</v>
      </c>
      <c r="G7" t="s">
        <v>70</v>
      </c>
      <c r="H7" t="s">
        <v>50</v>
      </c>
      <c r="I7" t="s">
        <v>35</v>
      </c>
      <c r="J7" t="s">
        <v>71</v>
      </c>
      <c r="K7">
        <v>4</v>
      </c>
      <c r="L7" t="s">
        <v>37</v>
      </c>
      <c r="M7" t="s">
        <v>38</v>
      </c>
      <c r="N7">
        <v>491.72</v>
      </c>
    </row>
    <row r="8" spans="1:14" x14ac:dyDescent="0.3">
      <c r="A8" t="s">
        <v>72</v>
      </c>
      <c r="B8" s="8">
        <v>45825</v>
      </c>
      <c r="C8" t="s">
        <v>73</v>
      </c>
      <c r="D8" t="s">
        <v>74</v>
      </c>
      <c r="E8">
        <v>1</v>
      </c>
      <c r="F8">
        <v>664.42</v>
      </c>
      <c r="G8" t="s">
        <v>75</v>
      </c>
      <c r="H8" t="s">
        <v>76</v>
      </c>
      <c r="I8" t="s">
        <v>59</v>
      </c>
      <c r="J8" t="s">
        <v>77</v>
      </c>
      <c r="K8">
        <v>6</v>
      </c>
      <c r="L8" t="s">
        <v>37</v>
      </c>
      <c r="M8" t="s">
        <v>61</v>
      </c>
      <c r="N8">
        <v>664.42</v>
      </c>
    </row>
    <row r="9" spans="1:14" x14ac:dyDescent="0.3">
      <c r="A9" t="s">
        <v>78</v>
      </c>
      <c r="B9" s="8">
        <v>45058</v>
      </c>
      <c r="C9" t="s">
        <v>79</v>
      </c>
      <c r="D9" t="s">
        <v>32</v>
      </c>
      <c r="E9">
        <v>5</v>
      </c>
      <c r="F9">
        <v>149.55000000000001</v>
      </c>
      <c r="G9" t="s">
        <v>80</v>
      </c>
      <c r="H9" t="s">
        <v>81</v>
      </c>
      <c r="I9" t="s">
        <v>35</v>
      </c>
      <c r="J9" t="s">
        <v>82</v>
      </c>
      <c r="K9">
        <v>9</v>
      </c>
      <c r="L9" t="s">
        <v>53</v>
      </c>
      <c r="M9" t="s">
        <v>61</v>
      </c>
      <c r="N9">
        <v>747.75</v>
      </c>
    </row>
    <row r="10" spans="1:14" x14ac:dyDescent="0.3">
      <c r="A10" t="s">
        <v>83</v>
      </c>
      <c r="B10" s="8">
        <v>45749</v>
      </c>
      <c r="C10" t="s">
        <v>84</v>
      </c>
      <c r="D10" t="s">
        <v>41</v>
      </c>
      <c r="E10">
        <v>2</v>
      </c>
      <c r="F10">
        <v>134.28</v>
      </c>
      <c r="G10" t="s">
        <v>85</v>
      </c>
      <c r="H10" t="s">
        <v>76</v>
      </c>
      <c r="I10" t="s">
        <v>51</v>
      </c>
      <c r="J10" t="s">
        <v>86</v>
      </c>
      <c r="K10">
        <v>2</v>
      </c>
      <c r="M10" t="s">
        <v>54</v>
      </c>
      <c r="N10">
        <v>268.56</v>
      </c>
    </row>
    <row r="11" spans="1:14" x14ac:dyDescent="0.3">
      <c r="A11" t="s">
        <v>87</v>
      </c>
      <c r="B11" s="8">
        <v>45251</v>
      </c>
      <c r="C11" t="s">
        <v>88</v>
      </c>
      <c r="D11" t="s">
        <v>89</v>
      </c>
      <c r="E11">
        <v>4</v>
      </c>
      <c r="F11">
        <v>509.38</v>
      </c>
      <c r="G11" t="s">
        <v>90</v>
      </c>
      <c r="H11" t="s">
        <v>50</v>
      </c>
      <c r="I11" t="s">
        <v>35</v>
      </c>
      <c r="J11" t="s">
        <v>91</v>
      </c>
      <c r="K11">
        <v>6</v>
      </c>
      <c r="L11" t="s">
        <v>37</v>
      </c>
      <c r="M11" t="s">
        <v>92</v>
      </c>
      <c r="N11">
        <v>2037.52</v>
      </c>
    </row>
    <row r="12" spans="1:14" x14ac:dyDescent="0.3">
      <c r="A12" t="s">
        <v>93</v>
      </c>
      <c r="B12" s="8">
        <v>45289</v>
      </c>
      <c r="C12" t="s">
        <v>94</v>
      </c>
      <c r="D12" t="s">
        <v>48</v>
      </c>
      <c r="E12">
        <v>5</v>
      </c>
      <c r="F12">
        <v>625.97</v>
      </c>
      <c r="G12" t="s">
        <v>95</v>
      </c>
      <c r="H12" t="s">
        <v>50</v>
      </c>
      <c r="I12" t="s">
        <v>59</v>
      </c>
      <c r="J12" t="s">
        <v>96</v>
      </c>
      <c r="K12">
        <v>9</v>
      </c>
      <c r="L12" t="s">
        <v>97</v>
      </c>
      <c r="M12" t="s">
        <v>38</v>
      </c>
      <c r="N12">
        <v>3129.85</v>
      </c>
    </row>
    <row r="13" spans="1:14" x14ac:dyDescent="0.3">
      <c r="A13" t="s">
        <v>98</v>
      </c>
      <c r="B13" s="8">
        <v>45339</v>
      </c>
      <c r="C13" t="s">
        <v>99</v>
      </c>
      <c r="D13" t="s">
        <v>32</v>
      </c>
      <c r="E13">
        <v>3</v>
      </c>
      <c r="F13">
        <v>49.14</v>
      </c>
      <c r="G13" t="s">
        <v>100</v>
      </c>
      <c r="H13" t="s">
        <v>43</v>
      </c>
      <c r="I13" t="s">
        <v>59</v>
      </c>
      <c r="J13" t="s">
        <v>101</v>
      </c>
      <c r="K13">
        <v>7</v>
      </c>
      <c r="L13" t="s">
        <v>37</v>
      </c>
      <c r="M13" t="s">
        <v>54</v>
      </c>
      <c r="N13">
        <v>147.41999999999999</v>
      </c>
    </row>
    <row r="14" spans="1:14" x14ac:dyDescent="0.3">
      <c r="A14" t="s">
        <v>102</v>
      </c>
      <c r="B14" s="8">
        <v>45580</v>
      </c>
      <c r="C14" t="s">
        <v>103</v>
      </c>
      <c r="D14" t="s">
        <v>32</v>
      </c>
      <c r="E14">
        <v>2</v>
      </c>
      <c r="F14">
        <v>180.5</v>
      </c>
      <c r="G14" t="s">
        <v>104</v>
      </c>
      <c r="H14" t="s">
        <v>34</v>
      </c>
      <c r="I14" t="s">
        <v>105</v>
      </c>
      <c r="J14" t="s">
        <v>106</v>
      </c>
      <c r="K14">
        <v>6</v>
      </c>
      <c r="L14" t="s">
        <v>53</v>
      </c>
      <c r="M14" t="s">
        <v>45</v>
      </c>
      <c r="N14">
        <v>361</v>
      </c>
    </row>
    <row r="15" spans="1:14" x14ac:dyDescent="0.3">
      <c r="A15" t="s">
        <v>107</v>
      </c>
      <c r="B15" s="8">
        <v>45168</v>
      </c>
      <c r="C15" t="s">
        <v>108</v>
      </c>
      <c r="D15" t="s">
        <v>74</v>
      </c>
      <c r="E15">
        <v>3</v>
      </c>
      <c r="F15">
        <v>201.49</v>
      </c>
      <c r="G15" t="s">
        <v>109</v>
      </c>
      <c r="H15" t="s">
        <v>50</v>
      </c>
      <c r="I15" t="s">
        <v>59</v>
      </c>
      <c r="J15" t="s">
        <v>110</v>
      </c>
      <c r="K15">
        <v>4</v>
      </c>
      <c r="L15" t="s">
        <v>53</v>
      </c>
      <c r="M15" t="s">
        <v>61</v>
      </c>
      <c r="N15">
        <v>604.47</v>
      </c>
    </row>
    <row r="16" spans="1:14" x14ac:dyDescent="0.3">
      <c r="A16" t="s">
        <v>111</v>
      </c>
      <c r="B16" s="8">
        <v>45012</v>
      </c>
      <c r="C16" t="s">
        <v>112</v>
      </c>
      <c r="D16" t="s">
        <v>48</v>
      </c>
      <c r="E16">
        <v>2</v>
      </c>
      <c r="F16">
        <v>393.33</v>
      </c>
      <c r="G16" t="s">
        <v>113</v>
      </c>
      <c r="H16" t="s">
        <v>34</v>
      </c>
      <c r="I16" t="s">
        <v>105</v>
      </c>
      <c r="J16" t="s">
        <v>114</v>
      </c>
      <c r="K16">
        <v>3</v>
      </c>
      <c r="L16" t="s">
        <v>37</v>
      </c>
      <c r="M16" t="s">
        <v>38</v>
      </c>
      <c r="N16">
        <v>786.66</v>
      </c>
    </row>
    <row r="17" spans="1:14" x14ac:dyDescent="0.3">
      <c r="A17" t="s">
        <v>115</v>
      </c>
      <c r="B17" s="8">
        <v>45124</v>
      </c>
      <c r="C17" t="s">
        <v>116</v>
      </c>
      <c r="D17" t="s">
        <v>64</v>
      </c>
      <c r="E17">
        <v>1</v>
      </c>
      <c r="F17">
        <v>473.96</v>
      </c>
      <c r="G17" t="s">
        <v>117</v>
      </c>
      <c r="H17" t="s">
        <v>81</v>
      </c>
      <c r="I17" t="s">
        <v>66</v>
      </c>
      <c r="J17" t="s">
        <v>118</v>
      </c>
      <c r="K17">
        <v>3</v>
      </c>
      <c r="M17" t="s">
        <v>92</v>
      </c>
      <c r="N17">
        <v>473.96</v>
      </c>
    </row>
    <row r="18" spans="1:14" x14ac:dyDescent="0.3">
      <c r="A18" t="s">
        <v>119</v>
      </c>
      <c r="B18" s="8">
        <v>44950</v>
      </c>
      <c r="C18" t="s">
        <v>120</v>
      </c>
      <c r="D18" t="s">
        <v>64</v>
      </c>
      <c r="E18">
        <v>2</v>
      </c>
      <c r="F18">
        <v>533.80999999999995</v>
      </c>
      <c r="G18" t="s">
        <v>121</v>
      </c>
      <c r="H18" t="s">
        <v>50</v>
      </c>
      <c r="I18" t="s">
        <v>105</v>
      </c>
      <c r="J18" t="s">
        <v>122</v>
      </c>
      <c r="K18">
        <v>3</v>
      </c>
      <c r="L18" t="s">
        <v>53</v>
      </c>
      <c r="M18" t="s">
        <v>54</v>
      </c>
      <c r="N18">
        <v>1067.6199999999999</v>
      </c>
    </row>
    <row r="19" spans="1:14" x14ac:dyDescent="0.3">
      <c r="A19" t="s">
        <v>123</v>
      </c>
      <c r="B19" s="8">
        <v>45353</v>
      </c>
      <c r="C19" t="s">
        <v>124</v>
      </c>
      <c r="D19" t="s">
        <v>48</v>
      </c>
      <c r="E19">
        <v>1</v>
      </c>
      <c r="F19">
        <v>423.4</v>
      </c>
      <c r="G19" t="s">
        <v>125</v>
      </c>
      <c r="H19" t="s">
        <v>34</v>
      </c>
      <c r="I19" t="s">
        <v>35</v>
      </c>
      <c r="J19" t="s">
        <v>126</v>
      </c>
      <c r="K19">
        <v>3</v>
      </c>
      <c r="M19" t="s">
        <v>45</v>
      </c>
      <c r="N19">
        <v>423.4</v>
      </c>
    </row>
    <row r="20" spans="1:14" x14ac:dyDescent="0.3">
      <c r="A20" t="s">
        <v>127</v>
      </c>
      <c r="B20" s="8">
        <v>45742</v>
      </c>
      <c r="C20" t="s">
        <v>128</v>
      </c>
      <c r="D20" t="s">
        <v>89</v>
      </c>
      <c r="E20">
        <v>1</v>
      </c>
      <c r="F20">
        <v>431.44</v>
      </c>
      <c r="G20" t="s">
        <v>129</v>
      </c>
      <c r="H20" t="s">
        <v>76</v>
      </c>
      <c r="I20" t="s">
        <v>105</v>
      </c>
      <c r="J20" t="s">
        <v>130</v>
      </c>
      <c r="K20">
        <v>3</v>
      </c>
      <c r="L20" t="s">
        <v>37</v>
      </c>
      <c r="M20" t="s">
        <v>61</v>
      </c>
      <c r="N20">
        <v>431.44</v>
      </c>
    </row>
    <row r="21" spans="1:14" x14ac:dyDescent="0.3">
      <c r="A21" t="s">
        <v>131</v>
      </c>
      <c r="B21" s="8">
        <v>44949</v>
      </c>
      <c r="C21" t="s">
        <v>132</v>
      </c>
      <c r="D21" t="s">
        <v>32</v>
      </c>
      <c r="E21">
        <v>5</v>
      </c>
      <c r="F21">
        <v>224</v>
      </c>
      <c r="G21" t="s">
        <v>133</v>
      </c>
      <c r="H21" t="s">
        <v>81</v>
      </c>
      <c r="I21" t="s">
        <v>59</v>
      </c>
      <c r="J21" t="s">
        <v>134</v>
      </c>
      <c r="K21">
        <v>9</v>
      </c>
      <c r="L21" t="s">
        <v>37</v>
      </c>
      <c r="M21" t="s">
        <v>92</v>
      </c>
      <c r="N21">
        <v>1120</v>
      </c>
    </row>
    <row r="22" spans="1:14" x14ac:dyDescent="0.3">
      <c r="A22" t="s">
        <v>135</v>
      </c>
      <c r="B22" s="8">
        <v>45054</v>
      </c>
      <c r="C22" t="s">
        <v>136</v>
      </c>
      <c r="D22" t="s">
        <v>57</v>
      </c>
      <c r="E22">
        <v>5</v>
      </c>
      <c r="F22">
        <v>62.51</v>
      </c>
      <c r="G22" t="s">
        <v>137</v>
      </c>
      <c r="H22" t="s">
        <v>81</v>
      </c>
      <c r="I22" t="s">
        <v>105</v>
      </c>
      <c r="J22" t="s">
        <v>138</v>
      </c>
      <c r="K22">
        <v>9</v>
      </c>
      <c r="L22" t="s">
        <v>97</v>
      </c>
      <c r="M22" t="s">
        <v>38</v>
      </c>
      <c r="N22">
        <v>312.55</v>
      </c>
    </row>
    <row r="23" spans="1:14" x14ac:dyDescent="0.3">
      <c r="A23" t="s">
        <v>139</v>
      </c>
      <c r="B23" s="8">
        <v>45613</v>
      </c>
      <c r="C23" t="s">
        <v>140</v>
      </c>
      <c r="D23" t="s">
        <v>32</v>
      </c>
      <c r="E23">
        <v>4</v>
      </c>
      <c r="F23">
        <v>342.95</v>
      </c>
      <c r="G23" t="s">
        <v>141</v>
      </c>
      <c r="H23" t="s">
        <v>81</v>
      </c>
      <c r="I23" t="s">
        <v>66</v>
      </c>
      <c r="J23" t="s">
        <v>142</v>
      </c>
      <c r="K23">
        <v>6</v>
      </c>
      <c r="M23" t="s">
        <v>92</v>
      </c>
      <c r="N23">
        <v>1371.8</v>
      </c>
    </row>
    <row r="24" spans="1:14" x14ac:dyDescent="0.3">
      <c r="A24" t="s">
        <v>143</v>
      </c>
      <c r="B24" s="8">
        <v>44955</v>
      </c>
      <c r="C24" t="s">
        <v>144</v>
      </c>
      <c r="D24" t="s">
        <v>32</v>
      </c>
      <c r="E24">
        <v>2</v>
      </c>
      <c r="F24">
        <v>49.62</v>
      </c>
      <c r="G24" t="s">
        <v>145</v>
      </c>
      <c r="H24" t="s">
        <v>43</v>
      </c>
      <c r="I24" t="s">
        <v>105</v>
      </c>
      <c r="J24" t="s">
        <v>146</v>
      </c>
      <c r="K24">
        <v>2</v>
      </c>
      <c r="L24" t="s">
        <v>37</v>
      </c>
      <c r="M24" t="s">
        <v>92</v>
      </c>
      <c r="N24">
        <v>99.24</v>
      </c>
    </row>
    <row r="25" spans="1:14" x14ac:dyDescent="0.3">
      <c r="A25" t="s">
        <v>147</v>
      </c>
      <c r="B25" s="8">
        <v>45756</v>
      </c>
      <c r="C25" t="s">
        <v>148</v>
      </c>
      <c r="D25" t="s">
        <v>41</v>
      </c>
      <c r="E25">
        <v>4</v>
      </c>
      <c r="F25">
        <v>273.25</v>
      </c>
      <c r="G25" t="s">
        <v>149</v>
      </c>
      <c r="H25" t="s">
        <v>34</v>
      </c>
      <c r="I25" t="s">
        <v>51</v>
      </c>
      <c r="J25" t="s">
        <v>150</v>
      </c>
      <c r="K25">
        <v>5</v>
      </c>
      <c r="L25" t="s">
        <v>53</v>
      </c>
      <c r="M25" t="s">
        <v>45</v>
      </c>
      <c r="N25">
        <v>1093</v>
      </c>
    </row>
    <row r="26" spans="1:14" x14ac:dyDescent="0.3">
      <c r="A26" t="s">
        <v>151</v>
      </c>
      <c r="B26" s="8">
        <v>45595</v>
      </c>
      <c r="C26" t="s">
        <v>152</v>
      </c>
      <c r="D26" t="s">
        <v>74</v>
      </c>
      <c r="E26">
        <v>2</v>
      </c>
      <c r="F26">
        <v>230.95</v>
      </c>
      <c r="G26" t="s">
        <v>153</v>
      </c>
      <c r="H26" t="s">
        <v>43</v>
      </c>
      <c r="I26" t="s">
        <v>66</v>
      </c>
      <c r="J26" t="s">
        <v>154</v>
      </c>
      <c r="K26">
        <v>3</v>
      </c>
      <c r="L26" t="s">
        <v>97</v>
      </c>
      <c r="M26" t="s">
        <v>45</v>
      </c>
      <c r="N26">
        <v>461.9</v>
      </c>
    </row>
    <row r="27" spans="1:14" x14ac:dyDescent="0.3">
      <c r="A27" t="s">
        <v>155</v>
      </c>
      <c r="B27" s="8">
        <v>45497</v>
      </c>
      <c r="C27" t="s">
        <v>156</v>
      </c>
      <c r="D27" t="s">
        <v>32</v>
      </c>
      <c r="E27">
        <v>1</v>
      </c>
      <c r="F27">
        <v>399.98</v>
      </c>
      <c r="G27" t="s">
        <v>157</v>
      </c>
      <c r="H27" t="s">
        <v>34</v>
      </c>
      <c r="I27" t="s">
        <v>66</v>
      </c>
      <c r="J27" t="s">
        <v>158</v>
      </c>
      <c r="K27">
        <v>3</v>
      </c>
      <c r="L27" t="s">
        <v>97</v>
      </c>
      <c r="M27" t="s">
        <v>54</v>
      </c>
      <c r="N27">
        <v>399.98</v>
      </c>
    </row>
    <row r="28" spans="1:14" x14ac:dyDescent="0.3">
      <c r="A28" t="s">
        <v>159</v>
      </c>
      <c r="B28" s="8">
        <v>45357</v>
      </c>
      <c r="C28" t="s">
        <v>160</v>
      </c>
      <c r="D28" t="s">
        <v>74</v>
      </c>
      <c r="E28">
        <v>5</v>
      </c>
      <c r="F28">
        <v>59.55</v>
      </c>
      <c r="G28" t="s">
        <v>161</v>
      </c>
      <c r="H28" t="s">
        <v>43</v>
      </c>
      <c r="I28" t="s">
        <v>66</v>
      </c>
      <c r="J28" t="s">
        <v>162</v>
      </c>
      <c r="K28">
        <v>6</v>
      </c>
      <c r="M28" t="s">
        <v>45</v>
      </c>
      <c r="N28">
        <v>297.75</v>
      </c>
    </row>
    <row r="29" spans="1:14" x14ac:dyDescent="0.3">
      <c r="A29" t="s">
        <v>163</v>
      </c>
      <c r="B29" s="8">
        <v>45344</v>
      </c>
      <c r="C29" t="s">
        <v>164</v>
      </c>
      <c r="D29" t="s">
        <v>64</v>
      </c>
      <c r="E29">
        <v>1</v>
      </c>
      <c r="F29">
        <v>472.74</v>
      </c>
      <c r="G29" t="s">
        <v>165</v>
      </c>
      <c r="H29" t="s">
        <v>43</v>
      </c>
      <c r="I29" t="s">
        <v>35</v>
      </c>
      <c r="J29" t="s">
        <v>166</v>
      </c>
      <c r="K29">
        <v>6</v>
      </c>
      <c r="L29" t="s">
        <v>97</v>
      </c>
      <c r="M29" t="s">
        <v>92</v>
      </c>
      <c r="N29">
        <v>472.74</v>
      </c>
    </row>
    <row r="30" spans="1:14" x14ac:dyDescent="0.3">
      <c r="A30" t="s">
        <v>167</v>
      </c>
      <c r="B30" s="8">
        <v>45251</v>
      </c>
      <c r="C30" t="s">
        <v>168</v>
      </c>
      <c r="D30" t="s">
        <v>41</v>
      </c>
      <c r="E30">
        <v>4</v>
      </c>
      <c r="F30">
        <v>160.07</v>
      </c>
      <c r="G30" t="s">
        <v>169</v>
      </c>
      <c r="H30" t="s">
        <v>43</v>
      </c>
      <c r="I30" t="s">
        <v>105</v>
      </c>
      <c r="J30" t="s">
        <v>170</v>
      </c>
      <c r="K30">
        <v>5</v>
      </c>
      <c r="M30" t="s">
        <v>54</v>
      </c>
      <c r="N30">
        <v>640.28</v>
      </c>
    </row>
    <row r="31" spans="1:14" x14ac:dyDescent="0.3">
      <c r="A31" t="s">
        <v>171</v>
      </c>
      <c r="B31" s="8">
        <v>45555</v>
      </c>
      <c r="C31" t="s">
        <v>172</v>
      </c>
      <c r="D31" t="s">
        <v>89</v>
      </c>
      <c r="E31">
        <v>3</v>
      </c>
      <c r="F31">
        <v>423.53</v>
      </c>
      <c r="G31" t="s">
        <v>173</v>
      </c>
      <c r="H31" t="s">
        <v>50</v>
      </c>
      <c r="I31" t="s">
        <v>66</v>
      </c>
      <c r="J31" t="s">
        <v>174</v>
      </c>
      <c r="K31">
        <v>6</v>
      </c>
      <c r="L31" t="s">
        <v>37</v>
      </c>
      <c r="M31" t="s">
        <v>45</v>
      </c>
      <c r="N31">
        <v>1270.5899999999999</v>
      </c>
    </row>
    <row r="32" spans="1:14" x14ac:dyDescent="0.3">
      <c r="A32" t="s">
        <v>175</v>
      </c>
      <c r="B32" s="8">
        <v>45738</v>
      </c>
      <c r="C32" t="s">
        <v>176</v>
      </c>
      <c r="D32" t="s">
        <v>32</v>
      </c>
      <c r="E32">
        <v>2</v>
      </c>
      <c r="F32">
        <v>426.7</v>
      </c>
      <c r="G32" t="s">
        <v>177</v>
      </c>
      <c r="H32" t="s">
        <v>43</v>
      </c>
      <c r="I32" t="s">
        <v>105</v>
      </c>
      <c r="J32" t="s">
        <v>178</v>
      </c>
      <c r="K32">
        <v>5</v>
      </c>
      <c r="L32" t="s">
        <v>37</v>
      </c>
      <c r="M32" t="s">
        <v>45</v>
      </c>
      <c r="N32">
        <v>853.4</v>
      </c>
    </row>
    <row r="33" spans="1:14" x14ac:dyDescent="0.3">
      <c r="A33" t="s">
        <v>179</v>
      </c>
      <c r="B33" s="8">
        <v>45107</v>
      </c>
      <c r="C33" t="s">
        <v>180</v>
      </c>
      <c r="D33" t="s">
        <v>57</v>
      </c>
      <c r="E33">
        <v>3</v>
      </c>
      <c r="F33">
        <v>500.08</v>
      </c>
      <c r="G33" t="s">
        <v>181</v>
      </c>
      <c r="H33" t="s">
        <v>34</v>
      </c>
      <c r="I33" t="s">
        <v>59</v>
      </c>
      <c r="J33" t="s">
        <v>182</v>
      </c>
      <c r="K33">
        <v>6</v>
      </c>
      <c r="M33" t="s">
        <v>61</v>
      </c>
      <c r="N33">
        <v>1500.24</v>
      </c>
    </row>
    <row r="34" spans="1:14" x14ac:dyDescent="0.3">
      <c r="A34" t="s">
        <v>183</v>
      </c>
      <c r="B34" s="8">
        <v>45047</v>
      </c>
      <c r="C34" t="s">
        <v>184</v>
      </c>
      <c r="D34" t="s">
        <v>48</v>
      </c>
      <c r="E34">
        <v>5</v>
      </c>
      <c r="F34">
        <v>536.72</v>
      </c>
      <c r="G34" t="s">
        <v>185</v>
      </c>
      <c r="H34" t="s">
        <v>81</v>
      </c>
      <c r="I34" t="s">
        <v>66</v>
      </c>
      <c r="J34" t="s">
        <v>186</v>
      </c>
      <c r="K34">
        <v>10</v>
      </c>
      <c r="M34" t="s">
        <v>54</v>
      </c>
      <c r="N34">
        <v>2683.6</v>
      </c>
    </row>
    <row r="35" spans="1:14" x14ac:dyDescent="0.3">
      <c r="A35" t="s">
        <v>187</v>
      </c>
      <c r="B35" s="8">
        <v>45082</v>
      </c>
      <c r="C35" t="s">
        <v>188</v>
      </c>
      <c r="D35" t="s">
        <v>57</v>
      </c>
      <c r="E35">
        <v>1</v>
      </c>
      <c r="F35">
        <v>162.77000000000001</v>
      </c>
      <c r="G35" t="s">
        <v>189</v>
      </c>
      <c r="H35" t="s">
        <v>43</v>
      </c>
      <c r="I35" t="s">
        <v>51</v>
      </c>
      <c r="J35" t="s">
        <v>190</v>
      </c>
      <c r="K35">
        <v>4</v>
      </c>
      <c r="L35" t="s">
        <v>97</v>
      </c>
      <c r="M35" t="s">
        <v>61</v>
      </c>
      <c r="N35">
        <v>162.77000000000001</v>
      </c>
    </row>
    <row r="36" spans="1:14" x14ac:dyDescent="0.3">
      <c r="A36" t="s">
        <v>191</v>
      </c>
      <c r="B36" s="8">
        <v>44933</v>
      </c>
      <c r="C36" t="s">
        <v>192</v>
      </c>
      <c r="D36" t="s">
        <v>57</v>
      </c>
      <c r="E36">
        <v>4</v>
      </c>
      <c r="F36">
        <v>576.52</v>
      </c>
      <c r="G36" t="s">
        <v>193</v>
      </c>
      <c r="H36" t="s">
        <v>50</v>
      </c>
      <c r="I36" t="s">
        <v>105</v>
      </c>
      <c r="J36" t="s">
        <v>194</v>
      </c>
      <c r="K36">
        <v>5</v>
      </c>
      <c r="L36" t="s">
        <v>97</v>
      </c>
      <c r="M36" t="s">
        <v>61</v>
      </c>
      <c r="N36">
        <v>2306.08</v>
      </c>
    </row>
    <row r="37" spans="1:14" x14ac:dyDescent="0.3">
      <c r="A37" t="s">
        <v>195</v>
      </c>
      <c r="B37" s="8">
        <v>45633</v>
      </c>
      <c r="C37" t="s">
        <v>196</v>
      </c>
      <c r="D37" t="s">
        <v>32</v>
      </c>
      <c r="E37">
        <v>2</v>
      </c>
      <c r="F37">
        <v>465.15</v>
      </c>
      <c r="G37" t="s">
        <v>197</v>
      </c>
      <c r="H37" t="s">
        <v>43</v>
      </c>
      <c r="I37" t="s">
        <v>35</v>
      </c>
      <c r="J37" t="s">
        <v>198</v>
      </c>
      <c r="K37">
        <v>2</v>
      </c>
      <c r="L37" t="s">
        <v>37</v>
      </c>
      <c r="M37" t="s">
        <v>61</v>
      </c>
      <c r="N37">
        <v>930.3</v>
      </c>
    </row>
    <row r="38" spans="1:14" x14ac:dyDescent="0.3">
      <c r="A38" t="s">
        <v>199</v>
      </c>
      <c r="B38" s="8">
        <v>45785</v>
      </c>
      <c r="C38" t="s">
        <v>200</v>
      </c>
      <c r="D38" t="s">
        <v>74</v>
      </c>
      <c r="E38">
        <v>2</v>
      </c>
      <c r="F38">
        <v>534.42999999999995</v>
      </c>
      <c r="G38" t="s">
        <v>201</v>
      </c>
      <c r="H38" t="s">
        <v>34</v>
      </c>
      <c r="I38" t="s">
        <v>105</v>
      </c>
      <c r="J38" t="s">
        <v>202</v>
      </c>
      <c r="K38">
        <v>5</v>
      </c>
      <c r="M38" t="s">
        <v>61</v>
      </c>
      <c r="N38">
        <v>1068.8599999999999</v>
      </c>
    </row>
    <row r="39" spans="1:14" x14ac:dyDescent="0.3">
      <c r="A39" t="s">
        <v>203</v>
      </c>
      <c r="B39" s="8">
        <v>45579</v>
      </c>
      <c r="C39" t="s">
        <v>204</v>
      </c>
      <c r="D39" t="s">
        <v>74</v>
      </c>
      <c r="E39">
        <v>2</v>
      </c>
      <c r="F39">
        <v>76.739999999999995</v>
      </c>
      <c r="G39" t="s">
        <v>205</v>
      </c>
      <c r="H39" t="s">
        <v>81</v>
      </c>
      <c r="I39" t="s">
        <v>59</v>
      </c>
      <c r="J39" t="s">
        <v>206</v>
      </c>
      <c r="K39">
        <v>7</v>
      </c>
      <c r="L39" t="s">
        <v>37</v>
      </c>
      <c r="M39" t="s">
        <v>38</v>
      </c>
      <c r="N39">
        <v>153.47999999999999</v>
      </c>
    </row>
    <row r="40" spans="1:14" x14ac:dyDescent="0.3">
      <c r="A40" t="s">
        <v>207</v>
      </c>
      <c r="B40" s="8">
        <v>45645</v>
      </c>
      <c r="C40" t="s">
        <v>208</v>
      </c>
      <c r="D40" t="s">
        <v>74</v>
      </c>
      <c r="E40">
        <v>1</v>
      </c>
      <c r="F40">
        <v>245.89</v>
      </c>
      <c r="G40" t="s">
        <v>209</v>
      </c>
      <c r="H40" t="s">
        <v>34</v>
      </c>
      <c r="I40" t="s">
        <v>66</v>
      </c>
      <c r="J40" t="s">
        <v>210</v>
      </c>
      <c r="K40">
        <v>3</v>
      </c>
      <c r="L40" t="s">
        <v>37</v>
      </c>
      <c r="M40" t="s">
        <v>92</v>
      </c>
      <c r="N40">
        <v>245.89</v>
      </c>
    </row>
    <row r="41" spans="1:14" x14ac:dyDescent="0.3">
      <c r="A41" t="s">
        <v>211</v>
      </c>
      <c r="B41" s="8">
        <v>45715</v>
      </c>
      <c r="C41" t="s">
        <v>212</v>
      </c>
      <c r="D41" t="s">
        <v>64</v>
      </c>
      <c r="E41">
        <v>3</v>
      </c>
      <c r="F41">
        <v>256.45999999999998</v>
      </c>
      <c r="G41" t="s">
        <v>213</v>
      </c>
      <c r="H41" t="s">
        <v>50</v>
      </c>
      <c r="I41" t="s">
        <v>66</v>
      </c>
      <c r="J41" t="s">
        <v>214</v>
      </c>
      <c r="K41">
        <v>4</v>
      </c>
      <c r="L41" t="s">
        <v>37</v>
      </c>
      <c r="M41" t="s">
        <v>45</v>
      </c>
      <c r="N41">
        <v>769.38</v>
      </c>
    </row>
    <row r="42" spans="1:14" x14ac:dyDescent="0.3">
      <c r="A42" t="s">
        <v>215</v>
      </c>
      <c r="B42" s="8">
        <v>45158</v>
      </c>
      <c r="C42" t="s">
        <v>216</v>
      </c>
      <c r="D42" t="s">
        <v>89</v>
      </c>
      <c r="E42">
        <v>2</v>
      </c>
      <c r="F42">
        <v>344.02</v>
      </c>
      <c r="G42" t="s">
        <v>217</v>
      </c>
      <c r="H42" t="s">
        <v>43</v>
      </c>
      <c r="I42" t="s">
        <v>66</v>
      </c>
      <c r="J42" t="s">
        <v>218</v>
      </c>
      <c r="K42">
        <v>4</v>
      </c>
      <c r="L42" t="s">
        <v>53</v>
      </c>
      <c r="M42" t="s">
        <v>38</v>
      </c>
      <c r="N42">
        <v>688.04</v>
      </c>
    </row>
    <row r="43" spans="1:14" x14ac:dyDescent="0.3">
      <c r="A43" t="s">
        <v>219</v>
      </c>
      <c r="B43" s="8">
        <v>45265</v>
      </c>
      <c r="C43" t="s">
        <v>220</v>
      </c>
      <c r="D43" t="s">
        <v>32</v>
      </c>
      <c r="E43">
        <v>3</v>
      </c>
      <c r="F43">
        <v>611.45000000000005</v>
      </c>
      <c r="G43" t="s">
        <v>221</v>
      </c>
      <c r="H43" t="s">
        <v>76</v>
      </c>
      <c r="I43" t="s">
        <v>105</v>
      </c>
      <c r="J43" t="s">
        <v>222</v>
      </c>
      <c r="K43">
        <v>4</v>
      </c>
      <c r="L43" t="s">
        <v>53</v>
      </c>
      <c r="M43" t="s">
        <v>38</v>
      </c>
      <c r="N43">
        <v>1834.35</v>
      </c>
    </row>
    <row r="44" spans="1:14" x14ac:dyDescent="0.3">
      <c r="A44" t="s">
        <v>223</v>
      </c>
      <c r="B44" s="8">
        <v>45418</v>
      </c>
      <c r="C44" t="s">
        <v>224</v>
      </c>
      <c r="D44" t="s">
        <v>64</v>
      </c>
      <c r="E44">
        <v>2</v>
      </c>
      <c r="F44">
        <v>151.66</v>
      </c>
      <c r="G44" t="s">
        <v>113</v>
      </c>
      <c r="H44" t="s">
        <v>81</v>
      </c>
      <c r="I44" t="s">
        <v>51</v>
      </c>
      <c r="J44" t="s">
        <v>225</v>
      </c>
      <c r="K44">
        <v>6</v>
      </c>
      <c r="M44" t="s">
        <v>38</v>
      </c>
      <c r="N44">
        <v>303.32</v>
      </c>
    </row>
    <row r="45" spans="1:14" x14ac:dyDescent="0.3">
      <c r="A45" t="s">
        <v>226</v>
      </c>
      <c r="B45" s="8">
        <v>45274</v>
      </c>
      <c r="C45" t="s">
        <v>227</v>
      </c>
      <c r="D45" t="s">
        <v>57</v>
      </c>
      <c r="E45">
        <v>3</v>
      </c>
      <c r="F45">
        <v>499.21</v>
      </c>
      <c r="G45" t="s">
        <v>228</v>
      </c>
      <c r="H45" t="s">
        <v>43</v>
      </c>
      <c r="I45" t="s">
        <v>51</v>
      </c>
      <c r="J45" t="s">
        <v>229</v>
      </c>
      <c r="K45">
        <v>8</v>
      </c>
      <c r="M45" t="s">
        <v>38</v>
      </c>
      <c r="N45">
        <v>1497.63</v>
      </c>
    </row>
    <row r="46" spans="1:14" x14ac:dyDescent="0.3">
      <c r="A46" t="s">
        <v>230</v>
      </c>
      <c r="B46" s="8">
        <v>45768</v>
      </c>
      <c r="C46" t="s">
        <v>231</v>
      </c>
      <c r="D46" t="s">
        <v>41</v>
      </c>
      <c r="E46">
        <v>2</v>
      </c>
      <c r="F46">
        <v>550.17999999999995</v>
      </c>
      <c r="G46" t="s">
        <v>181</v>
      </c>
      <c r="H46" t="s">
        <v>76</v>
      </c>
      <c r="I46" t="s">
        <v>59</v>
      </c>
      <c r="J46" t="s">
        <v>232</v>
      </c>
      <c r="K46">
        <v>3</v>
      </c>
      <c r="L46" t="s">
        <v>53</v>
      </c>
      <c r="M46" t="s">
        <v>45</v>
      </c>
      <c r="N46">
        <v>1100.3599999999999</v>
      </c>
    </row>
    <row r="47" spans="1:14" x14ac:dyDescent="0.3">
      <c r="A47" t="s">
        <v>233</v>
      </c>
      <c r="B47" s="8">
        <v>45332</v>
      </c>
      <c r="C47" t="s">
        <v>234</v>
      </c>
      <c r="D47" t="s">
        <v>57</v>
      </c>
      <c r="E47">
        <v>1</v>
      </c>
      <c r="F47">
        <v>317.25</v>
      </c>
      <c r="G47" t="s">
        <v>235</v>
      </c>
      <c r="H47" t="s">
        <v>34</v>
      </c>
      <c r="I47" t="s">
        <v>59</v>
      </c>
      <c r="J47" t="s">
        <v>236</v>
      </c>
      <c r="K47">
        <v>1</v>
      </c>
      <c r="L47" t="s">
        <v>37</v>
      </c>
      <c r="M47" t="s">
        <v>61</v>
      </c>
      <c r="N47">
        <v>317.25</v>
      </c>
    </row>
    <row r="48" spans="1:14" x14ac:dyDescent="0.3">
      <c r="A48" t="s">
        <v>237</v>
      </c>
      <c r="B48" s="8">
        <v>45469</v>
      </c>
      <c r="C48" t="s">
        <v>238</v>
      </c>
      <c r="D48" t="s">
        <v>32</v>
      </c>
      <c r="E48">
        <v>4</v>
      </c>
      <c r="F48">
        <v>550.14</v>
      </c>
      <c r="G48" t="s">
        <v>239</v>
      </c>
      <c r="H48" t="s">
        <v>34</v>
      </c>
      <c r="I48" t="s">
        <v>105</v>
      </c>
      <c r="J48" t="s">
        <v>240</v>
      </c>
      <c r="K48">
        <v>4</v>
      </c>
      <c r="L48" t="s">
        <v>53</v>
      </c>
      <c r="M48" t="s">
        <v>38</v>
      </c>
      <c r="N48">
        <v>2200.56</v>
      </c>
    </row>
    <row r="49" spans="1:14" x14ac:dyDescent="0.3">
      <c r="A49" t="s">
        <v>241</v>
      </c>
      <c r="B49" s="8">
        <v>45126</v>
      </c>
      <c r="C49" t="s">
        <v>242</v>
      </c>
      <c r="D49" t="s">
        <v>89</v>
      </c>
      <c r="E49">
        <v>2</v>
      </c>
      <c r="F49">
        <v>209.94</v>
      </c>
      <c r="G49" t="s">
        <v>243</v>
      </c>
      <c r="H49" t="s">
        <v>50</v>
      </c>
      <c r="I49" t="s">
        <v>59</v>
      </c>
      <c r="J49" t="s">
        <v>244</v>
      </c>
      <c r="K49">
        <v>3</v>
      </c>
      <c r="L49" t="s">
        <v>53</v>
      </c>
      <c r="M49" t="s">
        <v>54</v>
      </c>
      <c r="N49">
        <v>419.88</v>
      </c>
    </row>
    <row r="50" spans="1:14" x14ac:dyDescent="0.3">
      <c r="A50" t="s">
        <v>245</v>
      </c>
      <c r="B50" s="8">
        <v>45164</v>
      </c>
      <c r="C50" t="s">
        <v>246</v>
      </c>
      <c r="D50" t="s">
        <v>32</v>
      </c>
      <c r="E50">
        <v>2</v>
      </c>
      <c r="F50">
        <v>80.77</v>
      </c>
      <c r="G50" t="s">
        <v>247</v>
      </c>
      <c r="H50" t="s">
        <v>34</v>
      </c>
      <c r="I50" t="s">
        <v>35</v>
      </c>
      <c r="J50" t="s">
        <v>248</v>
      </c>
      <c r="K50">
        <v>4</v>
      </c>
      <c r="M50" t="s">
        <v>92</v>
      </c>
      <c r="N50">
        <v>161.54</v>
      </c>
    </row>
    <row r="51" spans="1:14" x14ac:dyDescent="0.3">
      <c r="A51" t="s">
        <v>249</v>
      </c>
      <c r="B51" s="8">
        <v>45206</v>
      </c>
      <c r="C51" t="s">
        <v>250</v>
      </c>
      <c r="D51" t="s">
        <v>64</v>
      </c>
      <c r="E51">
        <v>1</v>
      </c>
      <c r="F51">
        <v>30.44</v>
      </c>
      <c r="G51" t="s">
        <v>145</v>
      </c>
      <c r="H51" t="s">
        <v>50</v>
      </c>
      <c r="I51" t="s">
        <v>35</v>
      </c>
      <c r="J51" t="s">
        <v>251</v>
      </c>
      <c r="K51">
        <v>1</v>
      </c>
      <c r="L51" t="s">
        <v>37</v>
      </c>
      <c r="M51" t="s">
        <v>54</v>
      </c>
      <c r="N51">
        <v>30.44</v>
      </c>
    </row>
    <row r="52" spans="1:14" x14ac:dyDescent="0.3">
      <c r="A52" t="s">
        <v>252</v>
      </c>
      <c r="B52" s="8">
        <v>45138</v>
      </c>
      <c r="C52" t="s">
        <v>253</v>
      </c>
      <c r="D52" t="s">
        <v>48</v>
      </c>
      <c r="E52">
        <v>1</v>
      </c>
      <c r="F52">
        <v>179.22</v>
      </c>
      <c r="G52" t="s">
        <v>254</v>
      </c>
      <c r="H52" t="s">
        <v>43</v>
      </c>
      <c r="I52" t="s">
        <v>51</v>
      </c>
      <c r="J52" t="s">
        <v>255</v>
      </c>
      <c r="K52">
        <v>6</v>
      </c>
      <c r="L52" t="s">
        <v>53</v>
      </c>
      <c r="M52" t="s">
        <v>38</v>
      </c>
      <c r="N52">
        <v>179.22</v>
      </c>
    </row>
    <row r="53" spans="1:14" x14ac:dyDescent="0.3">
      <c r="A53" t="s">
        <v>256</v>
      </c>
      <c r="B53" s="8">
        <v>45656</v>
      </c>
      <c r="C53" t="s">
        <v>257</v>
      </c>
      <c r="D53" t="s">
        <v>48</v>
      </c>
      <c r="E53">
        <v>1</v>
      </c>
      <c r="F53">
        <v>388.33</v>
      </c>
      <c r="G53" t="s">
        <v>258</v>
      </c>
      <c r="H53" t="s">
        <v>81</v>
      </c>
      <c r="I53" t="s">
        <v>59</v>
      </c>
      <c r="J53" t="s">
        <v>259</v>
      </c>
      <c r="K53">
        <v>2</v>
      </c>
      <c r="L53" t="s">
        <v>37</v>
      </c>
      <c r="M53" t="s">
        <v>61</v>
      </c>
      <c r="N53">
        <v>388.33</v>
      </c>
    </row>
    <row r="54" spans="1:14" x14ac:dyDescent="0.3">
      <c r="A54" t="s">
        <v>260</v>
      </c>
      <c r="B54" s="8">
        <v>45543</v>
      </c>
      <c r="C54" t="s">
        <v>261</v>
      </c>
      <c r="D54" t="s">
        <v>48</v>
      </c>
      <c r="E54">
        <v>1</v>
      </c>
      <c r="F54">
        <v>586.44000000000005</v>
      </c>
      <c r="G54" t="s">
        <v>262</v>
      </c>
      <c r="H54" t="s">
        <v>43</v>
      </c>
      <c r="I54" t="s">
        <v>59</v>
      </c>
      <c r="J54" t="s">
        <v>263</v>
      </c>
      <c r="K54">
        <v>5</v>
      </c>
      <c r="L54" t="s">
        <v>37</v>
      </c>
      <c r="M54" t="s">
        <v>61</v>
      </c>
      <c r="N54">
        <v>586.44000000000005</v>
      </c>
    </row>
    <row r="55" spans="1:14" x14ac:dyDescent="0.3">
      <c r="A55" t="s">
        <v>264</v>
      </c>
      <c r="B55" s="8">
        <v>45430</v>
      </c>
      <c r="C55" t="s">
        <v>265</v>
      </c>
      <c r="D55" t="s">
        <v>41</v>
      </c>
      <c r="E55">
        <v>4</v>
      </c>
      <c r="F55">
        <v>488.78</v>
      </c>
      <c r="G55" t="s">
        <v>49</v>
      </c>
      <c r="H55" t="s">
        <v>43</v>
      </c>
      <c r="I55" t="s">
        <v>59</v>
      </c>
      <c r="J55" t="s">
        <v>266</v>
      </c>
      <c r="K55">
        <v>5</v>
      </c>
      <c r="L55" t="s">
        <v>53</v>
      </c>
      <c r="M55" t="s">
        <v>92</v>
      </c>
      <c r="N55">
        <v>1955.12</v>
      </c>
    </row>
    <row r="56" spans="1:14" x14ac:dyDescent="0.3">
      <c r="A56" t="s">
        <v>267</v>
      </c>
      <c r="B56" s="8">
        <v>45743</v>
      </c>
      <c r="C56" t="s">
        <v>268</v>
      </c>
      <c r="D56" t="s">
        <v>57</v>
      </c>
      <c r="E56">
        <v>1</v>
      </c>
      <c r="F56">
        <v>280.25</v>
      </c>
      <c r="G56" t="s">
        <v>269</v>
      </c>
      <c r="H56" t="s">
        <v>43</v>
      </c>
      <c r="I56" t="s">
        <v>105</v>
      </c>
      <c r="J56" t="s">
        <v>270</v>
      </c>
      <c r="K56">
        <v>5</v>
      </c>
      <c r="L56" t="s">
        <v>97</v>
      </c>
      <c r="M56" t="s">
        <v>54</v>
      </c>
      <c r="N56">
        <v>280.25</v>
      </c>
    </row>
    <row r="57" spans="1:14" x14ac:dyDescent="0.3">
      <c r="A57" t="s">
        <v>271</v>
      </c>
      <c r="B57" s="8">
        <v>45832</v>
      </c>
      <c r="C57" t="s">
        <v>272</v>
      </c>
      <c r="D57" t="s">
        <v>64</v>
      </c>
      <c r="E57">
        <v>3</v>
      </c>
      <c r="F57">
        <v>344.4</v>
      </c>
      <c r="G57" t="s">
        <v>273</v>
      </c>
      <c r="H57" t="s">
        <v>43</v>
      </c>
      <c r="I57" t="s">
        <v>51</v>
      </c>
      <c r="J57" t="s">
        <v>274</v>
      </c>
      <c r="K57">
        <v>3</v>
      </c>
      <c r="M57" t="s">
        <v>61</v>
      </c>
      <c r="N57">
        <v>1033.2</v>
      </c>
    </row>
    <row r="58" spans="1:14" x14ac:dyDescent="0.3">
      <c r="A58" t="s">
        <v>275</v>
      </c>
      <c r="B58" s="8">
        <v>45067</v>
      </c>
      <c r="C58" t="s">
        <v>276</v>
      </c>
      <c r="D58" t="s">
        <v>48</v>
      </c>
      <c r="E58">
        <v>3</v>
      </c>
      <c r="F58">
        <v>479.21</v>
      </c>
      <c r="G58" t="s">
        <v>277</v>
      </c>
      <c r="H58" t="s">
        <v>81</v>
      </c>
      <c r="I58" t="s">
        <v>51</v>
      </c>
      <c r="J58" t="s">
        <v>278</v>
      </c>
      <c r="K58">
        <v>5</v>
      </c>
      <c r="L58" t="s">
        <v>97</v>
      </c>
      <c r="M58" t="s">
        <v>45</v>
      </c>
      <c r="N58">
        <v>1437.63</v>
      </c>
    </row>
    <row r="59" spans="1:14" x14ac:dyDescent="0.3">
      <c r="A59" t="s">
        <v>279</v>
      </c>
      <c r="B59" s="8">
        <v>44948</v>
      </c>
      <c r="C59" t="s">
        <v>280</v>
      </c>
      <c r="D59" t="s">
        <v>64</v>
      </c>
      <c r="E59">
        <v>5</v>
      </c>
      <c r="F59">
        <v>314.27</v>
      </c>
      <c r="G59" t="s">
        <v>281</v>
      </c>
      <c r="H59" t="s">
        <v>81</v>
      </c>
      <c r="I59" t="s">
        <v>59</v>
      </c>
      <c r="J59" t="s">
        <v>282</v>
      </c>
      <c r="K59">
        <v>6</v>
      </c>
      <c r="L59" t="s">
        <v>37</v>
      </c>
      <c r="M59" t="s">
        <v>38</v>
      </c>
      <c r="N59">
        <v>1571.35</v>
      </c>
    </row>
    <row r="60" spans="1:14" x14ac:dyDescent="0.3">
      <c r="A60" t="s">
        <v>283</v>
      </c>
      <c r="B60" s="8">
        <v>44941</v>
      </c>
      <c r="C60" t="s">
        <v>284</v>
      </c>
      <c r="D60" t="s">
        <v>41</v>
      </c>
      <c r="E60">
        <v>4</v>
      </c>
      <c r="F60">
        <v>474.69</v>
      </c>
      <c r="G60" t="s">
        <v>285</v>
      </c>
      <c r="H60" t="s">
        <v>76</v>
      </c>
      <c r="I60" t="s">
        <v>51</v>
      </c>
      <c r="J60" t="s">
        <v>286</v>
      </c>
      <c r="K60">
        <v>6</v>
      </c>
      <c r="L60" t="s">
        <v>37</v>
      </c>
      <c r="M60" t="s">
        <v>92</v>
      </c>
      <c r="N60">
        <v>1898.76</v>
      </c>
    </row>
    <row r="61" spans="1:14" x14ac:dyDescent="0.3">
      <c r="A61" t="s">
        <v>287</v>
      </c>
      <c r="B61" s="8">
        <v>45546</v>
      </c>
      <c r="C61" t="s">
        <v>288</v>
      </c>
      <c r="D61" t="s">
        <v>57</v>
      </c>
      <c r="E61">
        <v>4</v>
      </c>
      <c r="F61">
        <v>593.27</v>
      </c>
      <c r="G61" t="s">
        <v>289</v>
      </c>
      <c r="H61" t="s">
        <v>43</v>
      </c>
      <c r="I61" t="s">
        <v>35</v>
      </c>
      <c r="J61" t="s">
        <v>290</v>
      </c>
      <c r="K61">
        <v>5</v>
      </c>
      <c r="M61" t="s">
        <v>61</v>
      </c>
      <c r="N61">
        <v>2373.08</v>
      </c>
    </row>
    <row r="62" spans="1:14" x14ac:dyDescent="0.3">
      <c r="A62" t="s">
        <v>291</v>
      </c>
      <c r="B62" s="8">
        <v>45525</v>
      </c>
      <c r="C62" t="s">
        <v>292</v>
      </c>
      <c r="D62" t="s">
        <v>89</v>
      </c>
      <c r="E62">
        <v>1</v>
      </c>
      <c r="F62">
        <v>417.1</v>
      </c>
      <c r="G62" t="s">
        <v>293</v>
      </c>
      <c r="H62" t="s">
        <v>34</v>
      </c>
      <c r="I62" t="s">
        <v>59</v>
      </c>
      <c r="J62" t="s">
        <v>294</v>
      </c>
      <c r="K62">
        <v>3</v>
      </c>
      <c r="L62" t="s">
        <v>53</v>
      </c>
      <c r="M62" t="s">
        <v>45</v>
      </c>
      <c r="N62">
        <v>417.1</v>
      </c>
    </row>
    <row r="63" spans="1:14" x14ac:dyDescent="0.3">
      <c r="A63" t="s">
        <v>295</v>
      </c>
      <c r="B63" s="8">
        <v>45375</v>
      </c>
      <c r="C63" t="s">
        <v>296</v>
      </c>
      <c r="D63" t="s">
        <v>89</v>
      </c>
      <c r="E63">
        <v>4</v>
      </c>
      <c r="F63">
        <v>122.2</v>
      </c>
      <c r="G63" t="s">
        <v>297</v>
      </c>
      <c r="H63" t="s">
        <v>81</v>
      </c>
      <c r="I63" t="s">
        <v>66</v>
      </c>
      <c r="J63" t="s">
        <v>298</v>
      </c>
      <c r="K63">
        <v>7</v>
      </c>
      <c r="L63" t="s">
        <v>53</v>
      </c>
      <c r="M63" t="s">
        <v>61</v>
      </c>
      <c r="N63">
        <v>488.8</v>
      </c>
    </row>
    <row r="64" spans="1:14" x14ac:dyDescent="0.3">
      <c r="A64" t="s">
        <v>299</v>
      </c>
      <c r="B64" s="8">
        <v>45160</v>
      </c>
      <c r="C64" t="s">
        <v>300</v>
      </c>
      <c r="D64" t="s">
        <v>89</v>
      </c>
      <c r="E64">
        <v>2</v>
      </c>
      <c r="F64">
        <v>43.15</v>
      </c>
      <c r="G64" t="s">
        <v>301</v>
      </c>
      <c r="H64" t="s">
        <v>34</v>
      </c>
      <c r="I64" t="s">
        <v>105</v>
      </c>
      <c r="J64" t="s">
        <v>302</v>
      </c>
      <c r="K64">
        <v>3</v>
      </c>
      <c r="L64" t="s">
        <v>97</v>
      </c>
      <c r="M64" t="s">
        <v>54</v>
      </c>
      <c r="N64">
        <v>86.3</v>
      </c>
    </row>
    <row r="65" spans="1:14" x14ac:dyDescent="0.3">
      <c r="A65" t="s">
        <v>303</v>
      </c>
      <c r="B65" s="8">
        <v>45690</v>
      </c>
      <c r="C65" t="s">
        <v>304</v>
      </c>
      <c r="D65" t="s">
        <v>57</v>
      </c>
      <c r="E65">
        <v>1</v>
      </c>
      <c r="F65">
        <v>564.86</v>
      </c>
      <c r="G65" t="s">
        <v>305</v>
      </c>
      <c r="H65" t="s">
        <v>34</v>
      </c>
      <c r="I65" t="s">
        <v>35</v>
      </c>
      <c r="J65" t="s">
        <v>306</v>
      </c>
      <c r="K65">
        <v>6</v>
      </c>
      <c r="L65" t="s">
        <v>97</v>
      </c>
      <c r="M65" t="s">
        <v>45</v>
      </c>
      <c r="N65">
        <v>564.86</v>
      </c>
    </row>
    <row r="66" spans="1:14" x14ac:dyDescent="0.3">
      <c r="A66" t="s">
        <v>307</v>
      </c>
      <c r="B66" s="8">
        <v>45833</v>
      </c>
      <c r="C66" t="s">
        <v>308</v>
      </c>
      <c r="D66" t="s">
        <v>64</v>
      </c>
      <c r="E66">
        <v>3</v>
      </c>
      <c r="F66">
        <v>130.61000000000001</v>
      </c>
      <c r="G66" t="s">
        <v>309</v>
      </c>
      <c r="H66" t="s">
        <v>34</v>
      </c>
      <c r="I66" t="s">
        <v>51</v>
      </c>
      <c r="J66" t="s">
        <v>310</v>
      </c>
      <c r="K66">
        <v>4</v>
      </c>
      <c r="L66" t="s">
        <v>53</v>
      </c>
      <c r="M66" t="s">
        <v>61</v>
      </c>
      <c r="N66">
        <v>391.83</v>
      </c>
    </row>
    <row r="67" spans="1:14" x14ac:dyDescent="0.3">
      <c r="A67" t="s">
        <v>311</v>
      </c>
      <c r="B67" s="8">
        <v>45290</v>
      </c>
      <c r="C67" t="s">
        <v>312</v>
      </c>
      <c r="D67" t="s">
        <v>32</v>
      </c>
      <c r="E67">
        <v>5</v>
      </c>
      <c r="F67">
        <v>81.7</v>
      </c>
      <c r="G67" t="s">
        <v>313</v>
      </c>
      <c r="H67" t="s">
        <v>50</v>
      </c>
      <c r="I67" t="s">
        <v>66</v>
      </c>
      <c r="J67" t="s">
        <v>314</v>
      </c>
      <c r="K67">
        <v>6</v>
      </c>
      <c r="M67" t="s">
        <v>38</v>
      </c>
      <c r="N67">
        <v>408.5</v>
      </c>
    </row>
    <row r="68" spans="1:14" x14ac:dyDescent="0.3">
      <c r="A68" t="s">
        <v>315</v>
      </c>
      <c r="B68" s="8">
        <v>45611</v>
      </c>
      <c r="C68" t="s">
        <v>316</v>
      </c>
      <c r="D68" t="s">
        <v>57</v>
      </c>
      <c r="E68">
        <v>5</v>
      </c>
      <c r="F68">
        <v>127.18</v>
      </c>
      <c r="G68" t="s">
        <v>317</v>
      </c>
      <c r="H68" t="s">
        <v>81</v>
      </c>
      <c r="I68" t="s">
        <v>51</v>
      </c>
      <c r="J68" t="s">
        <v>318</v>
      </c>
      <c r="K68">
        <v>9</v>
      </c>
      <c r="L68" t="s">
        <v>37</v>
      </c>
      <c r="M68" t="s">
        <v>45</v>
      </c>
      <c r="N68">
        <v>635.9</v>
      </c>
    </row>
    <row r="69" spans="1:14" x14ac:dyDescent="0.3">
      <c r="A69" t="s">
        <v>319</v>
      </c>
      <c r="B69" s="8">
        <v>45635</v>
      </c>
      <c r="C69" t="s">
        <v>320</v>
      </c>
      <c r="D69" t="s">
        <v>64</v>
      </c>
      <c r="E69">
        <v>4</v>
      </c>
      <c r="F69">
        <v>12.1</v>
      </c>
      <c r="G69" t="s">
        <v>321</v>
      </c>
      <c r="H69" t="s">
        <v>34</v>
      </c>
      <c r="I69" t="s">
        <v>51</v>
      </c>
      <c r="J69" t="s">
        <v>322</v>
      </c>
      <c r="K69">
        <v>8</v>
      </c>
      <c r="M69" t="s">
        <v>92</v>
      </c>
      <c r="N69">
        <v>48.4</v>
      </c>
    </row>
    <row r="70" spans="1:14" x14ac:dyDescent="0.3">
      <c r="A70" t="s">
        <v>323</v>
      </c>
      <c r="B70" s="8">
        <v>45271</v>
      </c>
      <c r="C70" t="s">
        <v>324</v>
      </c>
      <c r="D70" t="s">
        <v>57</v>
      </c>
      <c r="E70">
        <v>3</v>
      </c>
      <c r="F70">
        <v>490.92</v>
      </c>
      <c r="G70" t="s">
        <v>157</v>
      </c>
      <c r="H70" t="s">
        <v>50</v>
      </c>
      <c r="I70" t="s">
        <v>105</v>
      </c>
      <c r="J70" t="s">
        <v>325</v>
      </c>
      <c r="K70">
        <v>5</v>
      </c>
      <c r="L70" t="s">
        <v>53</v>
      </c>
      <c r="M70" t="s">
        <v>54</v>
      </c>
      <c r="N70">
        <v>1472.76</v>
      </c>
    </row>
    <row r="71" spans="1:14" x14ac:dyDescent="0.3">
      <c r="A71" t="s">
        <v>326</v>
      </c>
      <c r="B71" s="8">
        <v>45057</v>
      </c>
      <c r="C71" t="s">
        <v>327</v>
      </c>
      <c r="D71" t="s">
        <v>32</v>
      </c>
      <c r="E71">
        <v>3</v>
      </c>
      <c r="F71">
        <v>478.65</v>
      </c>
      <c r="G71" t="s">
        <v>328</v>
      </c>
      <c r="H71" t="s">
        <v>43</v>
      </c>
      <c r="I71" t="s">
        <v>35</v>
      </c>
      <c r="J71" t="s">
        <v>329</v>
      </c>
      <c r="K71">
        <v>4</v>
      </c>
      <c r="M71" t="s">
        <v>45</v>
      </c>
      <c r="N71">
        <v>1435.95</v>
      </c>
    </row>
    <row r="72" spans="1:14" x14ac:dyDescent="0.3">
      <c r="A72" t="s">
        <v>330</v>
      </c>
      <c r="B72" s="8">
        <v>45072</v>
      </c>
      <c r="C72" t="s">
        <v>331</v>
      </c>
      <c r="D72" t="s">
        <v>89</v>
      </c>
      <c r="E72">
        <v>1</v>
      </c>
      <c r="F72">
        <v>629.21</v>
      </c>
      <c r="G72" t="s">
        <v>332</v>
      </c>
      <c r="H72" t="s">
        <v>76</v>
      </c>
      <c r="I72" t="s">
        <v>105</v>
      </c>
      <c r="J72" t="s">
        <v>333</v>
      </c>
      <c r="K72">
        <v>2</v>
      </c>
      <c r="L72" t="s">
        <v>53</v>
      </c>
      <c r="M72" t="s">
        <v>38</v>
      </c>
      <c r="N72">
        <v>629.21</v>
      </c>
    </row>
    <row r="73" spans="1:14" x14ac:dyDescent="0.3">
      <c r="A73" t="s">
        <v>334</v>
      </c>
      <c r="B73" s="8">
        <v>45818</v>
      </c>
      <c r="C73" t="s">
        <v>335</v>
      </c>
      <c r="D73" t="s">
        <v>32</v>
      </c>
      <c r="E73">
        <v>3</v>
      </c>
      <c r="F73">
        <v>434.45</v>
      </c>
      <c r="G73" t="s">
        <v>336</v>
      </c>
      <c r="H73" t="s">
        <v>50</v>
      </c>
      <c r="I73" t="s">
        <v>105</v>
      </c>
      <c r="J73" t="s">
        <v>337</v>
      </c>
      <c r="K73">
        <v>4</v>
      </c>
      <c r="M73" t="s">
        <v>45</v>
      </c>
      <c r="N73">
        <v>1303.3499999999999</v>
      </c>
    </row>
    <row r="74" spans="1:14" x14ac:dyDescent="0.3">
      <c r="A74" t="s">
        <v>338</v>
      </c>
      <c r="B74" s="8">
        <v>45648</v>
      </c>
      <c r="C74" t="s">
        <v>339</v>
      </c>
      <c r="D74" t="s">
        <v>48</v>
      </c>
      <c r="E74">
        <v>4</v>
      </c>
      <c r="F74">
        <v>589.44000000000005</v>
      </c>
      <c r="G74" t="s">
        <v>117</v>
      </c>
      <c r="H74" t="s">
        <v>76</v>
      </c>
      <c r="I74" t="s">
        <v>59</v>
      </c>
      <c r="J74" t="s">
        <v>340</v>
      </c>
      <c r="K74">
        <v>5</v>
      </c>
      <c r="M74" t="s">
        <v>61</v>
      </c>
      <c r="N74">
        <v>2357.7600000000002</v>
      </c>
    </row>
    <row r="75" spans="1:14" x14ac:dyDescent="0.3">
      <c r="A75" t="s">
        <v>341</v>
      </c>
      <c r="B75" s="8">
        <v>45049</v>
      </c>
      <c r="C75" t="s">
        <v>342</v>
      </c>
      <c r="D75" t="s">
        <v>32</v>
      </c>
      <c r="E75">
        <v>4</v>
      </c>
      <c r="F75">
        <v>433.45</v>
      </c>
      <c r="G75" t="s">
        <v>343</v>
      </c>
      <c r="H75" t="s">
        <v>76</v>
      </c>
      <c r="I75" t="s">
        <v>51</v>
      </c>
      <c r="J75" t="s">
        <v>344</v>
      </c>
      <c r="K75">
        <v>4</v>
      </c>
      <c r="M75" t="s">
        <v>61</v>
      </c>
      <c r="N75">
        <v>1733.8</v>
      </c>
    </row>
    <row r="76" spans="1:14" x14ac:dyDescent="0.3">
      <c r="A76" t="s">
        <v>345</v>
      </c>
      <c r="B76" s="8">
        <v>45101</v>
      </c>
      <c r="C76" t="s">
        <v>346</v>
      </c>
      <c r="D76" t="s">
        <v>41</v>
      </c>
      <c r="E76">
        <v>5</v>
      </c>
      <c r="F76">
        <v>90.87</v>
      </c>
      <c r="G76" t="s">
        <v>347</v>
      </c>
      <c r="H76" t="s">
        <v>81</v>
      </c>
      <c r="I76" t="s">
        <v>105</v>
      </c>
      <c r="J76" t="s">
        <v>348</v>
      </c>
      <c r="K76">
        <v>5</v>
      </c>
      <c r="M76" t="s">
        <v>38</v>
      </c>
      <c r="N76">
        <v>454.35</v>
      </c>
    </row>
    <row r="77" spans="1:14" x14ac:dyDescent="0.3">
      <c r="A77" t="s">
        <v>349</v>
      </c>
      <c r="B77" s="8">
        <v>45195</v>
      </c>
      <c r="C77" t="s">
        <v>350</v>
      </c>
      <c r="D77" t="s">
        <v>48</v>
      </c>
      <c r="E77">
        <v>3</v>
      </c>
      <c r="F77">
        <v>398.17</v>
      </c>
      <c r="G77" t="s">
        <v>351</v>
      </c>
      <c r="H77" t="s">
        <v>34</v>
      </c>
      <c r="I77" t="s">
        <v>66</v>
      </c>
      <c r="J77" t="s">
        <v>352</v>
      </c>
      <c r="K77">
        <v>5</v>
      </c>
      <c r="L77" t="s">
        <v>37</v>
      </c>
      <c r="M77" t="s">
        <v>54</v>
      </c>
      <c r="N77">
        <v>1194.51</v>
      </c>
    </row>
    <row r="78" spans="1:14" x14ac:dyDescent="0.3">
      <c r="A78" t="s">
        <v>353</v>
      </c>
      <c r="B78" s="8">
        <v>45382</v>
      </c>
      <c r="C78" t="s">
        <v>354</v>
      </c>
      <c r="D78" t="s">
        <v>74</v>
      </c>
      <c r="E78">
        <v>4</v>
      </c>
      <c r="F78">
        <v>382.88</v>
      </c>
      <c r="G78" t="s">
        <v>355</v>
      </c>
      <c r="H78" t="s">
        <v>81</v>
      </c>
      <c r="I78" t="s">
        <v>51</v>
      </c>
      <c r="J78" t="s">
        <v>356</v>
      </c>
      <c r="K78">
        <v>6</v>
      </c>
      <c r="L78" t="s">
        <v>97</v>
      </c>
      <c r="M78" t="s">
        <v>54</v>
      </c>
      <c r="N78">
        <v>1531.52</v>
      </c>
    </row>
    <row r="79" spans="1:14" x14ac:dyDescent="0.3">
      <c r="A79" t="s">
        <v>357</v>
      </c>
      <c r="B79" s="8">
        <v>45436</v>
      </c>
      <c r="C79" t="s">
        <v>358</v>
      </c>
      <c r="D79" t="s">
        <v>41</v>
      </c>
      <c r="E79">
        <v>1</v>
      </c>
      <c r="F79">
        <v>583.17999999999995</v>
      </c>
      <c r="G79" t="s">
        <v>359</v>
      </c>
      <c r="H79" t="s">
        <v>50</v>
      </c>
      <c r="I79" t="s">
        <v>59</v>
      </c>
      <c r="J79" t="s">
        <v>360</v>
      </c>
      <c r="K79">
        <v>5</v>
      </c>
      <c r="M79" t="s">
        <v>92</v>
      </c>
      <c r="N79">
        <v>583.17999999999995</v>
      </c>
    </row>
    <row r="80" spans="1:14" x14ac:dyDescent="0.3">
      <c r="A80" t="s">
        <v>361</v>
      </c>
      <c r="B80" s="8">
        <v>45510</v>
      </c>
      <c r="C80" t="s">
        <v>362</v>
      </c>
      <c r="D80" t="s">
        <v>64</v>
      </c>
      <c r="E80">
        <v>4</v>
      </c>
      <c r="F80">
        <v>175.36</v>
      </c>
      <c r="G80" t="s">
        <v>363</v>
      </c>
      <c r="H80" t="s">
        <v>34</v>
      </c>
      <c r="I80" t="s">
        <v>66</v>
      </c>
      <c r="J80" t="s">
        <v>364</v>
      </c>
      <c r="K80">
        <v>4</v>
      </c>
      <c r="L80" t="s">
        <v>53</v>
      </c>
      <c r="M80" t="s">
        <v>38</v>
      </c>
      <c r="N80">
        <v>701.44</v>
      </c>
    </row>
    <row r="81" spans="1:14" x14ac:dyDescent="0.3">
      <c r="A81" t="s">
        <v>365</v>
      </c>
      <c r="B81" s="8">
        <v>45726</v>
      </c>
      <c r="C81" t="s">
        <v>366</v>
      </c>
      <c r="D81" t="s">
        <v>48</v>
      </c>
      <c r="E81">
        <v>2</v>
      </c>
      <c r="F81">
        <v>311.91000000000003</v>
      </c>
      <c r="G81" t="s">
        <v>367</v>
      </c>
      <c r="H81" t="s">
        <v>43</v>
      </c>
      <c r="I81" t="s">
        <v>35</v>
      </c>
      <c r="J81" t="s">
        <v>368</v>
      </c>
      <c r="K81">
        <v>2</v>
      </c>
      <c r="M81" t="s">
        <v>61</v>
      </c>
      <c r="N81">
        <v>623.82000000000005</v>
      </c>
    </row>
    <row r="82" spans="1:14" x14ac:dyDescent="0.3">
      <c r="A82" t="s">
        <v>369</v>
      </c>
      <c r="B82" s="8">
        <v>45104</v>
      </c>
      <c r="C82" t="s">
        <v>370</v>
      </c>
      <c r="D82" t="s">
        <v>41</v>
      </c>
      <c r="E82">
        <v>3</v>
      </c>
      <c r="F82">
        <v>589.55999999999995</v>
      </c>
      <c r="G82" t="s">
        <v>371</v>
      </c>
      <c r="H82" t="s">
        <v>43</v>
      </c>
      <c r="I82" t="s">
        <v>59</v>
      </c>
      <c r="J82" t="s">
        <v>372</v>
      </c>
      <c r="K82">
        <v>6</v>
      </c>
      <c r="M82" t="s">
        <v>61</v>
      </c>
      <c r="N82">
        <v>1768.68</v>
      </c>
    </row>
    <row r="83" spans="1:14" x14ac:dyDescent="0.3">
      <c r="A83" t="s">
        <v>373</v>
      </c>
      <c r="B83" s="8">
        <v>45085</v>
      </c>
      <c r="C83" t="s">
        <v>374</v>
      </c>
      <c r="D83" t="s">
        <v>32</v>
      </c>
      <c r="E83">
        <v>2</v>
      </c>
      <c r="F83">
        <v>394.3</v>
      </c>
      <c r="G83" t="s">
        <v>375</v>
      </c>
      <c r="H83" t="s">
        <v>81</v>
      </c>
      <c r="I83" t="s">
        <v>35</v>
      </c>
      <c r="J83" t="s">
        <v>376</v>
      </c>
      <c r="K83">
        <v>6</v>
      </c>
      <c r="L83" t="s">
        <v>53</v>
      </c>
      <c r="M83" t="s">
        <v>54</v>
      </c>
      <c r="N83">
        <v>788.6</v>
      </c>
    </row>
    <row r="84" spans="1:14" x14ac:dyDescent="0.3">
      <c r="A84" t="s">
        <v>377</v>
      </c>
      <c r="B84" s="8">
        <v>45296</v>
      </c>
      <c r="C84" t="s">
        <v>378</v>
      </c>
      <c r="D84" t="s">
        <v>48</v>
      </c>
      <c r="E84">
        <v>4</v>
      </c>
      <c r="F84">
        <v>565.20000000000005</v>
      </c>
      <c r="G84" t="s">
        <v>379</v>
      </c>
      <c r="H84" t="s">
        <v>34</v>
      </c>
      <c r="I84" t="s">
        <v>35</v>
      </c>
      <c r="J84" t="s">
        <v>380</v>
      </c>
      <c r="K84">
        <v>9</v>
      </c>
      <c r="L84" t="s">
        <v>37</v>
      </c>
      <c r="M84" t="s">
        <v>92</v>
      </c>
      <c r="N84">
        <v>2260.8000000000002</v>
      </c>
    </row>
    <row r="85" spans="1:14" x14ac:dyDescent="0.3">
      <c r="A85" t="s">
        <v>381</v>
      </c>
      <c r="B85" s="8">
        <v>45160</v>
      </c>
      <c r="C85" t="s">
        <v>382</v>
      </c>
      <c r="D85" t="s">
        <v>74</v>
      </c>
      <c r="E85">
        <v>4</v>
      </c>
      <c r="F85">
        <v>540.41</v>
      </c>
      <c r="G85" t="s">
        <v>383</v>
      </c>
      <c r="H85" t="s">
        <v>50</v>
      </c>
      <c r="I85" t="s">
        <v>51</v>
      </c>
      <c r="J85" t="s">
        <v>384</v>
      </c>
      <c r="K85">
        <v>6</v>
      </c>
      <c r="M85" t="s">
        <v>45</v>
      </c>
      <c r="N85">
        <v>2161.64</v>
      </c>
    </row>
    <row r="86" spans="1:14" x14ac:dyDescent="0.3">
      <c r="A86" t="s">
        <v>385</v>
      </c>
      <c r="B86" s="8">
        <v>45166</v>
      </c>
      <c r="C86" t="s">
        <v>386</v>
      </c>
      <c r="D86" t="s">
        <v>32</v>
      </c>
      <c r="E86">
        <v>2</v>
      </c>
      <c r="F86">
        <v>165.49</v>
      </c>
      <c r="G86" t="s">
        <v>387</v>
      </c>
      <c r="H86" t="s">
        <v>43</v>
      </c>
      <c r="I86" t="s">
        <v>35</v>
      </c>
      <c r="J86" t="s">
        <v>388</v>
      </c>
      <c r="K86">
        <v>4</v>
      </c>
      <c r="L86" t="s">
        <v>97</v>
      </c>
      <c r="M86" t="s">
        <v>38</v>
      </c>
      <c r="N86">
        <v>330.98</v>
      </c>
    </row>
    <row r="87" spans="1:14" x14ac:dyDescent="0.3">
      <c r="A87" t="s">
        <v>389</v>
      </c>
      <c r="B87" s="8">
        <v>45544</v>
      </c>
      <c r="C87" t="s">
        <v>390</v>
      </c>
      <c r="D87" t="s">
        <v>48</v>
      </c>
      <c r="E87">
        <v>3</v>
      </c>
      <c r="F87">
        <v>146.72999999999999</v>
      </c>
      <c r="G87" t="s">
        <v>391</v>
      </c>
      <c r="H87" t="s">
        <v>81</v>
      </c>
      <c r="I87" t="s">
        <v>66</v>
      </c>
      <c r="J87" t="s">
        <v>392</v>
      </c>
      <c r="K87">
        <v>8</v>
      </c>
      <c r="L87" t="s">
        <v>53</v>
      </c>
      <c r="M87" t="s">
        <v>54</v>
      </c>
      <c r="N87">
        <v>440.19</v>
      </c>
    </row>
    <row r="88" spans="1:14" x14ac:dyDescent="0.3">
      <c r="A88" t="s">
        <v>393</v>
      </c>
      <c r="B88" s="8">
        <v>45462</v>
      </c>
      <c r="C88" t="s">
        <v>394</v>
      </c>
      <c r="D88" t="s">
        <v>64</v>
      </c>
      <c r="E88">
        <v>5</v>
      </c>
      <c r="F88">
        <v>643.03</v>
      </c>
      <c r="G88" t="s">
        <v>395</v>
      </c>
      <c r="H88" t="s">
        <v>43</v>
      </c>
      <c r="I88" t="s">
        <v>51</v>
      </c>
      <c r="J88" t="s">
        <v>396</v>
      </c>
      <c r="K88">
        <v>5</v>
      </c>
      <c r="L88" t="s">
        <v>53</v>
      </c>
      <c r="M88" t="s">
        <v>45</v>
      </c>
      <c r="N88">
        <v>3215.15</v>
      </c>
    </row>
    <row r="89" spans="1:14" x14ac:dyDescent="0.3">
      <c r="A89" t="s">
        <v>397</v>
      </c>
      <c r="B89" s="8">
        <v>45575</v>
      </c>
      <c r="C89" t="s">
        <v>398</v>
      </c>
      <c r="D89" t="s">
        <v>48</v>
      </c>
      <c r="E89">
        <v>3</v>
      </c>
      <c r="F89">
        <v>225.11</v>
      </c>
      <c r="G89" t="s">
        <v>399</v>
      </c>
      <c r="H89" t="s">
        <v>81</v>
      </c>
      <c r="I89" t="s">
        <v>35</v>
      </c>
      <c r="J89" t="s">
        <v>400</v>
      </c>
      <c r="K89">
        <v>4</v>
      </c>
      <c r="L89" t="s">
        <v>37</v>
      </c>
      <c r="M89" t="s">
        <v>61</v>
      </c>
      <c r="N89">
        <v>675.33</v>
      </c>
    </row>
    <row r="90" spans="1:14" x14ac:dyDescent="0.3">
      <c r="A90" t="s">
        <v>401</v>
      </c>
      <c r="B90" s="8">
        <v>45813</v>
      </c>
      <c r="C90" t="s">
        <v>402</v>
      </c>
      <c r="D90" t="s">
        <v>89</v>
      </c>
      <c r="E90">
        <v>3</v>
      </c>
      <c r="F90">
        <v>114.81</v>
      </c>
      <c r="G90" t="s">
        <v>403</v>
      </c>
      <c r="H90" t="s">
        <v>76</v>
      </c>
      <c r="I90" t="s">
        <v>51</v>
      </c>
      <c r="J90" t="s">
        <v>404</v>
      </c>
      <c r="K90">
        <v>7</v>
      </c>
      <c r="M90" t="s">
        <v>92</v>
      </c>
      <c r="N90">
        <v>344.43</v>
      </c>
    </row>
    <row r="91" spans="1:14" x14ac:dyDescent="0.3">
      <c r="A91" t="s">
        <v>405</v>
      </c>
      <c r="B91" s="8">
        <v>45713</v>
      </c>
      <c r="C91" t="s">
        <v>406</v>
      </c>
      <c r="D91" t="s">
        <v>64</v>
      </c>
      <c r="E91">
        <v>5</v>
      </c>
      <c r="F91">
        <v>455.33</v>
      </c>
      <c r="G91" t="s">
        <v>407</v>
      </c>
      <c r="H91" t="s">
        <v>50</v>
      </c>
      <c r="I91" t="s">
        <v>51</v>
      </c>
      <c r="J91" t="s">
        <v>408</v>
      </c>
      <c r="K91">
        <v>8</v>
      </c>
      <c r="L91" t="s">
        <v>53</v>
      </c>
      <c r="M91" t="s">
        <v>92</v>
      </c>
      <c r="N91">
        <v>2276.65</v>
      </c>
    </row>
    <row r="92" spans="1:14" x14ac:dyDescent="0.3">
      <c r="A92" t="s">
        <v>409</v>
      </c>
      <c r="B92" s="8">
        <v>45187</v>
      </c>
      <c r="C92" t="s">
        <v>410</v>
      </c>
      <c r="D92" t="s">
        <v>57</v>
      </c>
      <c r="E92">
        <v>4</v>
      </c>
      <c r="F92">
        <v>182.08</v>
      </c>
      <c r="G92" t="s">
        <v>411</v>
      </c>
      <c r="H92" t="s">
        <v>76</v>
      </c>
      <c r="I92" t="s">
        <v>66</v>
      </c>
      <c r="J92" t="s">
        <v>412</v>
      </c>
      <c r="K92">
        <v>4</v>
      </c>
      <c r="L92" t="s">
        <v>37</v>
      </c>
      <c r="M92" t="s">
        <v>54</v>
      </c>
      <c r="N92">
        <v>728.32</v>
      </c>
    </row>
    <row r="93" spans="1:14" x14ac:dyDescent="0.3">
      <c r="A93" t="s">
        <v>413</v>
      </c>
      <c r="B93" s="8">
        <v>45000</v>
      </c>
      <c r="C93" t="s">
        <v>414</v>
      </c>
      <c r="D93" t="s">
        <v>74</v>
      </c>
      <c r="E93">
        <v>5</v>
      </c>
      <c r="F93">
        <v>492.75</v>
      </c>
      <c r="G93" t="s">
        <v>415</v>
      </c>
      <c r="H93" t="s">
        <v>81</v>
      </c>
      <c r="I93" t="s">
        <v>35</v>
      </c>
      <c r="J93" t="s">
        <v>416</v>
      </c>
      <c r="K93">
        <v>6</v>
      </c>
      <c r="L93" t="s">
        <v>97</v>
      </c>
      <c r="M93" t="s">
        <v>45</v>
      </c>
      <c r="N93">
        <v>2463.75</v>
      </c>
    </row>
    <row r="94" spans="1:14" x14ac:dyDescent="0.3">
      <c r="A94" t="s">
        <v>417</v>
      </c>
      <c r="B94" s="8">
        <v>45453</v>
      </c>
      <c r="C94" t="s">
        <v>418</v>
      </c>
      <c r="D94" t="s">
        <v>64</v>
      </c>
      <c r="E94">
        <v>4</v>
      </c>
      <c r="F94">
        <v>48.61</v>
      </c>
      <c r="G94" t="s">
        <v>419</v>
      </c>
      <c r="H94" t="s">
        <v>43</v>
      </c>
      <c r="I94" t="s">
        <v>35</v>
      </c>
      <c r="J94" t="s">
        <v>420</v>
      </c>
      <c r="K94">
        <v>7</v>
      </c>
      <c r="L94" t="s">
        <v>53</v>
      </c>
      <c r="M94" t="s">
        <v>61</v>
      </c>
      <c r="N94">
        <v>194.44</v>
      </c>
    </row>
    <row r="95" spans="1:14" x14ac:dyDescent="0.3">
      <c r="A95" t="s">
        <v>421</v>
      </c>
      <c r="B95" s="8">
        <v>44940</v>
      </c>
      <c r="C95" t="s">
        <v>422</v>
      </c>
      <c r="D95" t="s">
        <v>89</v>
      </c>
      <c r="E95">
        <v>4</v>
      </c>
      <c r="F95">
        <v>431.01</v>
      </c>
      <c r="G95" t="s">
        <v>423</v>
      </c>
      <c r="H95" t="s">
        <v>50</v>
      </c>
      <c r="I95" t="s">
        <v>59</v>
      </c>
      <c r="J95" t="s">
        <v>424</v>
      </c>
      <c r="K95">
        <v>7</v>
      </c>
      <c r="M95" t="s">
        <v>45</v>
      </c>
      <c r="N95">
        <v>1724.04</v>
      </c>
    </row>
    <row r="96" spans="1:14" x14ac:dyDescent="0.3">
      <c r="A96" t="s">
        <v>425</v>
      </c>
      <c r="B96" s="8">
        <v>44968</v>
      </c>
      <c r="C96" t="s">
        <v>426</v>
      </c>
      <c r="D96" t="s">
        <v>57</v>
      </c>
      <c r="E96">
        <v>1</v>
      </c>
      <c r="F96">
        <v>531.17999999999995</v>
      </c>
      <c r="G96" t="s">
        <v>427</v>
      </c>
      <c r="H96" t="s">
        <v>76</v>
      </c>
      <c r="I96" t="s">
        <v>59</v>
      </c>
      <c r="J96" t="s">
        <v>428</v>
      </c>
      <c r="K96">
        <v>6</v>
      </c>
      <c r="L96" t="s">
        <v>97</v>
      </c>
      <c r="M96" t="s">
        <v>38</v>
      </c>
      <c r="N96">
        <v>531.17999999999995</v>
      </c>
    </row>
    <row r="97" spans="1:14" x14ac:dyDescent="0.3">
      <c r="A97" t="s">
        <v>429</v>
      </c>
      <c r="B97" s="8">
        <v>45009</v>
      </c>
      <c r="C97" t="s">
        <v>430</v>
      </c>
      <c r="D97" t="s">
        <v>64</v>
      </c>
      <c r="E97">
        <v>4</v>
      </c>
      <c r="F97">
        <v>117.51</v>
      </c>
      <c r="G97" t="s">
        <v>431</v>
      </c>
      <c r="H97" t="s">
        <v>34</v>
      </c>
      <c r="I97" t="s">
        <v>59</v>
      </c>
      <c r="J97" t="s">
        <v>432</v>
      </c>
      <c r="K97">
        <v>7</v>
      </c>
      <c r="M97" t="s">
        <v>45</v>
      </c>
      <c r="N97">
        <v>470.04</v>
      </c>
    </row>
    <row r="98" spans="1:14" x14ac:dyDescent="0.3">
      <c r="A98" t="s">
        <v>433</v>
      </c>
      <c r="B98" s="8">
        <v>45444</v>
      </c>
      <c r="C98" t="s">
        <v>434</v>
      </c>
      <c r="D98" t="s">
        <v>41</v>
      </c>
      <c r="E98">
        <v>2</v>
      </c>
      <c r="F98">
        <v>232.83</v>
      </c>
      <c r="G98" t="s">
        <v>367</v>
      </c>
      <c r="H98" t="s">
        <v>76</v>
      </c>
      <c r="I98" t="s">
        <v>66</v>
      </c>
      <c r="J98" t="s">
        <v>435</v>
      </c>
      <c r="K98">
        <v>7</v>
      </c>
      <c r="M98" t="s">
        <v>38</v>
      </c>
      <c r="N98">
        <v>465.66</v>
      </c>
    </row>
    <row r="99" spans="1:14" x14ac:dyDescent="0.3">
      <c r="A99" t="s">
        <v>436</v>
      </c>
      <c r="B99" s="8">
        <v>45678</v>
      </c>
      <c r="C99" t="s">
        <v>437</v>
      </c>
      <c r="D99" t="s">
        <v>48</v>
      </c>
      <c r="E99">
        <v>5</v>
      </c>
      <c r="F99">
        <v>619.52</v>
      </c>
      <c r="G99" t="s">
        <v>438</v>
      </c>
      <c r="H99" t="s">
        <v>34</v>
      </c>
      <c r="I99" t="s">
        <v>105</v>
      </c>
      <c r="J99" t="s">
        <v>439</v>
      </c>
      <c r="K99">
        <v>9</v>
      </c>
      <c r="M99" t="s">
        <v>54</v>
      </c>
      <c r="N99">
        <v>3097.6</v>
      </c>
    </row>
    <row r="100" spans="1:14" x14ac:dyDescent="0.3">
      <c r="A100" t="s">
        <v>440</v>
      </c>
      <c r="B100" s="8">
        <v>44940</v>
      </c>
      <c r="C100" t="s">
        <v>441</v>
      </c>
      <c r="D100" t="s">
        <v>64</v>
      </c>
      <c r="E100">
        <v>2</v>
      </c>
      <c r="F100">
        <v>228.54</v>
      </c>
      <c r="G100" t="s">
        <v>442</v>
      </c>
      <c r="H100" t="s">
        <v>34</v>
      </c>
      <c r="I100" t="s">
        <v>105</v>
      </c>
      <c r="J100" t="s">
        <v>443</v>
      </c>
      <c r="K100">
        <v>3</v>
      </c>
      <c r="M100" t="s">
        <v>54</v>
      </c>
      <c r="N100">
        <v>457.08</v>
      </c>
    </row>
    <row r="101" spans="1:14" x14ac:dyDescent="0.3">
      <c r="A101" t="s">
        <v>444</v>
      </c>
      <c r="B101" s="8">
        <v>45759</v>
      </c>
      <c r="C101" t="s">
        <v>445</v>
      </c>
      <c r="D101" t="s">
        <v>64</v>
      </c>
      <c r="E101">
        <v>1</v>
      </c>
      <c r="F101">
        <v>201.58</v>
      </c>
      <c r="G101" t="s">
        <v>446</v>
      </c>
      <c r="H101" t="s">
        <v>34</v>
      </c>
      <c r="I101" t="s">
        <v>51</v>
      </c>
      <c r="J101" t="s">
        <v>447</v>
      </c>
      <c r="K101">
        <v>2</v>
      </c>
      <c r="L101" t="s">
        <v>97</v>
      </c>
      <c r="M101" t="s">
        <v>54</v>
      </c>
      <c r="N101">
        <v>201.58</v>
      </c>
    </row>
    <row r="102" spans="1:14" x14ac:dyDescent="0.3">
      <c r="A102" t="s">
        <v>448</v>
      </c>
      <c r="B102" s="8">
        <v>44974</v>
      </c>
      <c r="C102" t="s">
        <v>449</v>
      </c>
      <c r="D102" t="s">
        <v>41</v>
      </c>
      <c r="E102">
        <v>3</v>
      </c>
      <c r="F102">
        <v>664.79</v>
      </c>
      <c r="G102" t="s">
        <v>450</v>
      </c>
      <c r="H102" t="s">
        <v>43</v>
      </c>
      <c r="I102" t="s">
        <v>66</v>
      </c>
      <c r="J102" t="s">
        <v>451</v>
      </c>
      <c r="K102">
        <v>6</v>
      </c>
      <c r="M102" t="s">
        <v>61</v>
      </c>
      <c r="N102">
        <v>1994.37</v>
      </c>
    </row>
    <row r="103" spans="1:14" x14ac:dyDescent="0.3">
      <c r="A103" t="s">
        <v>452</v>
      </c>
      <c r="B103" s="8">
        <v>45255</v>
      </c>
      <c r="C103" t="s">
        <v>453</v>
      </c>
      <c r="D103" t="s">
        <v>64</v>
      </c>
      <c r="E103">
        <v>1</v>
      </c>
      <c r="F103">
        <v>381.02</v>
      </c>
      <c r="G103" t="s">
        <v>454</v>
      </c>
      <c r="H103" t="s">
        <v>81</v>
      </c>
      <c r="I103" t="s">
        <v>35</v>
      </c>
      <c r="J103" t="s">
        <v>455</v>
      </c>
      <c r="K103">
        <v>6</v>
      </c>
      <c r="M103" t="s">
        <v>92</v>
      </c>
      <c r="N103">
        <v>381.02</v>
      </c>
    </row>
    <row r="104" spans="1:14" x14ac:dyDescent="0.3">
      <c r="A104" t="s">
        <v>456</v>
      </c>
      <c r="B104" s="8">
        <v>44993</v>
      </c>
      <c r="C104" t="s">
        <v>457</v>
      </c>
      <c r="D104" t="s">
        <v>74</v>
      </c>
      <c r="E104">
        <v>2</v>
      </c>
      <c r="F104">
        <v>70.34</v>
      </c>
      <c r="G104" t="s">
        <v>458</v>
      </c>
      <c r="H104" t="s">
        <v>76</v>
      </c>
      <c r="I104" t="s">
        <v>51</v>
      </c>
      <c r="J104" t="s">
        <v>459</v>
      </c>
      <c r="K104">
        <v>3</v>
      </c>
      <c r="L104" t="s">
        <v>53</v>
      </c>
      <c r="M104" t="s">
        <v>54</v>
      </c>
      <c r="N104">
        <v>140.68</v>
      </c>
    </row>
    <row r="105" spans="1:14" x14ac:dyDescent="0.3">
      <c r="A105" t="s">
        <v>460</v>
      </c>
      <c r="B105" s="8">
        <v>45682</v>
      </c>
      <c r="C105" t="s">
        <v>461</v>
      </c>
      <c r="D105" t="s">
        <v>41</v>
      </c>
      <c r="E105">
        <v>4</v>
      </c>
      <c r="F105">
        <v>218.43</v>
      </c>
      <c r="G105" t="s">
        <v>462</v>
      </c>
      <c r="H105" t="s">
        <v>50</v>
      </c>
      <c r="I105" t="s">
        <v>51</v>
      </c>
      <c r="J105" t="s">
        <v>463</v>
      </c>
      <c r="K105">
        <v>9</v>
      </c>
      <c r="L105" t="s">
        <v>37</v>
      </c>
      <c r="M105" t="s">
        <v>54</v>
      </c>
      <c r="N105">
        <v>873.72</v>
      </c>
    </row>
    <row r="106" spans="1:14" x14ac:dyDescent="0.3">
      <c r="A106" t="s">
        <v>464</v>
      </c>
      <c r="B106" s="8">
        <v>45503</v>
      </c>
      <c r="C106" t="s">
        <v>465</v>
      </c>
      <c r="D106" t="s">
        <v>41</v>
      </c>
      <c r="E106">
        <v>1</v>
      </c>
      <c r="F106">
        <v>582.04</v>
      </c>
      <c r="G106" t="s">
        <v>466</v>
      </c>
      <c r="H106" t="s">
        <v>76</v>
      </c>
      <c r="I106" t="s">
        <v>66</v>
      </c>
      <c r="J106" t="s">
        <v>467</v>
      </c>
      <c r="K106">
        <v>1</v>
      </c>
      <c r="L106" t="s">
        <v>53</v>
      </c>
      <c r="M106" t="s">
        <v>54</v>
      </c>
      <c r="N106">
        <v>582.04</v>
      </c>
    </row>
    <row r="107" spans="1:14" x14ac:dyDescent="0.3">
      <c r="A107" t="s">
        <v>468</v>
      </c>
      <c r="B107" s="8">
        <v>45589</v>
      </c>
      <c r="C107" t="s">
        <v>469</v>
      </c>
      <c r="D107" t="s">
        <v>64</v>
      </c>
      <c r="E107">
        <v>3</v>
      </c>
      <c r="F107">
        <v>185.4</v>
      </c>
      <c r="G107" t="s">
        <v>470</v>
      </c>
      <c r="H107" t="s">
        <v>76</v>
      </c>
      <c r="I107" t="s">
        <v>51</v>
      </c>
      <c r="J107" t="s">
        <v>471</v>
      </c>
      <c r="K107">
        <v>7</v>
      </c>
      <c r="M107" t="s">
        <v>61</v>
      </c>
      <c r="N107">
        <v>556.20000000000005</v>
      </c>
    </row>
    <row r="108" spans="1:14" x14ac:dyDescent="0.3">
      <c r="A108" t="s">
        <v>472</v>
      </c>
      <c r="B108" s="8">
        <v>45177</v>
      </c>
      <c r="C108" t="s">
        <v>473</v>
      </c>
      <c r="D108" t="s">
        <v>89</v>
      </c>
      <c r="E108">
        <v>3</v>
      </c>
      <c r="F108">
        <v>465.05</v>
      </c>
      <c r="G108" t="s">
        <v>474</v>
      </c>
      <c r="H108" t="s">
        <v>50</v>
      </c>
      <c r="I108" t="s">
        <v>51</v>
      </c>
      <c r="J108" t="s">
        <v>475</v>
      </c>
      <c r="K108">
        <v>3</v>
      </c>
      <c r="L108" t="s">
        <v>37</v>
      </c>
      <c r="M108" t="s">
        <v>54</v>
      </c>
      <c r="N108">
        <v>1395.15</v>
      </c>
    </row>
    <row r="109" spans="1:14" x14ac:dyDescent="0.3">
      <c r="A109" t="s">
        <v>476</v>
      </c>
      <c r="B109" s="8">
        <v>45012</v>
      </c>
      <c r="C109" t="s">
        <v>477</v>
      </c>
      <c r="D109" t="s">
        <v>64</v>
      </c>
      <c r="E109">
        <v>5</v>
      </c>
      <c r="F109">
        <v>670.75</v>
      </c>
      <c r="G109" t="s">
        <v>478</v>
      </c>
      <c r="H109" t="s">
        <v>76</v>
      </c>
      <c r="I109" t="s">
        <v>35</v>
      </c>
      <c r="J109" t="s">
        <v>479</v>
      </c>
      <c r="K109">
        <v>8</v>
      </c>
      <c r="L109" t="s">
        <v>53</v>
      </c>
      <c r="M109" t="s">
        <v>38</v>
      </c>
      <c r="N109">
        <v>3353.75</v>
      </c>
    </row>
    <row r="110" spans="1:14" x14ac:dyDescent="0.3">
      <c r="A110" t="s">
        <v>480</v>
      </c>
      <c r="B110" s="8">
        <v>45654</v>
      </c>
      <c r="C110" t="s">
        <v>481</v>
      </c>
      <c r="D110" t="s">
        <v>74</v>
      </c>
      <c r="E110">
        <v>5</v>
      </c>
      <c r="F110">
        <v>48.38</v>
      </c>
      <c r="G110" t="s">
        <v>482</v>
      </c>
      <c r="H110" t="s">
        <v>76</v>
      </c>
      <c r="I110" t="s">
        <v>66</v>
      </c>
      <c r="J110" t="s">
        <v>483</v>
      </c>
      <c r="K110">
        <v>9</v>
      </c>
      <c r="L110" t="s">
        <v>97</v>
      </c>
      <c r="M110" t="s">
        <v>54</v>
      </c>
      <c r="N110">
        <v>241.9</v>
      </c>
    </row>
    <row r="111" spans="1:14" x14ac:dyDescent="0.3">
      <c r="A111" t="s">
        <v>484</v>
      </c>
      <c r="B111" s="8">
        <v>45186</v>
      </c>
      <c r="C111" t="s">
        <v>485</v>
      </c>
      <c r="D111" t="s">
        <v>89</v>
      </c>
      <c r="E111">
        <v>3</v>
      </c>
      <c r="F111">
        <v>592.87</v>
      </c>
      <c r="G111" t="s">
        <v>486</v>
      </c>
      <c r="H111" t="s">
        <v>76</v>
      </c>
      <c r="I111" t="s">
        <v>35</v>
      </c>
      <c r="J111" t="s">
        <v>487</v>
      </c>
      <c r="K111">
        <v>3</v>
      </c>
      <c r="L111" t="s">
        <v>53</v>
      </c>
      <c r="M111" t="s">
        <v>45</v>
      </c>
      <c r="N111">
        <v>1778.61</v>
      </c>
    </row>
    <row r="112" spans="1:14" x14ac:dyDescent="0.3">
      <c r="A112" t="s">
        <v>488</v>
      </c>
      <c r="B112" s="8">
        <v>45403</v>
      </c>
      <c r="C112" t="s">
        <v>489</v>
      </c>
      <c r="D112" t="s">
        <v>48</v>
      </c>
      <c r="E112">
        <v>1</v>
      </c>
      <c r="F112">
        <v>220.77</v>
      </c>
      <c r="G112" t="s">
        <v>490</v>
      </c>
      <c r="H112" t="s">
        <v>76</v>
      </c>
      <c r="I112" t="s">
        <v>105</v>
      </c>
      <c r="J112" t="s">
        <v>491</v>
      </c>
      <c r="K112">
        <v>5</v>
      </c>
      <c r="L112" t="s">
        <v>53</v>
      </c>
      <c r="M112" t="s">
        <v>38</v>
      </c>
      <c r="N112">
        <v>220.77</v>
      </c>
    </row>
    <row r="113" spans="1:14" x14ac:dyDescent="0.3">
      <c r="A113" t="s">
        <v>492</v>
      </c>
      <c r="B113" s="8">
        <v>45784</v>
      </c>
      <c r="C113" t="s">
        <v>493</v>
      </c>
      <c r="D113" t="s">
        <v>89</v>
      </c>
      <c r="E113">
        <v>3</v>
      </c>
      <c r="F113">
        <v>309.22000000000003</v>
      </c>
      <c r="G113" t="s">
        <v>494</v>
      </c>
      <c r="H113" t="s">
        <v>43</v>
      </c>
      <c r="I113" t="s">
        <v>51</v>
      </c>
      <c r="J113" t="s">
        <v>495</v>
      </c>
      <c r="K113">
        <v>7</v>
      </c>
      <c r="L113" t="s">
        <v>53</v>
      </c>
      <c r="M113" t="s">
        <v>92</v>
      </c>
      <c r="N113">
        <v>927.66</v>
      </c>
    </row>
    <row r="114" spans="1:14" x14ac:dyDescent="0.3">
      <c r="A114" t="s">
        <v>496</v>
      </c>
      <c r="B114" s="8">
        <v>44927</v>
      </c>
      <c r="C114" t="s">
        <v>497</v>
      </c>
      <c r="D114" t="s">
        <v>32</v>
      </c>
      <c r="E114">
        <v>1</v>
      </c>
      <c r="F114">
        <v>410.6</v>
      </c>
      <c r="G114" t="s">
        <v>498</v>
      </c>
      <c r="H114" t="s">
        <v>43</v>
      </c>
      <c r="I114" t="s">
        <v>51</v>
      </c>
      <c r="J114" t="s">
        <v>499</v>
      </c>
      <c r="K114">
        <v>2</v>
      </c>
      <c r="L114" t="s">
        <v>97</v>
      </c>
      <c r="M114" t="s">
        <v>45</v>
      </c>
      <c r="N114">
        <v>410.6</v>
      </c>
    </row>
    <row r="115" spans="1:14" x14ac:dyDescent="0.3">
      <c r="A115" t="s">
        <v>500</v>
      </c>
      <c r="B115" s="8">
        <v>45308</v>
      </c>
      <c r="C115" t="s">
        <v>501</v>
      </c>
      <c r="D115" t="s">
        <v>74</v>
      </c>
      <c r="E115">
        <v>5</v>
      </c>
      <c r="F115">
        <v>190.08</v>
      </c>
      <c r="G115" t="s">
        <v>502</v>
      </c>
      <c r="H115" t="s">
        <v>81</v>
      </c>
      <c r="I115" t="s">
        <v>35</v>
      </c>
      <c r="J115" t="s">
        <v>503</v>
      </c>
      <c r="K115">
        <v>9</v>
      </c>
      <c r="L115" t="s">
        <v>53</v>
      </c>
      <c r="M115" t="s">
        <v>38</v>
      </c>
      <c r="N115">
        <v>950.4</v>
      </c>
    </row>
    <row r="116" spans="1:14" x14ac:dyDescent="0.3">
      <c r="A116" t="s">
        <v>504</v>
      </c>
      <c r="B116" s="8">
        <v>45684</v>
      </c>
      <c r="C116" t="s">
        <v>505</v>
      </c>
      <c r="D116" t="s">
        <v>32</v>
      </c>
      <c r="E116">
        <v>5</v>
      </c>
      <c r="F116">
        <v>498.48</v>
      </c>
      <c r="G116" t="s">
        <v>506</v>
      </c>
      <c r="H116" t="s">
        <v>43</v>
      </c>
      <c r="I116" t="s">
        <v>105</v>
      </c>
      <c r="J116" t="s">
        <v>507</v>
      </c>
      <c r="K116">
        <v>8</v>
      </c>
      <c r="L116" t="s">
        <v>37</v>
      </c>
      <c r="M116" t="s">
        <v>92</v>
      </c>
      <c r="N116">
        <v>2492.4</v>
      </c>
    </row>
    <row r="117" spans="1:14" x14ac:dyDescent="0.3">
      <c r="A117" t="s">
        <v>508</v>
      </c>
      <c r="B117" s="8">
        <v>45257</v>
      </c>
      <c r="C117" t="s">
        <v>509</v>
      </c>
      <c r="D117" t="s">
        <v>41</v>
      </c>
      <c r="E117">
        <v>5</v>
      </c>
      <c r="F117">
        <v>374.99</v>
      </c>
      <c r="G117" t="s">
        <v>510</v>
      </c>
      <c r="H117" t="s">
        <v>43</v>
      </c>
      <c r="I117" t="s">
        <v>35</v>
      </c>
      <c r="J117" t="s">
        <v>511</v>
      </c>
      <c r="K117">
        <v>9</v>
      </c>
      <c r="L117" t="s">
        <v>37</v>
      </c>
      <c r="M117" t="s">
        <v>61</v>
      </c>
      <c r="N117">
        <v>1874.95</v>
      </c>
    </row>
    <row r="118" spans="1:14" x14ac:dyDescent="0.3">
      <c r="A118" t="s">
        <v>512</v>
      </c>
      <c r="B118" s="8">
        <v>45004</v>
      </c>
      <c r="C118" t="s">
        <v>513</v>
      </c>
      <c r="D118" t="s">
        <v>64</v>
      </c>
      <c r="E118">
        <v>4</v>
      </c>
      <c r="F118">
        <v>291.35000000000002</v>
      </c>
      <c r="G118" t="s">
        <v>514</v>
      </c>
      <c r="H118" t="s">
        <v>50</v>
      </c>
      <c r="I118" t="s">
        <v>51</v>
      </c>
      <c r="J118" t="s">
        <v>515</v>
      </c>
      <c r="K118">
        <v>6</v>
      </c>
      <c r="L118" t="s">
        <v>97</v>
      </c>
      <c r="M118" t="s">
        <v>61</v>
      </c>
      <c r="N118">
        <v>1165.4000000000001</v>
      </c>
    </row>
    <row r="119" spans="1:14" x14ac:dyDescent="0.3">
      <c r="A119" t="s">
        <v>516</v>
      </c>
      <c r="B119" s="8">
        <v>44993</v>
      </c>
      <c r="C119" t="s">
        <v>517</v>
      </c>
      <c r="D119" t="s">
        <v>48</v>
      </c>
      <c r="E119">
        <v>1</v>
      </c>
      <c r="F119">
        <v>535.5</v>
      </c>
      <c r="G119" t="s">
        <v>518</v>
      </c>
      <c r="H119" t="s">
        <v>76</v>
      </c>
      <c r="I119" t="s">
        <v>51</v>
      </c>
      <c r="J119" t="s">
        <v>519</v>
      </c>
      <c r="K119">
        <v>5</v>
      </c>
      <c r="L119" t="s">
        <v>97</v>
      </c>
      <c r="M119" t="s">
        <v>45</v>
      </c>
      <c r="N119">
        <v>535.5</v>
      </c>
    </row>
    <row r="120" spans="1:14" x14ac:dyDescent="0.3">
      <c r="A120" t="s">
        <v>520</v>
      </c>
      <c r="B120" s="8">
        <v>45208</v>
      </c>
      <c r="C120" t="s">
        <v>521</v>
      </c>
      <c r="D120" t="s">
        <v>64</v>
      </c>
      <c r="E120">
        <v>5</v>
      </c>
      <c r="F120">
        <v>502.71</v>
      </c>
      <c r="G120" t="s">
        <v>522</v>
      </c>
      <c r="H120" t="s">
        <v>76</v>
      </c>
      <c r="I120" t="s">
        <v>35</v>
      </c>
      <c r="J120" t="s">
        <v>523</v>
      </c>
      <c r="K120">
        <v>7</v>
      </c>
      <c r="L120" t="s">
        <v>53</v>
      </c>
      <c r="M120" t="s">
        <v>92</v>
      </c>
      <c r="N120">
        <v>2513.5500000000002</v>
      </c>
    </row>
    <row r="121" spans="1:14" x14ac:dyDescent="0.3">
      <c r="A121" t="s">
        <v>524</v>
      </c>
      <c r="B121" s="8">
        <v>45819</v>
      </c>
      <c r="C121" t="s">
        <v>525</v>
      </c>
      <c r="D121" t="s">
        <v>89</v>
      </c>
      <c r="E121">
        <v>2</v>
      </c>
      <c r="F121">
        <v>534.66999999999996</v>
      </c>
      <c r="G121" t="s">
        <v>526</v>
      </c>
      <c r="H121" t="s">
        <v>34</v>
      </c>
      <c r="I121" t="s">
        <v>35</v>
      </c>
      <c r="J121" t="s">
        <v>527</v>
      </c>
      <c r="K121">
        <v>7</v>
      </c>
      <c r="L121" t="s">
        <v>53</v>
      </c>
      <c r="M121" t="s">
        <v>45</v>
      </c>
      <c r="N121">
        <v>1069.3399999999999</v>
      </c>
    </row>
    <row r="122" spans="1:14" x14ac:dyDescent="0.3">
      <c r="A122" t="s">
        <v>528</v>
      </c>
      <c r="B122" s="8">
        <v>45027</v>
      </c>
      <c r="C122" t="s">
        <v>529</v>
      </c>
      <c r="D122" t="s">
        <v>48</v>
      </c>
      <c r="E122">
        <v>4</v>
      </c>
      <c r="F122">
        <v>629.34</v>
      </c>
      <c r="G122" t="s">
        <v>75</v>
      </c>
      <c r="H122" t="s">
        <v>81</v>
      </c>
      <c r="I122" t="s">
        <v>51</v>
      </c>
      <c r="J122" t="s">
        <v>530</v>
      </c>
      <c r="K122">
        <v>4</v>
      </c>
      <c r="L122" t="s">
        <v>97</v>
      </c>
      <c r="M122" t="s">
        <v>38</v>
      </c>
      <c r="N122">
        <v>2517.36</v>
      </c>
    </row>
    <row r="123" spans="1:14" x14ac:dyDescent="0.3">
      <c r="A123" t="s">
        <v>531</v>
      </c>
      <c r="B123" s="8">
        <v>45260</v>
      </c>
      <c r="C123" t="s">
        <v>532</v>
      </c>
      <c r="D123" t="s">
        <v>89</v>
      </c>
      <c r="E123">
        <v>1</v>
      </c>
      <c r="F123">
        <v>410.78</v>
      </c>
      <c r="G123" t="s">
        <v>533</v>
      </c>
      <c r="H123" t="s">
        <v>81</v>
      </c>
      <c r="I123" t="s">
        <v>51</v>
      </c>
      <c r="J123" t="s">
        <v>534</v>
      </c>
      <c r="K123">
        <v>1</v>
      </c>
      <c r="L123" t="s">
        <v>53</v>
      </c>
      <c r="M123" t="s">
        <v>38</v>
      </c>
      <c r="N123">
        <v>410.78</v>
      </c>
    </row>
    <row r="124" spans="1:14" x14ac:dyDescent="0.3">
      <c r="A124" t="s">
        <v>535</v>
      </c>
      <c r="B124" s="8">
        <v>45397</v>
      </c>
      <c r="C124" t="s">
        <v>536</v>
      </c>
      <c r="D124" t="s">
        <v>74</v>
      </c>
      <c r="E124">
        <v>2</v>
      </c>
      <c r="F124">
        <v>533.02</v>
      </c>
      <c r="G124" t="s">
        <v>537</v>
      </c>
      <c r="H124" t="s">
        <v>76</v>
      </c>
      <c r="I124" t="s">
        <v>35</v>
      </c>
      <c r="J124" t="s">
        <v>538</v>
      </c>
      <c r="K124">
        <v>2</v>
      </c>
      <c r="M124" t="s">
        <v>61</v>
      </c>
      <c r="N124">
        <v>1066.04</v>
      </c>
    </row>
    <row r="125" spans="1:14" x14ac:dyDescent="0.3">
      <c r="A125" t="s">
        <v>539</v>
      </c>
      <c r="B125" s="8">
        <v>45113</v>
      </c>
      <c r="C125" t="s">
        <v>540</v>
      </c>
      <c r="D125" t="s">
        <v>89</v>
      </c>
      <c r="E125">
        <v>3</v>
      </c>
      <c r="F125">
        <v>278.04000000000002</v>
      </c>
      <c r="G125" t="s">
        <v>541</v>
      </c>
      <c r="H125" t="s">
        <v>43</v>
      </c>
      <c r="I125" t="s">
        <v>66</v>
      </c>
      <c r="J125" t="s">
        <v>542</v>
      </c>
      <c r="K125">
        <v>5</v>
      </c>
      <c r="M125" t="s">
        <v>38</v>
      </c>
      <c r="N125">
        <v>834.12</v>
      </c>
    </row>
    <row r="126" spans="1:14" x14ac:dyDescent="0.3">
      <c r="A126" t="s">
        <v>543</v>
      </c>
      <c r="B126" s="8">
        <v>45501</v>
      </c>
      <c r="C126" t="s">
        <v>544</v>
      </c>
      <c r="D126" t="s">
        <v>64</v>
      </c>
      <c r="E126">
        <v>4</v>
      </c>
      <c r="F126">
        <v>283.79000000000002</v>
      </c>
      <c r="G126" t="s">
        <v>545</v>
      </c>
      <c r="H126" t="s">
        <v>43</v>
      </c>
      <c r="I126" t="s">
        <v>105</v>
      </c>
      <c r="J126" t="s">
        <v>546</v>
      </c>
      <c r="K126">
        <v>8</v>
      </c>
      <c r="M126" t="s">
        <v>92</v>
      </c>
      <c r="N126">
        <v>1135.1600000000001</v>
      </c>
    </row>
    <row r="127" spans="1:14" x14ac:dyDescent="0.3">
      <c r="A127" t="s">
        <v>547</v>
      </c>
      <c r="B127" s="8">
        <v>45602</v>
      </c>
      <c r="C127" t="s">
        <v>548</v>
      </c>
      <c r="D127" t="s">
        <v>41</v>
      </c>
      <c r="E127">
        <v>2</v>
      </c>
      <c r="F127">
        <v>512.65</v>
      </c>
      <c r="G127" t="s">
        <v>549</v>
      </c>
      <c r="H127" t="s">
        <v>50</v>
      </c>
      <c r="I127" t="s">
        <v>35</v>
      </c>
      <c r="J127" t="s">
        <v>550</v>
      </c>
      <c r="K127">
        <v>5</v>
      </c>
      <c r="L127" t="s">
        <v>37</v>
      </c>
      <c r="M127" t="s">
        <v>54</v>
      </c>
      <c r="N127">
        <v>1025.3</v>
      </c>
    </row>
    <row r="128" spans="1:14" x14ac:dyDescent="0.3">
      <c r="A128" t="s">
        <v>551</v>
      </c>
      <c r="B128" s="8">
        <v>45780</v>
      </c>
      <c r="C128" t="s">
        <v>552</v>
      </c>
      <c r="D128" t="s">
        <v>89</v>
      </c>
      <c r="E128">
        <v>4</v>
      </c>
      <c r="F128">
        <v>275.5</v>
      </c>
      <c r="G128" t="s">
        <v>553</v>
      </c>
      <c r="H128" t="s">
        <v>76</v>
      </c>
      <c r="I128" t="s">
        <v>35</v>
      </c>
      <c r="J128" t="s">
        <v>554</v>
      </c>
      <c r="K128">
        <v>8</v>
      </c>
      <c r="L128" t="s">
        <v>53</v>
      </c>
      <c r="M128" t="s">
        <v>92</v>
      </c>
      <c r="N128">
        <v>1102</v>
      </c>
    </row>
    <row r="129" spans="1:14" x14ac:dyDescent="0.3">
      <c r="A129" t="s">
        <v>555</v>
      </c>
      <c r="B129" s="8">
        <v>45148</v>
      </c>
      <c r="C129" t="s">
        <v>556</v>
      </c>
      <c r="D129" t="s">
        <v>89</v>
      </c>
      <c r="E129">
        <v>3</v>
      </c>
      <c r="F129">
        <v>469.32</v>
      </c>
      <c r="G129" t="s">
        <v>557</v>
      </c>
      <c r="H129" t="s">
        <v>34</v>
      </c>
      <c r="I129" t="s">
        <v>35</v>
      </c>
      <c r="J129" t="s">
        <v>558</v>
      </c>
      <c r="K129">
        <v>3</v>
      </c>
      <c r="M129" t="s">
        <v>92</v>
      </c>
      <c r="N129">
        <v>1407.96</v>
      </c>
    </row>
    <row r="130" spans="1:14" x14ac:dyDescent="0.3">
      <c r="A130" t="s">
        <v>559</v>
      </c>
      <c r="B130" s="8">
        <v>44974</v>
      </c>
      <c r="C130" t="s">
        <v>560</v>
      </c>
      <c r="D130" t="s">
        <v>48</v>
      </c>
      <c r="E130">
        <v>4</v>
      </c>
      <c r="F130">
        <v>21.07</v>
      </c>
      <c r="G130" t="s">
        <v>561</v>
      </c>
      <c r="H130" t="s">
        <v>76</v>
      </c>
      <c r="I130" t="s">
        <v>66</v>
      </c>
      <c r="J130" t="s">
        <v>562</v>
      </c>
      <c r="K130">
        <v>4</v>
      </c>
      <c r="L130" t="s">
        <v>53</v>
      </c>
      <c r="M130" t="s">
        <v>92</v>
      </c>
      <c r="N130">
        <v>84.28</v>
      </c>
    </row>
    <row r="131" spans="1:14" x14ac:dyDescent="0.3">
      <c r="A131" t="s">
        <v>563</v>
      </c>
      <c r="B131" s="8">
        <v>45226</v>
      </c>
      <c r="C131" t="s">
        <v>564</v>
      </c>
      <c r="D131" t="s">
        <v>74</v>
      </c>
      <c r="E131">
        <v>4</v>
      </c>
      <c r="F131">
        <v>263.93</v>
      </c>
      <c r="G131" t="s">
        <v>565</v>
      </c>
      <c r="H131" t="s">
        <v>34</v>
      </c>
      <c r="I131" t="s">
        <v>35</v>
      </c>
      <c r="J131" t="s">
        <v>566</v>
      </c>
      <c r="K131">
        <v>4</v>
      </c>
      <c r="L131" t="s">
        <v>53</v>
      </c>
      <c r="M131" t="s">
        <v>61</v>
      </c>
      <c r="N131">
        <v>1055.72</v>
      </c>
    </row>
    <row r="132" spans="1:14" x14ac:dyDescent="0.3">
      <c r="A132" t="s">
        <v>567</v>
      </c>
      <c r="B132" s="8">
        <v>45679</v>
      </c>
      <c r="C132" t="s">
        <v>568</v>
      </c>
      <c r="D132" t="s">
        <v>89</v>
      </c>
      <c r="E132">
        <v>3</v>
      </c>
      <c r="F132">
        <v>501.3</v>
      </c>
      <c r="G132" t="s">
        <v>569</v>
      </c>
      <c r="H132" t="s">
        <v>43</v>
      </c>
      <c r="I132" t="s">
        <v>51</v>
      </c>
      <c r="J132" t="s">
        <v>570</v>
      </c>
      <c r="K132">
        <v>3</v>
      </c>
      <c r="L132" t="s">
        <v>97</v>
      </c>
      <c r="M132" t="s">
        <v>61</v>
      </c>
      <c r="N132">
        <v>1503.9</v>
      </c>
    </row>
    <row r="133" spans="1:14" x14ac:dyDescent="0.3">
      <c r="A133" t="s">
        <v>571</v>
      </c>
      <c r="B133" s="8">
        <v>44934</v>
      </c>
      <c r="C133" t="s">
        <v>572</v>
      </c>
      <c r="D133" t="s">
        <v>48</v>
      </c>
      <c r="E133">
        <v>1</v>
      </c>
      <c r="F133">
        <v>84.8</v>
      </c>
      <c r="G133" t="s">
        <v>573</v>
      </c>
      <c r="H133" t="s">
        <v>76</v>
      </c>
      <c r="I133" t="s">
        <v>105</v>
      </c>
      <c r="J133" t="s">
        <v>574</v>
      </c>
      <c r="K133">
        <v>5</v>
      </c>
      <c r="M133" t="s">
        <v>38</v>
      </c>
      <c r="N133">
        <v>84.8</v>
      </c>
    </row>
    <row r="134" spans="1:14" x14ac:dyDescent="0.3">
      <c r="A134" t="s">
        <v>575</v>
      </c>
      <c r="B134" s="8">
        <v>45013</v>
      </c>
      <c r="C134" t="s">
        <v>576</v>
      </c>
      <c r="D134" t="s">
        <v>48</v>
      </c>
      <c r="E134">
        <v>4</v>
      </c>
      <c r="F134">
        <v>450.75</v>
      </c>
      <c r="G134" t="s">
        <v>577</v>
      </c>
      <c r="H134" t="s">
        <v>50</v>
      </c>
      <c r="I134" t="s">
        <v>35</v>
      </c>
      <c r="J134" t="s">
        <v>578</v>
      </c>
      <c r="K134">
        <v>6</v>
      </c>
      <c r="L134" t="s">
        <v>97</v>
      </c>
      <c r="M134" t="s">
        <v>54</v>
      </c>
      <c r="N134">
        <v>1803</v>
      </c>
    </row>
    <row r="135" spans="1:14" x14ac:dyDescent="0.3">
      <c r="A135" t="s">
        <v>579</v>
      </c>
      <c r="B135" s="8">
        <v>45828</v>
      </c>
      <c r="C135" t="s">
        <v>580</v>
      </c>
      <c r="D135" t="s">
        <v>57</v>
      </c>
      <c r="E135">
        <v>4</v>
      </c>
      <c r="F135">
        <v>302.05</v>
      </c>
      <c r="G135" t="s">
        <v>581</v>
      </c>
      <c r="H135" t="s">
        <v>34</v>
      </c>
      <c r="I135" t="s">
        <v>51</v>
      </c>
      <c r="J135" t="s">
        <v>582</v>
      </c>
      <c r="K135">
        <v>6</v>
      </c>
      <c r="L135" t="s">
        <v>37</v>
      </c>
      <c r="M135" t="s">
        <v>92</v>
      </c>
      <c r="N135">
        <v>1208.2</v>
      </c>
    </row>
    <row r="136" spans="1:14" x14ac:dyDescent="0.3">
      <c r="A136" t="s">
        <v>583</v>
      </c>
      <c r="B136" s="8">
        <v>45831</v>
      </c>
      <c r="C136" t="s">
        <v>584</v>
      </c>
      <c r="D136" t="s">
        <v>74</v>
      </c>
      <c r="E136">
        <v>2</v>
      </c>
      <c r="F136">
        <v>199.7</v>
      </c>
      <c r="G136" t="s">
        <v>577</v>
      </c>
      <c r="H136" t="s">
        <v>81</v>
      </c>
      <c r="I136" t="s">
        <v>105</v>
      </c>
      <c r="J136" t="s">
        <v>585</v>
      </c>
      <c r="K136">
        <v>4</v>
      </c>
      <c r="M136" t="s">
        <v>54</v>
      </c>
      <c r="N136">
        <v>399.4</v>
      </c>
    </row>
    <row r="137" spans="1:14" x14ac:dyDescent="0.3">
      <c r="A137" t="s">
        <v>586</v>
      </c>
      <c r="B137" s="8">
        <v>45142</v>
      </c>
      <c r="C137" t="s">
        <v>587</v>
      </c>
      <c r="D137" t="s">
        <v>64</v>
      </c>
      <c r="E137">
        <v>2</v>
      </c>
      <c r="F137">
        <v>68.81</v>
      </c>
      <c r="G137" t="s">
        <v>588</v>
      </c>
      <c r="H137" t="s">
        <v>76</v>
      </c>
      <c r="I137" t="s">
        <v>35</v>
      </c>
      <c r="J137" t="s">
        <v>589</v>
      </c>
      <c r="K137">
        <v>5</v>
      </c>
      <c r="L137" t="s">
        <v>37</v>
      </c>
      <c r="M137" t="s">
        <v>45</v>
      </c>
      <c r="N137">
        <v>137.62</v>
      </c>
    </row>
    <row r="138" spans="1:14" x14ac:dyDescent="0.3">
      <c r="A138" t="s">
        <v>590</v>
      </c>
      <c r="B138" s="8">
        <v>45409</v>
      </c>
      <c r="C138" t="s">
        <v>591</v>
      </c>
      <c r="D138" t="s">
        <v>74</v>
      </c>
      <c r="E138">
        <v>1</v>
      </c>
      <c r="F138">
        <v>44.35</v>
      </c>
      <c r="G138" t="s">
        <v>592</v>
      </c>
      <c r="H138" t="s">
        <v>76</v>
      </c>
      <c r="I138" t="s">
        <v>51</v>
      </c>
      <c r="J138" t="s">
        <v>593</v>
      </c>
      <c r="K138">
        <v>1</v>
      </c>
      <c r="L138" t="s">
        <v>37</v>
      </c>
      <c r="M138" t="s">
        <v>38</v>
      </c>
      <c r="N138">
        <v>44.35</v>
      </c>
    </row>
    <row r="139" spans="1:14" x14ac:dyDescent="0.3">
      <c r="A139" t="s">
        <v>594</v>
      </c>
      <c r="B139" s="8">
        <v>45622</v>
      </c>
      <c r="C139" t="s">
        <v>595</v>
      </c>
      <c r="D139" t="s">
        <v>32</v>
      </c>
      <c r="E139">
        <v>2</v>
      </c>
      <c r="F139">
        <v>250.98</v>
      </c>
      <c r="G139" t="s">
        <v>596</v>
      </c>
      <c r="H139" t="s">
        <v>50</v>
      </c>
      <c r="I139" t="s">
        <v>66</v>
      </c>
      <c r="J139" t="s">
        <v>597</v>
      </c>
      <c r="K139">
        <v>5</v>
      </c>
      <c r="M139" t="s">
        <v>92</v>
      </c>
      <c r="N139">
        <v>501.96</v>
      </c>
    </row>
    <row r="140" spans="1:14" x14ac:dyDescent="0.3">
      <c r="A140" t="s">
        <v>598</v>
      </c>
      <c r="B140" s="8">
        <v>45281</v>
      </c>
      <c r="C140" t="s">
        <v>599</v>
      </c>
      <c r="D140" t="s">
        <v>48</v>
      </c>
      <c r="E140">
        <v>1</v>
      </c>
      <c r="F140">
        <v>298.06</v>
      </c>
      <c r="G140" t="s">
        <v>600</v>
      </c>
      <c r="H140" t="s">
        <v>34</v>
      </c>
      <c r="I140" t="s">
        <v>105</v>
      </c>
      <c r="J140" t="s">
        <v>601</v>
      </c>
      <c r="K140">
        <v>3</v>
      </c>
      <c r="L140" t="s">
        <v>97</v>
      </c>
      <c r="M140" t="s">
        <v>92</v>
      </c>
      <c r="N140">
        <v>298.06</v>
      </c>
    </row>
    <row r="141" spans="1:14" x14ac:dyDescent="0.3">
      <c r="A141" t="s">
        <v>602</v>
      </c>
      <c r="B141" s="8">
        <v>45026</v>
      </c>
      <c r="C141" t="s">
        <v>603</v>
      </c>
      <c r="D141" t="s">
        <v>41</v>
      </c>
      <c r="E141">
        <v>1</v>
      </c>
      <c r="F141">
        <v>583.9</v>
      </c>
      <c r="G141" t="s">
        <v>604</v>
      </c>
      <c r="H141" t="s">
        <v>81</v>
      </c>
      <c r="I141" t="s">
        <v>59</v>
      </c>
      <c r="J141" t="s">
        <v>605</v>
      </c>
      <c r="K141">
        <v>1</v>
      </c>
      <c r="M141" t="s">
        <v>54</v>
      </c>
      <c r="N141">
        <v>583.9</v>
      </c>
    </row>
    <row r="142" spans="1:14" x14ac:dyDescent="0.3">
      <c r="A142" t="s">
        <v>606</v>
      </c>
      <c r="B142" s="8">
        <v>45808</v>
      </c>
      <c r="C142" t="s">
        <v>607</v>
      </c>
      <c r="D142" t="s">
        <v>57</v>
      </c>
      <c r="E142">
        <v>3</v>
      </c>
      <c r="F142">
        <v>528.14</v>
      </c>
      <c r="G142" t="s">
        <v>490</v>
      </c>
      <c r="H142" t="s">
        <v>43</v>
      </c>
      <c r="I142" t="s">
        <v>66</v>
      </c>
      <c r="J142" t="s">
        <v>608</v>
      </c>
      <c r="K142">
        <v>3</v>
      </c>
      <c r="L142" t="s">
        <v>53</v>
      </c>
      <c r="M142" t="s">
        <v>54</v>
      </c>
      <c r="N142">
        <v>1584.42</v>
      </c>
    </row>
    <row r="143" spans="1:14" x14ac:dyDescent="0.3">
      <c r="A143" t="s">
        <v>609</v>
      </c>
      <c r="B143" s="8">
        <v>45248</v>
      </c>
      <c r="C143" t="s">
        <v>610</v>
      </c>
      <c r="D143" t="s">
        <v>64</v>
      </c>
      <c r="E143">
        <v>3</v>
      </c>
      <c r="F143">
        <v>684.14</v>
      </c>
      <c r="G143" t="s">
        <v>611</v>
      </c>
      <c r="H143" t="s">
        <v>81</v>
      </c>
      <c r="I143" t="s">
        <v>51</v>
      </c>
      <c r="J143" t="s">
        <v>612</v>
      </c>
      <c r="K143">
        <v>3</v>
      </c>
      <c r="L143" t="s">
        <v>97</v>
      </c>
      <c r="M143" t="s">
        <v>38</v>
      </c>
      <c r="N143">
        <v>2052.42</v>
      </c>
    </row>
    <row r="144" spans="1:14" x14ac:dyDescent="0.3">
      <c r="A144" t="s">
        <v>613</v>
      </c>
      <c r="B144" s="8">
        <v>45175</v>
      </c>
      <c r="C144" t="s">
        <v>614</v>
      </c>
      <c r="D144" t="s">
        <v>89</v>
      </c>
      <c r="E144">
        <v>5</v>
      </c>
      <c r="F144">
        <v>272.77</v>
      </c>
      <c r="G144" t="s">
        <v>615</v>
      </c>
      <c r="H144" t="s">
        <v>81</v>
      </c>
      <c r="I144" t="s">
        <v>105</v>
      </c>
      <c r="J144" t="s">
        <v>616</v>
      </c>
      <c r="K144">
        <v>7</v>
      </c>
      <c r="L144" t="s">
        <v>97</v>
      </c>
      <c r="M144" t="s">
        <v>54</v>
      </c>
      <c r="N144">
        <v>1363.85</v>
      </c>
    </row>
    <row r="145" spans="1:14" x14ac:dyDescent="0.3">
      <c r="A145" t="s">
        <v>617</v>
      </c>
      <c r="B145" s="8">
        <v>45456</v>
      </c>
      <c r="C145" t="s">
        <v>618</v>
      </c>
      <c r="D145" t="s">
        <v>57</v>
      </c>
      <c r="E145">
        <v>4</v>
      </c>
      <c r="F145">
        <v>400.07</v>
      </c>
      <c r="G145" t="s">
        <v>619</v>
      </c>
      <c r="H145" t="s">
        <v>43</v>
      </c>
      <c r="I145" t="s">
        <v>35</v>
      </c>
      <c r="J145" t="s">
        <v>620</v>
      </c>
      <c r="K145">
        <v>5</v>
      </c>
      <c r="M145" t="s">
        <v>45</v>
      </c>
      <c r="N145">
        <v>1600.28</v>
      </c>
    </row>
    <row r="146" spans="1:14" x14ac:dyDescent="0.3">
      <c r="A146" t="s">
        <v>621</v>
      </c>
      <c r="B146" s="8">
        <v>45142</v>
      </c>
      <c r="C146" t="s">
        <v>622</v>
      </c>
      <c r="D146" t="s">
        <v>89</v>
      </c>
      <c r="E146">
        <v>5</v>
      </c>
      <c r="F146">
        <v>219.78</v>
      </c>
      <c r="G146" t="s">
        <v>177</v>
      </c>
      <c r="H146" t="s">
        <v>50</v>
      </c>
      <c r="I146" t="s">
        <v>105</v>
      </c>
      <c r="J146" t="s">
        <v>623</v>
      </c>
      <c r="K146">
        <v>8</v>
      </c>
      <c r="M146" t="s">
        <v>61</v>
      </c>
      <c r="N146">
        <v>1098.9000000000001</v>
      </c>
    </row>
    <row r="147" spans="1:14" x14ac:dyDescent="0.3">
      <c r="A147" t="s">
        <v>624</v>
      </c>
      <c r="B147" s="8">
        <v>45353</v>
      </c>
      <c r="C147" t="s">
        <v>625</v>
      </c>
      <c r="D147" t="s">
        <v>64</v>
      </c>
      <c r="E147">
        <v>3</v>
      </c>
      <c r="F147">
        <v>146.91</v>
      </c>
      <c r="G147" t="s">
        <v>626</v>
      </c>
      <c r="H147" t="s">
        <v>50</v>
      </c>
      <c r="I147" t="s">
        <v>66</v>
      </c>
      <c r="J147" t="s">
        <v>627</v>
      </c>
      <c r="K147">
        <v>6</v>
      </c>
      <c r="L147" t="s">
        <v>53</v>
      </c>
      <c r="M147" t="s">
        <v>92</v>
      </c>
      <c r="N147">
        <v>440.73</v>
      </c>
    </row>
    <row r="148" spans="1:14" x14ac:dyDescent="0.3">
      <c r="A148" t="s">
        <v>628</v>
      </c>
      <c r="B148" s="8">
        <v>45777</v>
      </c>
      <c r="C148" t="s">
        <v>629</v>
      </c>
      <c r="D148" t="s">
        <v>48</v>
      </c>
      <c r="E148">
        <v>2</v>
      </c>
      <c r="F148">
        <v>411.49</v>
      </c>
      <c r="G148" t="s">
        <v>630</v>
      </c>
      <c r="H148" t="s">
        <v>50</v>
      </c>
      <c r="I148" t="s">
        <v>59</v>
      </c>
      <c r="J148" t="s">
        <v>631</v>
      </c>
      <c r="K148">
        <v>4</v>
      </c>
      <c r="M148" t="s">
        <v>38</v>
      </c>
      <c r="N148">
        <v>822.98</v>
      </c>
    </row>
    <row r="149" spans="1:14" x14ac:dyDescent="0.3">
      <c r="A149" t="s">
        <v>632</v>
      </c>
      <c r="B149" s="8">
        <v>45783</v>
      </c>
      <c r="C149" t="s">
        <v>633</v>
      </c>
      <c r="D149" t="s">
        <v>74</v>
      </c>
      <c r="E149">
        <v>2</v>
      </c>
      <c r="F149">
        <v>465.18</v>
      </c>
      <c r="G149" t="s">
        <v>634</v>
      </c>
      <c r="H149" t="s">
        <v>50</v>
      </c>
      <c r="I149" t="s">
        <v>51</v>
      </c>
      <c r="J149" t="s">
        <v>635</v>
      </c>
      <c r="K149">
        <v>2</v>
      </c>
      <c r="L149" t="s">
        <v>37</v>
      </c>
      <c r="M149" t="s">
        <v>92</v>
      </c>
      <c r="N149">
        <v>930.36</v>
      </c>
    </row>
    <row r="150" spans="1:14" x14ac:dyDescent="0.3">
      <c r="A150" t="s">
        <v>636</v>
      </c>
      <c r="B150" s="8">
        <v>45641</v>
      </c>
      <c r="C150" t="s">
        <v>637</v>
      </c>
      <c r="D150" t="s">
        <v>41</v>
      </c>
      <c r="E150">
        <v>2</v>
      </c>
      <c r="F150">
        <v>319.91000000000003</v>
      </c>
      <c r="G150" t="s">
        <v>638</v>
      </c>
      <c r="H150" t="s">
        <v>50</v>
      </c>
      <c r="I150" t="s">
        <v>51</v>
      </c>
      <c r="J150" t="s">
        <v>639</v>
      </c>
      <c r="K150">
        <v>3</v>
      </c>
      <c r="L150" t="s">
        <v>97</v>
      </c>
      <c r="M150" t="s">
        <v>92</v>
      </c>
      <c r="N150">
        <v>639.82000000000005</v>
      </c>
    </row>
    <row r="151" spans="1:14" x14ac:dyDescent="0.3">
      <c r="A151" t="s">
        <v>640</v>
      </c>
      <c r="B151" s="8">
        <v>45287</v>
      </c>
      <c r="C151" t="s">
        <v>641</v>
      </c>
      <c r="D151" t="s">
        <v>74</v>
      </c>
      <c r="E151">
        <v>1</v>
      </c>
      <c r="F151">
        <v>217.56</v>
      </c>
      <c r="G151" t="s">
        <v>642</v>
      </c>
      <c r="H151" t="s">
        <v>34</v>
      </c>
      <c r="I151" t="s">
        <v>66</v>
      </c>
      <c r="J151" t="s">
        <v>643</v>
      </c>
      <c r="K151">
        <v>3</v>
      </c>
      <c r="M151" t="s">
        <v>61</v>
      </c>
      <c r="N151">
        <v>217.56</v>
      </c>
    </row>
    <row r="152" spans="1:14" x14ac:dyDescent="0.3">
      <c r="A152" t="s">
        <v>644</v>
      </c>
      <c r="B152" s="8">
        <v>45273</v>
      </c>
      <c r="C152" t="s">
        <v>645</v>
      </c>
      <c r="D152" t="s">
        <v>41</v>
      </c>
      <c r="E152">
        <v>2</v>
      </c>
      <c r="F152">
        <v>105.57</v>
      </c>
      <c r="G152" t="s">
        <v>646</v>
      </c>
      <c r="H152" t="s">
        <v>34</v>
      </c>
      <c r="I152" t="s">
        <v>59</v>
      </c>
      <c r="J152" t="s">
        <v>647</v>
      </c>
      <c r="K152">
        <v>5</v>
      </c>
      <c r="L152" t="s">
        <v>97</v>
      </c>
      <c r="M152" t="s">
        <v>92</v>
      </c>
      <c r="N152">
        <v>211.14</v>
      </c>
    </row>
    <row r="153" spans="1:14" x14ac:dyDescent="0.3">
      <c r="A153" t="s">
        <v>648</v>
      </c>
      <c r="B153" s="8">
        <v>45261</v>
      </c>
      <c r="C153" t="s">
        <v>649</v>
      </c>
      <c r="D153" t="s">
        <v>64</v>
      </c>
      <c r="E153">
        <v>5</v>
      </c>
      <c r="F153">
        <v>444.76</v>
      </c>
      <c r="G153" t="s">
        <v>650</v>
      </c>
      <c r="H153" t="s">
        <v>34</v>
      </c>
      <c r="I153" t="s">
        <v>59</v>
      </c>
      <c r="J153" t="s">
        <v>651</v>
      </c>
      <c r="K153">
        <v>7</v>
      </c>
      <c r="M153" t="s">
        <v>54</v>
      </c>
      <c r="N153">
        <v>2223.8000000000002</v>
      </c>
    </row>
    <row r="154" spans="1:14" x14ac:dyDescent="0.3">
      <c r="A154" t="s">
        <v>652</v>
      </c>
      <c r="B154" s="8">
        <v>45659</v>
      </c>
      <c r="C154" t="s">
        <v>653</v>
      </c>
      <c r="D154" t="s">
        <v>57</v>
      </c>
      <c r="E154">
        <v>2</v>
      </c>
      <c r="F154">
        <v>399.04</v>
      </c>
      <c r="G154" t="s">
        <v>654</v>
      </c>
      <c r="H154" t="s">
        <v>81</v>
      </c>
      <c r="I154" t="s">
        <v>51</v>
      </c>
      <c r="J154" t="s">
        <v>655</v>
      </c>
      <c r="K154">
        <v>3</v>
      </c>
      <c r="L154" t="s">
        <v>53</v>
      </c>
      <c r="M154" t="s">
        <v>45</v>
      </c>
      <c r="N154">
        <v>798.08</v>
      </c>
    </row>
    <row r="155" spans="1:14" x14ac:dyDescent="0.3">
      <c r="A155" t="s">
        <v>656</v>
      </c>
      <c r="B155" s="8">
        <v>45644</v>
      </c>
      <c r="C155" t="s">
        <v>657</v>
      </c>
      <c r="D155" t="s">
        <v>57</v>
      </c>
      <c r="E155">
        <v>4</v>
      </c>
      <c r="F155">
        <v>534.48</v>
      </c>
      <c r="G155" t="s">
        <v>658</v>
      </c>
      <c r="H155" t="s">
        <v>43</v>
      </c>
      <c r="I155" t="s">
        <v>59</v>
      </c>
      <c r="J155" t="s">
        <v>659</v>
      </c>
      <c r="K155">
        <v>9</v>
      </c>
      <c r="L155" t="s">
        <v>97</v>
      </c>
      <c r="M155" t="s">
        <v>38</v>
      </c>
      <c r="N155">
        <v>2137.92</v>
      </c>
    </row>
    <row r="156" spans="1:14" x14ac:dyDescent="0.3">
      <c r="A156" t="s">
        <v>660</v>
      </c>
      <c r="B156" s="8">
        <v>45127</v>
      </c>
      <c r="C156" t="s">
        <v>661</v>
      </c>
      <c r="D156" t="s">
        <v>41</v>
      </c>
      <c r="E156">
        <v>4</v>
      </c>
      <c r="F156">
        <v>408.21</v>
      </c>
      <c r="G156" t="s">
        <v>541</v>
      </c>
      <c r="H156" t="s">
        <v>50</v>
      </c>
      <c r="I156" t="s">
        <v>105</v>
      </c>
      <c r="J156" t="s">
        <v>662</v>
      </c>
      <c r="K156">
        <v>9</v>
      </c>
      <c r="M156" t="s">
        <v>38</v>
      </c>
      <c r="N156">
        <v>1632.84</v>
      </c>
    </row>
    <row r="157" spans="1:14" x14ac:dyDescent="0.3">
      <c r="A157" t="s">
        <v>663</v>
      </c>
      <c r="B157" s="8">
        <v>44984</v>
      </c>
      <c r="C157" t="s">
        <v>664</v>
      </c>
      <c r="D157" t="s">
        <v>41</v>
      </c>
      <c r="E157">
        <v>1</v>
      </c>
      <c r="F157">
        <v>424.4</v>
      </c>
      <c r="G157" t="s">
        <v>254</v>
      </c>
      <c r="H157" t="s">
        <v>43</v>
      </c>
      <c r="I157" t="s">
        <v>35</v>
      </c>
      <c r="J157" t="s">
        <v>665</v>
      </c>
      <c r="K157">
        <v>6</v>
      </c>
      <c r="L157" t="s">
        <v>97</v>
      </c>
      <c r="M157" t="s">
        <v>45</v>
      </c>
      <c r="N157">
        <v>424.4</v>
      </c>
    </row>
    <row r="158" spans="1:14" x14ac:dyDescent="0.3">
      <c r="A158" t="s">
        <v>666</v>
      </c>
      <c r="B158" s="8">
        <v>45604</v>
      </c>
      <c r="C158" t="s">
        <v>667</v>
      </c>
      <c r="D158" t="s">
        <v>57</v>
      </c>
      <c r="E158">
        <v>2</v>
      </c>
      <c r="F158">
        <v>269.83</v>
      </c>
      <c r="G158" t="s">
        <v>668</v>
      </c>
      <c r="H158" t="s">
        <v>43</v>
      </c>
      <c r="I158" t="s">
        <v>66</v>
      </c>
      <c r="J158" t="s">
        <v>669</v>
      </c>
      <c r="K158">
        <v>4</v>
      </c>
      <c r="L158" t="s">
        <v>37</v>
      </c>
      <c r="M158" t="s">
        <v>54</v>
      </c>
      <c r="N158">
        <v>539.66</v>
      </c>
    </row>
    <row r="159" spans="1:14" x14ac:dyDescent="0.3">
      <c r="A159" t="s">
        <v>670</v>
      </c>
      <c r="B159" s="8">
        <v>45709</v>
      </c>
      <c r="C159" t="s">
        <v>671</v>
      </c>
      <c r="D159" t="s">
        <v>32</v>
      </c>
      <c r="E159">
        <v>2</v>
      </c>
      <c r="F159">
        <v>564.58000000000004</v>
      </c>
      <c r="G159" t="s">
        <v>581</v>
      </c>
      <c r="H159" t="s">
        <v>43</v>
      </c>
      <c r="I159" t="s">
        <v>59</v>
      </c>
      <c r="J159" t="s">
        <v>672</v>
      </c>
      <c r="K159">
        <v>4</v>
      </c>
      <c r="L159" t="s">
        <v>97</v>
      </c>
      <c r="M159" t="s">
        <v>61</v>
      </c>
      <c r="N159">
        <v>1129.1600000000001</v>
      </c>
    </row>
    <row r="160" spans="1:14" x14ac:dyDescent="0.3">
      <c r="A160" t="s">
        <v>673</v>
      </c>
      <c r="B160" s="8">
        <v>45428</v>
      </c>
      <c r="C160" t="s">
        <v>674</v>
      </c>
      <c r="D160" t="s">
        <v>48</v>
      </c>
      <c r="E160">
        <v>1</v>
      </c>
      <c r="F160">
        <v>331.06</v>
      </c>
      <c r="G160" t="s">
        <v>675</v>
      </c>
      <c r="H160" t="s">
        <v>50</v>
      </c>
      <c r="I160" t="s">
        <v>105</v>
      </c>
      <c r="J160" t="s">
        <v>676</v>
      </c>
      <c r="K160">
        <v>5</v>
      </c>
      <c r="L160" t="s">
        <v>97</v>
      </c>
      <c r="M160" t="s">
        <v>38</v>
      </c>
      <c r="N160">
        <v>331.06</v>
      </c>
    </row>
    <row r="161" spans="1:14" x14ac:dyDescent="0.3">
      <c r="A161" t="s">
        <v>677</v>
      </c>
      <c r="B161" s="8">
        <v>45230</v>
      </c>
      <c r="C161" t="s">
        <v>678</v>
      </c>
      <c r="D161" t="s">
        <v>64</v>
      </c>
      <c r="E161">
        <v>1</v>
      </c>
      <c r="F161">
        <v>299.35000000000002</v>
      </c>
      <c r="G161" t="s">
        <v>679</v>
      </c>
      <c r="H161" t="s">
        <v>50</v>
      </c>
      <c r="I161" t="s">
        <v>51</v>
      </c>
      <c r="J161" t="s">
        <v>680</v>
      </c>
      <c r="K161">
        <v>5</v>
      </c>
      <c r="L161" t="s">
        <v>97</v>
      </c>
      <c r="M161" t="s">
        <v>54</v>
      </c>
      <c r="N161">
        <v>299.35000000000002</v>
      </c>
    </row>
    <row r="162" spans="1:14" x14ac:dyDescent="0.3">
      <c r="A162" t="s">
        <v>681</v>
      </c>
      <c r="B162" s="8">
        <v>44974</v>
      </c>
      <c r="C162" t="s">
        <v>682</v>
      </c>
      <c r="D162" t="s">
        <v>32</v>
      </c>
      <c r="E162">
        <v>4</v>
      </c>
      <c r="F162">
        <v>101.32</v>
      </c>
      <c r="G162" t="s">
        <v>683</v>
      </c>
      <c r="H162" t="s">
        <v>81</v>
      </c>
      <c r="I162" t="s">
        <v>105</v>
      </c>
      <c r="J162" t="s">
        <v>684</v>
      </c>
      <c r="K162">
        <v>7</v>
      </c>
      <c r="M162" t="s">
        <v>45</v>
      </c>
      <c r="N162">
        <v>405.28</v>
      </c>
    </row>
    <row r="163" spans="1:14" x14ac:dyDescent="0.3">
      <c r="A163" t="s">
        <v>685</v>
      </c>
      <c r="B163" s="8">
        <v>45380</v>
      </c>
      <c r="C163" t="s">
        <v>686</v>
      </c>
      <c r="D163" t="s">
        <v>32</v>
      </c>
      <c r="E163">
        <v>1</v>
      </c>
      <c r="F163">
        <v>211.14</v>
      </c>
      <c r="G163" t="s">
        <v>569</v>
      </c>
      <c r="H163" t="s">
        <v>50</v>
      </c>
      <c r="I163" t="s">
        <v>51</v>
      </c>
      <c r="J163" t="s">
        <v>687</v>
      </c>
      <c r="K163">
        <v>1</v>
      </c>
      <c r="L163" t="s">
        <v>37</v>
      </c>
      <c r="M163" t="s">
        <v>61</v>
      </c>
      <c r="N163">
        <v>211.14</v>
      </c>
    </row>
    <row r="164" spans="1:14" x14ac:dyDescent="0.3">
      <c r="A164" t="s">
        <v>688</v>
      </c>
      <c r="B164" s="8">
        <v>45134</v>
      </c>
      <c r="C164" t="s">
        <v>689</v>
      </c>
      <c r="D164" t="s">
        <v>57</v>
      </c>
      <c r="E164">
        <v>3</v>
      </c>
      <c r="F164">
        <v>65.86</v>
      </c>
      <c r="G164" t="s">
        <v>351</v>
      </c>
      <c r="H164" t="s">
        <v>43</v>
      </c>
      <c r="I164" t="s">
        <v>105</v>
      </c>
      <c r="J164" t="s">
        <v>690</v>
      </c>
      <c r="K164">
        <v>8</v>
      </c>
      <c r="L164" t="s">
        <v>97</v>
      </c>
      <c r="M164" t="s">
        <v>92</v>
      </c>
      <c r="N164">
        <v>197.58</v>
      </c>
    </row>
    <row r="165" spans="1:14" x14ac:dyDescent="0.3">
      <c r="A165" t="s">
        <v>691</v>
      </c>
      <c r="B165" s="8">
        <v>45832</v>
      </c>
      <c r="C165" t="s">
        <v>692</v>
      </c>
      <c r="D165" t="s">
        <v>48</v>
      </c>
      <c r="E165">
        <v>1</v>
      </c>
      <c r="F165">
        <v>641.39</v>
      </c>
      <c r="G165" t="s">
        <v>693</v>
      </c>
      <c r="H165" t="s">
        <v>43</v>
      </c>
      <c r="I165" t="s">
        <v>51</v>
      </c>
      <c r="J165" t="s">
        <v>694</v>
      </c>
      <c r="K165">
        <v>1</v>
      </c>
      <c r="M165" t="s">
        <v>45</v>
      </c>
      <c r="N165">
        <v>641.39</v>
      </c>
    </row>
    <row r="166" spans="1:14" x14ac:dyDescent="0.3">
      <c r="A166" t="s">
        <v>695</v>
      </c>
      <c r="B166" s="8">
        <v>45288</v>
      </c>
      <c r="C166" t="s">
        <v>696</v>
      </c>
      <c r="D166" t="s">
        <v>89</v>
      </c>
      <c r="E166">
        <v>5</v>
      </c>
      <c r="F166">
        <v>536.58000000000004</v>
      </c>
      <c r="G166" t="s">
        <v>697</v>
      </c>
      <c r="H166" t="s">
        <v>76</v>
      </c>
      <c r="I166" t="s">
        <v>105</v>
      </c>
      <c r="J166" t="s">
        <v>698</v>
      </c>
      <c r="K166">
        <v>5</v>
      </c>
      <c r="L166" t="s">
        <v>37</v>
      </c>
      <c r="M166" t="s">
        <v>92</v>
      </c>
      <c r="N166">
        <v>2682.9</v>
      </c>
    </row>
    <row r="167" spans="1:14" x14ac:dyDescent="0.3">
      <c r="A167" t="s">
        <v>699</v>
      </c>
      <c r="B167" s="8">
        <v>45549</v>
      </c>
      <c r="C167" t="s">
        <v>700</v>
      </c>
      <c r="D167" t="s">
        <v>32</v>
      </c>
      <c r="E167">
        <v>2</v>
      </c>
      <c r="F167">
        <v>500.29</v>
      </c>
      <c r="G167" t="s">
        <v>701</v>
      </c>
      <c r="H167" t="s">
        <v>43</v>
      </c>
      <c r="I167" t="s">
        <v>59</v>
      </c>
      <c r="J167" t="s">
        <v>702</v>
      </c>
      <c r="K167">
        <v>7</v>
      </c>
      <c r="L167" t="s">
        <v>97</v>
      </c>
      <c r="M167" t="s">
        <v>92</v>
      </c>
      <c r="N167">
        <v>1000.58</v>
      </c>
    </row>
    <row r="168" spans="1:14" x14ac:dyDescent="0.3">
      <c r="A168" t="s">
        <v>703</v>
      </c>
      <c r="B168" s="8">
        <v>45720</v>
      </c>
      <c r="C168" t="s">
        <v>704</v>
      </c>
      <c r="D168" t="s">
        <v>57</v>
      </c>
      <c r="E168">
        <v>3</v>
      </c>
      <c r="F168">
        <v>86.29</v>
      </c>
      <c r="G168" t="s">
        <v>273</v>
      </c>
      <c r="H168" t="s">
        <v>81</v>
      </c>
      <c r="I168" t="s">
        <v>66</v>
      </c>
      <c r="J168" t="s">
        <v>705</v>
      </c>
      <c r="K168">
        <v>6</v>
      </c>
      <c r="L168" t="s">
        <v>97</v>
      </c>
      <c r="M168" t="s">
        <v>38</v>
      </c>
      <c r="N168">
        <v>258.87</v>
      </c>
    </row>
    <row r="169" spans="1:14" x14ac:dyDescent="0.3">
      <c r="A169" t="s">
        <v>706</v>
      </c>
      <c r="B169" s="8">
        <v>45073</v>
      </c>
      <c r="C169" t="s">
        <v>707</v>
      </c>
      <c r="D169" t="s">
        <v>57</v>
      </c>
      <c r="E169">
        <v>2</v>
      </c>
      <c r="F169">
        <v>384.14</v>
      </c>
      <c r="G169" t="s">
        <v>708</v>
      </c>
      <c r="H169" t="s">
        <v>43</v>
      </c>
      <c r="I169" t="s">
        <v>59</v>
      </c>
      <c r="J169" t="s">
        <v>709</v>
      </c>
      <c r="K169">
        <v>2</v>
      </c>
      <c r="L169" t="s">
        <v>97</v>
      </c>
      <c r="M169" t="s">
        <v>54</v>
      </c>
      <c r="N169">
        <v>768.28</v>
      </c>
    </row>
    <row r="170" spans="1:14" x14ac:dyDescent="0.3">
      <c r="A170" t="s">
        <v>710</v>
      </c>
      <c r="B170" s="8">
        <v>45661</v>
      </c>
      <c r="C170" t="s">
        <v>711</v>
      </c>
      <c r="D170" t="s">
        <v>64</v>
      </c>
      <c r="E170">
        <v>1</v>
      </c>
      <c r="F170">
        <v>594.96</v>
      </c>
      <c r="G170" t="s">
        <v>712</v>
      </c>
      <c r="H170" t="s">
        <v>81</v>
      </c>
      <c r="I170" t="s">
        <v>59</v>
      </c>
      <c r="J170" t="s">
        <v>713</v>
      </c>
      <c r="K170">
        <v>6</v>
      </c>
      <c r="M170" t="s">
        <v>61</v>
      </c>
      <c r="N170">
        <v>594.96</v>
      </c>
    </row>
    <row r="171" spans="1:14" x14ac:dyDescent="0.3">
      <c r="A171" t="s">
        <v>714</v>
      </c>
      <c r="B171" s="8">
        <v>45389</v>
      </c>
      <c r="C171" t="s">
        <v>715</v>
      </c>
      <c r="D171" t="s">
        <v>64</v>
      </c>
      <c r="E171">
        <v>1</v>
      </c>
      <c r="F171">
        <v>427.82</v>
      </c>
      <c r="G171" t="s">
        <v>716</v>
      </c>
      <c r="H171" t="s">
        <v>43</v>
      </c>
      <c r="I171" t="s">
        <v>66</v>
      </c>
      <c r="J171" t="s">
        <v>717</v>
      </c>
      <c r="K171">
        <v>2</v>
      </c>
      <c r="L171" t="s">
        <v>97</v>
      </c>
      <c r="M171" t="s">
        <v>54</v>
      </c>
      <c r="N171">
        <v>427.82</v>
      </c>
    </row>
    <row r="172" spans="1:14" x14ac:dyDescent="0.3">
      <c r="A172" t="s">
        <v>718</v>
      </c>
      <c r="B172" s="8">
        <v>45751</v>
      </c>
      <c r="C172" t="s">
        <v>719</v>
      </c>
      <c r="D172" t="s">
        <v>89</v>
      </c>
      <c r="E172">
        <v>4</v>
      </c>
      <c r="F172">
        <v>662.94</v>
      </c>
      <c r="G172" t="s">
        <v>720</v>
      </c>
      <c r="H172" t="s">
        <v>81</v>
      </c>
      <c r="I172" t="s">
        <v>51</v>
      </c>
      <c r="J172" t="s">
        <v>721</v>
      </c>
      <c r="K172">
        <v>8</v>
      </c>
      <c r="L172" t="s">
        <v>37</v>
      </c>
      <c r="M172" t="s">
        <v>38</v>
      </c>
      <c r="N172">
        <v>2651.76</v>
      </c>
    </row>
    <row r="173" spans="1:14" x14ac:dyDescent="0.3">
      <c r="A173" t="s">
        <v>722</v>
      </c>
      <c r="B173" s="8">
        <v>45153</v>
      </c>
      <c r="C173" t="s">
        <v>723</v>
      </c>
      <c r="D173" t="s">
        <v>48</v>
      </c>
      <c r="E173">
        <v>2</v>
      </c>
      <c r="F173">
        <v>148.22</v>
      </c>
      <c r="G173" t="s">
        <v>724</v>
      </c>
      <c r="H173" t="s">
        <v>50</v>
      </c>
      <c r="I173" t="s">
        <v>66</v>
      </c>
      <c r="J173" t="s">
        <v>725</v>
      </c>
      <c r="K173">
        <v>7</v>
      </c>
      <c r="L173" t="s">
        <v>97</v>
      </c>
      <c r="M173" t="s">
        <v>38</v>
      </c>
      <c r="N173">
        <v>296.44</v>
      </c>
    </row>
    <row r="174" spans="1:14" x14ac:dyDescent="0.3">
      <c r="A174" t="s">
        <v>726</v>
      </c>
      <c r="B174" s="8">
        <v>45753</v>
      </c>
      <c r="C174" t="s">
        <v>727</v>
      </c>
      <c r="D174" t="s">
        <v>64</v>
      </c>
      <c r="E174">
        <v>1</v>
      </c>
      <c r="F174">
        <v>254.12</v>
      </c>
      <c r="G174" t="s">
        <v>557</v>
      </c>
      <c r="H174" t="s">
        <v>43</v>
      </c>
      <c r="I174" t="s">
        <v>66</v>
      </c>
      <c r="J174" t="s">
        <v>728</v>
      </c>
      <c r="K174">
        <v>1</v>
      </c>
      <c r="L174" t="s">
        <v>97</v>
      </c>
      <c r="M174" t="s">
        <v>54</v>
      </c>
      <c r="N174">
        <v>254.12</v>
      </c>
    </row>
    <row r="175" spans="1:14" x14ac:dyDescent="0.3">
      <c r="A175" t="s">
        <v>729</v>
      </c>
      <c r="B175" s="8">
        <v>45375</v>
      </c>
      <c r="C175" t="s">
        <v>730</v>
      </c>
      <c r="D175" t="s">
        <v>41</v>
      </c>
      <c r="E175">
        <v>3</v>
      </c>
      <c r="F175">
        <v>664.46</v>
      </c>
      <c r="G175" t="s">
        <v>731</v>
      </c>
      <c r="H175" t="s">
        <v>43</v>
      </c>
      <c r="I175" t="s">
        <v>66</v>
      </c>
      <c r="J175" t="s">
        <v>732</v>
      </c>
      <c r="K175">
        <v>4</v>
      </c>
      <c r="L175" t="s">
        <v>53</v>
      </c>
      <c r="M175" t="s">
        <v>92</v>
      </c>
      <c r="N175">
        <v>1993.38</v>
      </c>
    </row>
    <row r="176" spans="1:14" x14ac:dyDescent="0.3">
      <c r="A176" t="s">
        <v>733</v>
      </c>
      <c r="B176" s="8">
        <v>45398</v>
      </c>
      <c r="C176" t="s">
        <v>734</v>
      </c>
      <c r="D176" t="s">
        <v>64</v>
      </c>
      <c r="E176">
        <v>4</v>
      </c>
      <c r="F176">
        <v>600.80999999999995</v>
      </c>
      <c r="G176" t="s">
        <v>735</v>
      </c>
      <c r="H176" t="s">
        <v>34</v>
      </c>
      <c r="I176" t="s">
        <v>66</v>
      </c>
      <c r="J176" t="s">
        <v>736</v>
      </c>
      <c r="K176">
        <v>9</v>
      </c>
      <c r="L176" t="s">
        <v>37</v>
      </c>
      <c r="M176" t="s">
        <v>54</v>
      </c>
      <c r="N176">
        <v>2403.2399999999998</v>
      </c>
    </row>
    <row r="177" spans="1:14" x14ac:dyDescent="0.3">
      <c r="A177" t="s">
        <v>737</v>
      </c>
      <c r="B177" s="8">
        <v>45696</v>
      </c>
      <c r="C177" t="s">
        <v>738</v>
      </c>
      <c r="D177" t="s">
        <v>57</v>
      </c>
      <c r="E177">
        <v>5</v>
      </c>
      <c r="F177">
        <v>68.34</v>
      </c>
      <c r="G177" t="s">
        <v>739</v>
      </c>
      <c r="H177" t="s">
        <v>34</v>
      </c>
      <c r="I177" t="s">
        <v>105</v>
      </c>
      <c r="J177" t="s">
        <v>740</v>
      </c>
      <c r="K177">
        <v>6</v>
      </c>
      <c r="L177" t="s">
        <v>97</v>
      </c>
      <c r="M177" t="s">
        <v>45</v>
      </c>
      <c r="N177">
        <v>341.7</v>
      </c>
    </row>
    <row r="178" spans="1:14" x14ac:dyDescent="0.3">
      <c r="A178" t="s">
        <v>741</v>
      </c>
      <c r="B178" s="8">
        <v>45836</v>
      </c>
      <c r="C178" t="s">
        <v>742</v>
      </c>
      <c r="D178" t="s">
        <v>48</v>
      </c>
      <c r="E178">
        <v>4</v>
      </c>
      <c r="F178">
        <v>430.83</v>
      </c>
      <c r="G178" t="s">
        <v>743</v>
      </c>
      <c r="H178" t="s">
        <v>76</v>
      </c>
      <c r="I178" t="s">
        <v>105</v>
      </c>
      <c r="J178" t="s">
        <v>744</v>
      </c>
      <c r="K178">
        <v>8</v>
      </c>
      <c r="L178" t="s">
        <v>97</v>
      </c>
      <c r="M178" t="s">
        <v>45</v>
      </c>
      <c r="N178">
        <v>1723.32</v>
      </c>
    </row>
    <row r="179" spans="1:14" x14ac:dyDescent="0.3">
      <c r="A179" t="s">
        <v>745</v>
      </c>
      <c r="B179" s="8">
        <v>45143</v>
      </c>
      <c r="C179" t="s">
        <v>746</v>
      </c>
      <c r="D179" t="s">
        <v>57</v>
      </c>
      <c r="E179">
        <v>5</v>
      </c>
      <c r="F179">
        <v>431.69</v>
      </c>
      <c r="G179" t="s">
        <v>747</v>
      </c>
      <c r="H179" t="s">
        <v>50</v>
      </c>
      <c r="I179" t="s">
        <v>105</v>
      </c>
      <c r="J179" t="s">
        <v>748</v>
      </c>
      <c r="K179">
        <v>10</v>
      </c>
      <c r="M179" t="s">
        <v>61</v>
      </c>
      <c r="N179">
        <v>2158.4499999999998</v>
      </c>
    </row>
    <row r="180" spans="1:14" x14ac:dyDescent="0.3">
      <c r="A180" t="s">
        <v>749</v>
      </c>
      <c r="B180" s="8">
        <v>45393</v>
      </c>
      <c r="C180" t="s">
        <v>750</v>
      </c>
      <c r="D180" t="s">
        <v>57</v>
      </c>
      <c r="E180">
        <v>4</v>
      </c>
      <c r="F180">
        <v>512.05999999999995</v>
      </c>
      <c r="G180" t="s">
        <v>751</v>
      </c>
      <c r="H180" t="s">
        <v>43</v>
      </c>
      <c r="I180" t="s">
        <v>66</v>
      </c>
      <c r="J180" t="s">
        <v>752</v>
      </c>
      <c r="K180">
        <v>5</v>
      </c>
      <c r="L180" t="s">
        <v>37</v>
      </c>
      <c r="M180" t="s">
        <v>92</v>
      </c>
      <c r="N180">
        <v>2048.2399999999998</v>
      </c>
    </row>
    <row r="181" spans="1:14" x14ac:dyDescent="0.3">
      <c r="A181" t="s">
        <v>753</v>
      </c>
      <c r="B181" s="8">
        <v>45620</v>
      </c>
      <c r="C181" t="s">
        <v>754</v>
      </c>
      <c r="D181" t="s">
        <v>74</v>
      </c>
      <c r="E181">
        <v>3</v>
      </c>
      <c r="F181">
        <v>539.91</v>
      </c>
      <c r="G181" t="s">
        <v>755</v>
      </c>
      <c r="H181" t="s">
        <v>50</v>
      </c>
      <c r="I181" t="s">
        <v>66</v>
      </c>
      <c r="J181" t="s">
        <v>756</v>
      </c>
      <c r="K181">
        <v>8</v>
      </c>
      <c r="M181" t="s">
        <v>54</v>
      </c>
      <c r="N181">
        <v>1619.73</v>
      </c>
    </row>
    <row r="182" spans="1:14" x14ac:dyDescent="0.3">
      <c r="A182" t="s">
        <v>757</v>
      </c>
      <c r="B182" s="8">
        <v>45003</v>
      </c>
      <c r="C182" t="s">
        <v>758</v>
      </c>
      <c r="D182" t="s">
        <v>48</v>
      </c>
      <c r="E182">
        <v>5</v>
      </c>
      <c r="F182">
        <v>316.07</v>
      </c>
      <c r="G182" t="s">
        <v>759</v>
      </c>
      <c r="H182" t="s">
        <v>81</v>
      </c>
      <c r="I182" t="s">
        <v>59</v>
      </c>
      <c r="J182" t="s">
        <v>760</v>
      </c>
      <c r="K182">
        <v>10</v>
      </c>
      <c r="M182" t="s">
        <v>92</v>
      </c>
      <c r="N182">
        <v>1580.35</v>
      </c>
    </row>
    <row r="183" spans="1:14" x14ac:dyDescent="0.3">
      <c r="A183" t="s">
        <v>761</v>
      </c>
      <c r="B183" s="8">
        <v>45535</v>
      </c>
      <c r="C183" t="s">
        <v>762</v>
      </c>
      <c r="D183" t="s">
        <v>64</v>
      </c>
      <c r="E183">
        <v>5</v>
      </c>
      <c r="F183">
        <v>404.39</v>
      </c>
      <c r="G183" t="s">
        <v>763</v>
      </c>
      <c r="H183" t="s">
        <v>43</v>
      </c>
      <c r="I183" t="s">
        <v>35</v>
      </c>
      <c r="J183" t="s">
        <v>764</v>
      </c>
      <c r="K183">
        <v>10</v>
      </c>
      <c r="M183" t="s">
        <v>45</v>
      </c>
      <c r="N183">
        <v>2021.95</v>
      </c>
    </row>
    <row r="184" spans="1:14" x14ac:dyDescent="0.3">
      <c r="A184" t="s">
        <v>765</v>
      </c>
      <c r="B184" s="8">
        <v>45735</v>
      </c>
      <c r="C184" t="s">
        <v>766</v>
      </c>
      <c r="D184" t="s">
        <v>89</v>
      </c>
      <c r="E184">
        <v>1</v>
      </c>
      <c r="F184">
        <v>600.54</v>
      </c>
      <c r="G184" t="s">
        <v>767</v>
      </c>
      <c r="H184" t="s">
        <v>34</v>
      </c>
      <c r="I184" t="s">
        <v>105</v>
      </c>
      <c r="J184" t="s">
        <v>768</v>
      </c>
      <c r="K184">
        <v>4</v>
      </c>
      <c r="L184" t="s">
        <v>97</v>
      </c>
      <c r="M184" t="s">
        <v>92</v>
      </c>
      <c r="N184">
        <v>600.54</v>
      </c>
    </row>
    <row r="185" spans="1:14" x14ac:dyDescent="0.3">
      <c r="A185" t="s">
        <v>769</v>
      </c>
      <c r="B185" s="8">
        <v>45400</v>
      </c>
      <c r="C185" t="s">
        <v>770</v>
      </c>
      <c r="D185" t="s">
        <v>32</v>
      </c>
      <c r="E185">
        <v>5</v>
      </c>
      <c r="F185">
        <v>186.28</v>
      </c>
      <c r="G185" t="s">
        <v>771</v>
      </c>
      <c r="H185" t="s">
        <v>34</v>
      </c>
      <c r="I185" t="s">
        <v>66</v>
      </c>
      <c r="J185" t="s">
        <v>772</v>
      </c>
      <c r="K185">
        <v>8</v>
      </c>
      <c r="L185" t="s">
        <v>37</v>
      </c>
      <c r="M185" t="s">
        <v>54</v>
      </c>
      <c r="N185">
        <v>931.4</v>
      </c>
    </row>
    <row r="186" spans="1:14" x14ac:dyDescent="0.3">
      <c r="A186" t="s">
        <v>773</v>
      </c>
      <c r="B186" s="8">
        <v>45386</v>
      </c>
      <c r="C186" t="s">
        <v>774</v>
      </c>
      <c r="D186" t="s">
        <v>48</v>
      </c>
      <c r="E186">
        <v>4</v>
      </c>
      <c r="F186">
        <v>214.54</v>
      </c>
      <c r="G186" t="s">
        <v>775</v>
      </c>
      <c r="H186" t="s">
        <v>76</v>
      </c>
      <c r="I186" t="s">
        <v>51</v>
      </c>
      <c r="J186" t="s">
        <v>776</v>
      </c>
      <c r="K186">
        <v>7</v>
      </c>
      <c r="M186" t="s">
        <v>45</v>
      </c>
      <c r="N186">
        <v>858.16</v>
      </c>
    </row>
    <row r="187" spans="1:14" x14ac:dyDescent="0.3">
      <c r="A187" t="s">
        <v>777</v>
      </c>
      <c r="B187" s="8">
        <v>45690</v>
      </c>
      <c r="C187" t="s">
        <v>778</v>
      </c>
      <c r="D187" t="s">
        <v>74</v>
      </c>
      <c r="E187">
        <v>1</v>
      </c>
      <c r="F187">
        <v>210.7</v>
      </c>
      <c r="G187" t="s">
        <v>779</v>
      </c>
      <c r="H187" t="s">
        <v>43</v>
      </c>
      <c r="I187" t="s">
        <v>35</v>
      </c>
      <c r="J187" t="s">
        <v>780</v>
      </c>
      <c r="K187">
        <v>2</v>
      </c>
      <c r="L187" t="s">
        <v>97</v>
      </c>
      <c r="M187" t="s">
        <v>45</v>
      </c>
      <c r="N187">
        <v>210.7</v>
      </c>
    </row>
    <row r="188" spans="1:14" x14ac:dyDescent="0.3">
      <c r="A188" t="s">
        <v>781</v>
      </c>
      <c r="B188" s="8">
        <v>45267</v>
      </c>
      <c r="C188" t="s">
        <v>782</v>
      </c>
      <c r="D188" t="s">
        <v>41</v>
      </c>
      <c r="E188">
        <v>2</v>
      </c>
      <c r="F188">
        <v>133.55000000000001</v>
      </c>
      <c r="G188" t="s">
        <v>783</v>
      </c>
      <c r="H188" t="s">
        <v>81</v>
      </c>
      <c r="I188" t="s">
        <v>105</v>
      </c>
      <c r="J188" t="s">
        <v>784</v>
      </c>
      <c r="K188">
        <v>7</v>
      </c>
      <c r="L188" t="s">
        <v>53</v>
      </c>
      <c r="M188" t="s">
        <v>61</v>
      </c>
      <c r="N188">
        <v>267.10000000000002</v>
      </c>
    </row>
    <row r="189" spans="1:14" x14ac:dyDescent="0.3">
      <c r="A189" t="s">
        <v>785</v>
      </c>
      <c r="B189" s="8">
        <v>44965</v>
      </c>
      <c r="C189" t="s">
        <v>786</v>
      </c>
      <c r="D189" t="s">
        <v>57</v>
      </c>
      <c r="E189">
        <v>1</v>
      </c>
      <c r="F189">
        <v>590.87</v>
      </c>
      <c r="G189" t="s">
        <v>787</v>
      </c>
      <c r="H189" t="s">
        <v>76</v>
      </c>
      <c r="I189" t="s">
        <v>59</v>
      </c>
      <c r="J189" t="s">
        <v>788</v>
      </c>
      <c r="K189">
        <v>6</v>
      </c>
      <c r="L189" t="s">
        <v>53</v>
      </c>
      <c r="M189" t="s">
        <v>45</v>
      </c>
      <c r="N189">
        <v>590.87</v>
      </c>
    </row>
    <row r="190" spans="1:14" x14ac:dyDescent="0.3">
      <c r="A190" t="s">
        <v>789</v>
      </c>
      <c r="B190" s="8">
        <v>45731</v>
      </c>
      <c r="C190" t="s">
        <v>790</v>
      </c>
      <c r="D190" t="s">
        <v>57</v>
      </c>
      <c r="E190">
        <v>2</v>
      </c>
      <c r="F190">
        <v>363.91</v>
      </c>
      <c r="G190" t="s">
        <v>791</v>
      </c>
      <c r="H190" t="s">
        <v>76</v>
      </c>
      <c r="I190" t="s">
        <v>35</v>
      </c>
      <c r="J190" t="s">
        <v>792</v>
      </c>
      <c r="K190">
        <v>2</v>
      </c>
      <c r="L190" t="s">
        <v>53</v>
      </c>
      <c r="M190" t="s">
        <v>45</v>
      </c>
      <c r="N190">
        <v>727.82</v>
      </c>
    </row>
    <row r="191" spans="1:14" x14ac:dyDescent="0.3">
      <c r="A191" t="s">
        <v>793</v>
      </c>
      <c r="B191" s="8">
        <v>45112</v>
      </c>
      <c r="C191" t="s">
        <v>794</v>
      </c>
      <c r="D191" t="s">
        <v>64</v>
      </c>
      <c r="E191">
        <v>5</v>
      </c>
      <c r="F191">
        <v>429.45</v>
      </c>
      <c r="G191" t="s">
        <v>795</v>
      </c>
      <c r="H191" t="s">
        <v>76</v>
      </c>
      <c r="I191" t="s">
        <v>51</v>
      </c>
      <c r="J191" t="s">
        <v>796</v>
      </c>
      <c r="K191">
        <v>5</v>
      </c>
      <c r="L191" t="s">
        <v>97</v>
      </c>
      <c r="M191" t="s">
        <v>54</v>
      </c>
      <c r="N191">
        <v>2147.25</v>
      </c>
    </row>
    <row r="192" spans="1:14" x14ac:dyDescent="0.3">
      <c r="A192" t="s">
        <v>797</v>
      </c>
      <c r="B192" s="8">
        <v>45535</v>
      </c>
      <c r="C192" t="s">
        <v>798</v>
      </c>
      <c r="D192" t="s">
        <v>64</v>
      </c>
      <c r="E192">
        <v>3</v>
      </c>
      <c r="F192">
        <v>223.7</v>
      </c>
      <c r="G192" t="s">
        <v>799</v>
      </c>
      <c r="H192" t="s">
        <v>81</v>
      </c>
      <c r="I192" t="s">
        <v>59</v>
      </c>
      <c r="J192" t="s">
        <v>800</v>
      </c>
      <c r="K192">
        <v>3</v>
      </c>
      <c r="L192" t="s">
        <v>37</v>
      </c>
      <c r="M192" t="s">
        <v>54</v>
      </c>
      <c r="N192">
        <v>671.1</v>
      </c>
    </row>
    <row r="193" spans="1:14" x14ac:dyDescent="0.3">
      <c r="A193" t="s">
        <v>801</v>
      </c>
      <c r="B193" s="8">
        <v>45724</v>
      </c>
      <c r="C193" t="s">
        <v>802</v>
      </c>
      <c r="D193" t="s">
        <v>74</v>
      </c>
      <c r="E193">
        <v>2</v>
      </c>
      <c r="F193">
        <v>488.87</v>
      </c>
      <c r="G193" t="s">
        <v>803</v>
      </c>
      <c r="H193" t="s">
        <v>43</v>
      </c>
      <c r="I193" t="s">
        <v>51</v>
      </c>
      <c r="J193" t="s">
        <v>804</v>
      </c>
      <c r="K193">
        <v>4</v>
      </c>
      <c r="L193" t="s">
        <v>53</v>
      </c>
      <c r="M193" t="s">
        <v>92</v>
      </c>
      <c r="N193">
        <v>977.74</v>
      </c>
    </row>
    <row r="194" spans="1:14" x14ac:dyDescent="0.3">
      <c r="A194" t="s">
        <v>805</v>
      </c>
      <c r="B194" s="8">
        <v>45149</v>
      </c>
      <c r="C194" t="s">
        <v>806</v>
      </c>
      <c r="D194" t="s">
        <v>89</v>
      </c>
      <c r="E194">
        <v>1</v>
      </c>
      <c r="F194">
        <v>645.46</v>
      </c>
      <c r="G194" t="s">
        <v>611</v>
      </c>
      <c r="H194" t="s">
        <v>76</v>
      </c>
      <c r="I194" t="s">
        <v>51</v>
      </c>
      <c r="J194" t="s">
        <v>807</v>
      </c>
      <c r="K194">
        <v>5</v>
      </c>
      <c r="L194" t="s">
        <v>37</v>
      </c>
      <c r="M194" t="s">
        <v>92</v>
      </c>
      <c r="N194">
        <v>645.46</v>
      </c>
    </row>
    <row r="195" spans="1:14" x14ac:dyDescent="0.3">
      <c r="A195" t="s">
        <v>808</v>
      </c>
      <c r="B195" s="8">
        <v>45128</v>
      </c>
      <c r="C195" t="s">
        <v>809</v>
      </c>
      <c r="D195" t="s">
        <v>64</v>
      </c>
      <c r="E195">
        <v>1</v>
      </c>
      <c r="F195">
        <v>46.66</v>
      </c>
      <c r="G195" t="s">
        <v>810</v>
      </c>
      <c r="H195" t="s">
        <v>81</v>
      </c>
      <c r="I195" t="s">
        <v>51</v>
      </c>
      <c r="J195" t="s">
        <v>811</v>
      </c>
      <c r="K195">
        <v>6</v>
      </c>
      <c r="M195" t="s">
        <v>92</v>
      </c>
      <c r="N195">
        <v>46.66</v>
      </c>
    </row>
    <row r="196" spans="1:14" x14ac:dyDescent="0.3">
      <c r="A196" t="s">
        <v>812</v>
      </c>
      <c r="B196" s="8">
        <v>45451</v>
      </c>
      <c r="C196" t="s">
        <v>813</v>
      </c>
      <c r="D196" t="s">
        <v>32</v>
      </c>
      <c r="E196">
        <v>1</v>
      </c>
      <c r="F196">
        <v>249.57</v>
      </c>
      <c r="G196" t="s">
        <v>814</v>
      </c>
      <c r="H196" t="s">
        <v>81</v>
      </c>
      <c r="I196" t="s">
        <v>35</v>
      </c>
      <c r="J196" t="s">
        <v>815</v>
      </c>
      <c r="K196">
        <v>3</v>
      </c>
      <c r="L196" t="s">
        <v>53</v>
      </c>
      <c r="M196" t="s">
        <v>92</v>
      </c>
      <c r="N196">
        <v>249.57</v>
      </c>
    </row>
    <row r="197" spans="1:14" x14ac:dyDescent="0.3">
      <c r="A197" t="s">
        <v>816</v>
      </c>
      <c r="B197" s="8">
        <v>45404</v>
      </c>
      <c r="C197" t="s">
        <v>817</v>
      </c>
      <c r="D197" t="s">
        <v>57</v>
      </c>
      <c r="E197">
        <v>3</v>
      </c>
      <c r="F197">
        <v>619.21</v>
      </c>
      <c r="G197" t="s">
        <v>818</v>
      </c>
      <c r="H197" t="s">
        <v>34</v>
      </c>
      <c r="I197" t="s">
        <v>51</v>
      </c>
      <c r="J197" t="s">
        <v>819</v>
      </c>
      <c r="K197">
        <v>6</v>
      </c>
      <c r="M197" t="s">
        <v>54</v>
      </c>
      <c r="N197">
        <v>1857.63</v>
      </c>
    </row>
    <row r="198" spans="1:14" x14ac:dyDescent="0.3">
      <c r="A198" t="s">
        <v>820</v>
      </c>
      <c r="B198" s="8">
        <v>45681</v>
      </c>
      <c r="C198" t="s">
        <v>821</v>
      </c>
      <c r="D198" t="s">
        <v>89</v>
      </c>
      <c r="E198">
        <v>4</v>
      </c>
      <c r="F198">
        <v>217.13</v>
      </c>
      <c r="G198" t="s">
        <v>822</v>
      </c>
      <c r="H198" t="s">
        <v>81</v>
      </c>
      <c r="I198" t="s">
        <v>66</v>
      </c>
      <c r="J198" t="s">
        <v>823</v>
      </c>
      <c r="K198">
        <v>8</v>
      </c>
      <c r="L198" t="s">
        <v>97</v>
      </c>
      <c r="M198" t="s">
        <v>54</v>
      </c>
      <c r="N198">
        <v>868.52</v>
      </c>
    </row>
    <row r="199" spans="1:14" x14ac:dyDescent="0.3">
      <c r="A199" t="s">
        <v>824</v>
      </c>
      <c r="B199" s="8">
        <v>45165</v>
      </c>
      <c r="C199" t="s">
        <v>825</v>
      </c>
      <c r="D199" t="s">
        <v>74</v>
      </c>
      <c r="E199">
        <v>5</v>
      </c>
      <c r="F199">
        <v>221.51</v>
      </c>
      <c r="G199" t="s">
        <v>826</v>
      </c>
      <c r="H199" t="s">
        <v>81</v>
      </c>
      <c r="I199" t="s">
        <v>59</v>
      </c>
      <c r="J199" t="s">
        <v>827</v>
      </c>
      <c r="K199">
        <v>5</v>
      </c>
      <c r="L199" t="s">
        <v>97</v>
      </c>
      <c r="M199" t="s">
        <v>45</v>
      </c>
      <c r="N199">
        <v>1107.55</v>
      </c>
    </row>
    <row r="200" spans="1:14" x14ac:dyDescent="0.3">
      <c r="A200" t="s">
        <v>828</v>
      </c>
      <c r="B200" s="8">
        <v>45454</v>
      </c>
      <c r="C200" t="s">
        <v>829</v>
      </c>
      <c r="D200" t="s">
        <v>74</v>
      </c>
      <c r="E200">
        <v>4</v>
      </c>
      <c r="F200">
        <v>340.3</v>
      </c>
      <c r="G200" t="s">
        <v>193</v>
      </c>
      <c r="H200" t="s">
        <v>81</v>
      </c>
      <c r="I200" t="s">
        <v>51</v>
      </c>
      <c r="J200" t="s">
        <v>830</v>
      </c>
      <c r="K200">
        <v>8</v>
      </c>
      <c r="L200" t="s">
        <v>37</v>
      </c>
      <c r="M200" t="s">
        <v>45</v>
      </c>
      <c r="N200">
        <v>1361.2</v>
      </c>
    </row>
    <row r="201" spans="1:14" x14ac:dyDescent="0.3">
      <c r="A201" t="s">
        <v>831</v>
      </c>
      <c r="B201" s="8">
        <v>45680</v>
      </c>
      <c r="C201" t="s">
        <v>832</v>
      </c>
      <c r="D201" t="s">
        <v>41</v>
      </c>
      <c r="E201">
        <v>1</v>
      </c>
      <c r="F201">
        <v>625</v>
      </c>
      <c r="G201" t="s">
        <v>833</v>
      </c>
      <c r="H201" t="s">
        <v>43</v>
      </c>
      <c r="I201" t="s">
        <v>59</v>
      </c>
      <c r="J201" t="s">
        <v>834</v>
      </c>
      <c r="K201">
        <v>5</v>
      </c>
      <c r="L201" t="s">
        <v>97</v>
      </c>
      <c r="M201" t="s">
        <v>92</v>
      </c>
      <c r="N201">
        <v>625</v>
      </c>
    </row>
    <row r="202" spans="1:14" x14ac:dyDescent="0.3">
      <c r="A202" t="s">
        <v>835</v>
      </c>
      <c r="B202" s="8">
        <v>45815</v>
      </c>
      <c r="C202" t="s">
        <v>836</v>
      </c>
      <c r="D202" t="s">
        <v>48</v>
      </c>
      <c r="E202">
        <v>5</v>
      </c>
      <c r="F202">
        <v>433.26</v>
      </c>
      <c r="G202" t="s">
        <v>177</v>
      </c>
      <c r="H202" t="s">
        <v>50</v>
      </c>
      <c r="I202" t="s">
        <v>66</v>
      </c>
      <c r="J202" t="s">
        <v>837</v>
      </c>
      <c r="K202">
        <v>9</v>
      </c>
      <c r="L202" t="s">
        <v>37</v>
      </c>
      <c r="M202" t="s">
        <v>92</v>
      </c>
      <c r="N202">
        <v>2166.3000000000002</v>
      </c>
    </row>
    <row r="203" spans="1:14" x14ac:dyDescent="0.3">
      <c r="A203" t="s">
        <v>838</v>
      </c>
      <c r="B203" s="8">
        <v>45095</v>
      </c>
      <c r="C203" t="s">
        <v>839</v>
      </c>
      <c r="D203" t="s">
        <v>32</v>
      </c>
      <c r="E203">
        <v>2</v>
      </c>
      <c r="F203">
        <v>674.9</v>
      </c>
      <c r="G203" t="s">
        <v>363</v>
      </c>
      <c r="H203" t="s">
        <v>43</v>
      </c>
      <c r="I203" t="s">
        <v>35</v>
      </c>
      <c r="J203" t="s">
        <v>840</v>
      </c>
      <c r="K203">
        <v>4</v>
      </c>
      <c r="L203" t="s">
        <v>37</v>
      </c>
      <c r="M203" t="s">
        <v>61</v>
      </c>
      <c r="N203">
        <v>1349.8</v>
      </c>
    </row>
    <row r="204" spans="1:14" x14ac:dyDescent="0.3">
      <c r="A204" t="s">
        <v>841</v>
      </c>
      <c r="B204" s="8">
        <v>45694</v>
      </c>
      <c r="C204" t="s">
        <v>842</v>
      </c>
      <c r="D204" t="s">
        <v>32</v>
      </c>
      <c r="E204">
        <v>3</v>
      </c>
      <c r="F204">
        <v>253.98</v>
      </c>
      <c r="G204" t="s">
        <v>581</v>
      </c>
      <c r="H204" t="s">
        <v>50</v>
      </c>
      <c r="I204" t="s">
        <v>51</v>
      </c>
      <c r="J204" t="s">
        <v>843</v>
      </c>
      <c r="K204">
        <v>3</v>
      </c>
      <c r="L204" t="s">
        <v>53</v>
      </c>
      <c r="M204" t="s">
        <v>54</v>
      </c>
      <c r="N204">
        <v>761.94</v>
      </c>
    </row>
    <row r="205" spans="1:14" x14ac:dyDescent="0.3">
      <c r="A205" t="s">
        <v>844</v>
      </c>
      <c r="B205" s="8">
        <v>45678</v>
      </c>
      <c r="C205" t="s">
        <v>845</v>
      </c>
      <c r="D205" t="s">
        <v>64</v>
      </c>
      <c r="E205">
        <v>3</v>
      </c>
      <c r="F205">
        <v>356.84</v>
      </c>
      <c r="G205" t="s">
        <v>846</v>
      </c>
      <c r="H205" t="s">
        <v>43</v>
      </c>
      <c r="I205" t="s">
        <v>35</v>
      </c>
      <c r="J205" t="s">
        <v>847</v>
      </c>
      <c r="K205">
        <v>5</v>
      </c>
      <c r="L205" t="s">
        <v>37</v>
      </c>
      <c r="M205" t="s">
        <v>38</v>
      </c>
      <c r="N205">
        <v>1070.52</v>
      </c>
    </row>
    <row r="206" spans="1:14" x14ac:dyDescent="0.3">
      <c r="A206" t="s">
        <v>848</v>
      </c>
      <c r="B206" s="8">
        <v>45174</v>
      </c>
      <c r="C206" t="s">
        <v>849</v>
      </c>
      <c r="D206" t="s">
        <v>74</v>
      </c>
      <c r="E206">
        <v>4</v>
      </c>
      <c r="F206">
        <v>413.71</v>
      </c>
      <c r="G206" t="s">
        <v>600</v>
      </c>
      <c r="H206" t="s">
        <v>76</v>
      </c>
      <c r="I206" t="s">
        <v>51</v>
      </c>
      <c r="J206" t="s">
        <v>850</v>
      </c>
      <c r="K206">
        <v>9</v>
      </c>
      <c r="L206" t="s">
        <v>53</v>
      </c>
      <c r="M206" t="s">
        <v>61</v>
      </c>
      <c r="N206">
        <v>1654.84</v>
      </c>
    </row>
    <row r="207" spans="1:14" x14ac:dyDescent="0.3">
      <c r="A207" t="s">
        <v>851</v>
      </c>
      <c r="B207" s="8">
        <v>44989</v>
      </c>
      <c r="C207" t="s">
        <v>852</v>
      </c>
      <c r="D207" t="s">
        <v>89</v>
      </c>
      <c r="E207">
        <v>3</v>
      </c>
      <c r="F207">
        <v>147.38999999999999</v>
      </c>
      <c r="G207" t="s">
        <v>853</v>
      </c>
      <c r="H207" t="s">
        <v>34</v>
      </c>
      <c r="I207" t="s">
        <v>59</v>
      </c>
      <c r="J207" t="s">
        <v>854</v>
      </c>
      <c r="K207">
        <v>3</v>
      </c>
      <c r="M207" t="s">
        <v>54</v>
      </c>
      <c r="N207">
        <v>442.17</v>
      </c>
    </row>
    <row r="208" spans="1:14" x14ac:dyDescent="0.3">
      <c r="A208" t="s">
        <v>855</v>
      </c>
      <c r="B208" s="8">
        <v>45398</v>
      </c>
      <c r="C208" t="s">
        <v>856</v>
      </c>
      <c r="D208" t="s">
        <v>74</v>
      </c>
      <c r="E208">
        <v>4</v>
      </c>
      <c r="F208">
        <v>229.1</v>
      </c>
      <c r="G208" t="s">
        <v>857</v>
      </c>
      <c r="H208" t="s">
        <v>76</v>
      </c>
      <c r="I208" t="s">
        <v>59</v>
      </c>
      <c r="J208" t="s">
        <v>858</v>
      </c>
      <c r="K208">
        <v>8</v>
      </c>
      <c r="L208" t="s">
        <v>97</v>
      </c>
      <c r="M208" t="s">
        <v>54</v>
      </c>
      <c r="N208">
        <v>916.4</v>
      </c>
    </row>
    <row r="209" spans="1:14" x14ac:dyDescent="0.3">
      <c r="A209" t="s">
        <v>859</v>
      </c>
      <c r="B209" s="8">
        <v>45734</v>
      </c>
      <c r="C209" t="s">
        <v>860</v>
      </c>
      <c r="D209" t="s">
        <v>41</v>
      </c>
      <c r="E209">
        <v>1</v>
      </c>
      <c r="F209">
        <v>121.96</v>
      </c>
      <c r="G209" t="s">
        <v>861</v>
      </c>
      <c r="H209" t="s">
        <v>34</v>
      </c>
      <c r="I209" t="s">
        <v>66</v>
      </c>
      <c r="J209" t="s">
        <v>862</v>
      </c>
      <c r="K209">
        <v>3</v>
      </c>
      <c r="M209" t="s">
        <v>92</v>
      </c>
      <c r="N209">
        <v>121.96</v>
      </c>
    </row>
    <row r="210" spans="1:14" x14ac:dyDescent="0.3">
      <c r="A210" t="s">
        <v>863</v>
      </c>
      <c r="B210" s="8">
        <v>45573</v>
      </c>
      <c r="C210" t="s">
        <v>864</v>
      </c>
      <c r="D210" t="s">
        <v>89</v>
      </c>
      <c r="E210">
        <v>2</v>
      </c>
      <c r="F210">
        <v>408.32</v>
      </c>
      <c r="G210" t="s">
        <v>795</v>
      </c>
      <c r="H210" t="s">
        <v>43</v>
      </c>
      <c r="I210" t="s">
        <v>35</v>
      </c>
      <c r="J210" t="s">
        <v>865</v>
      </c>
      <c r="K210">
        <v>3</v>
      </c>
      <c r="L210" t="s">
        <v>53</v>
      </c>
      <c r="M210" t="s">
        <v>61</v>
      </c>
      <c r="N210">
        <v>816.64</v>
      </c>
    </row>
    <row r="211" spans="1:14" x14ac:dyDescent="0.3">
      <c r="A211" t="s">
        <v>866</v>
      </c>
      <c r="B211" s="8">
        <v>45167</v>
      </c>
      <c r="C211" t="s">
        <v>867</v>
      </c>
      <c r="D211" t="s">
        <v>48</v>
      </c>
      <c r="E211">
        <v>5</v>
      </c>
      <c r="F211">
        <v>187.97</v>
      </c>
      <c r="G211" t="s">
        <v>80</v>
      </c>
      <c r="H211" t="s">
        <v>81</v>
      </c>
      <c r="I211" t="s">
        <v>59</v>
      </c>
      <c r="J211" t="s">
        <v>868</v>
      </c>
      <c r="K211">
        <v>9</v>
      </c>
      <c r="L211" t="s">
        <v>37</v>
      </c>
      <c r="M211" t="s">
        <v>92</v>
      </c>
      <c r="N211">
        <v>939.85</v>
      </c>
    </row>
    <row r="212" spans="1:14" x14ac:dyDescent="0.3">
      <c r="A212" t="s">
        <v>869</v>
      </c>
      <c r="B212" s="8">
        <v>45631</v>
      </c>
      <c r="C212" t="s">
        <v>870</v>
      </c>
      <c r="D212" t="s">
        <v>57</v>
      </c>
      <c r="E212">
        <v>3</v>
      </c>
      <c r="F212">
        <v>358.48</v>
      </c>
      <c r="G212" t="s">
        <v>569</v>
      </c>
      <c r="H212" t="s">
        <v>76</v>
      </c>
      <c r="I212" t="s">
        <v>66</v>
      </c>
      <c r="J212" t="s">
        <v>871</v>
      </c>
      <c r="K212">
        <v>7</v>
      </c>
      <c r="L212" t="s">
        <v>53</v>
      </c>
      <c r="M212" t="s">
        <v>61</v>
      </c>
      <c r="N212">
        <v>1075.44</v>
      </c>
    </row>
    <row r="213" spans="1:14" x14ac:dyDescent="0.3">
      <c r="A213" t="s">
        <v>872</v>
      </c>
      <c r="B213" s="8">
        <v>45660</v>
      </c>
      <c r="C213" t="s">
        <v>873</v>
      </c>
      <c r="D213" t="s">
        <v>64</v>
      </c>
      <c r="E213">
        <v>3</v>
      </c>
      <c r="F213">
        <v>193.58</v>
      </c>
      <c r="G213" t="s">
        <v>874</v>
      </c>
      <c r="H213" t="s">
        <v>76</v>
      </c>
      <c r="I213" t="s">
        <v>105</v>
      </c>
      <c r="J213" t="s">
        <v>875</v>
      </c>
      <c r="K213">
        <v>7</v>
      </c>
      <c r="L213" t="s">
        <v>53</v>
      </c>
      <c r="M213" t="s">
        <v>54</v>
      </c>
      <c r="N213">
        <v>580.74</v>
      </c>
    </row>
    <row r="214" spans="1:14" x14ac:dyDescent="0.3">
      <c r="A214" t="s">
        <v>876</v>
      </c>
      <c r="B214" s="8">
        <v>45097</v>
      </c>
      <c r="C214" t="s">
        <v>877</v>
      </c>
      <c r="D214" t="s">
        <v>32</v>
      </c>
      <c r="E214">
        <v>1</v>
      </c>
      <c r="F214">
        <v>265.38</v>
      </c>
      <c r="G214" t="s">
        <v>878</v>
      </c>
      <c r="H214" t="s">
        <v>50</v>
      </c>
      <c r="I214" t="s">
        <v>51</v>
      </c>
      <c r="J214" t="s">
        <v>879</v>
      </c>
      <c r="K214">
        <v>6</v>
      </c>
      <c r="L214" t="s">
        <v>97</v>
      </c>
      <c r="M214" t="s">
        <v>54</v>
      </c>
      <c r="N214">
        <v>265.38</v>
      </c>
    </row>
    <row r="215" spans="1:14" x14ac:dyDescent="0.3">
      <c r="A215" t="s">
        <v>880</v>
      </c>
      <c r="B215" s="8">
        <v>45036</v>
      </c>
      <c r="C215" t="s">
        <v>881</v>
      </c>
      <c r="D215" t="s">
        <v>74</v>
      </c>
      <c r="E215">
        <v>1</v>
      </c>
      <c r="F215">
        <v>634.4</v>
      </c>
      <c r="G215" t="s">
        <v>882</v>
      </c>
      <c r="H215" t="s">
        <v>81</v>
      </c>
      <c r="I215" t="s">
        <v>51</v>
      </c>
      <c r="J215" t="s">
        <v>883</v>
      </c>
      <c r="K215">
        <v>6</v>
      </c>
      <c r="L215" t="s">
        <v>37</v>
      </c>
      <c r="M215" t="s">
        <v>54</v>
      </c>
      <c r="N215">
        <v>634.4</v>
      </c>
    </row>
    <row r="216" spans="1:14" x14ac:dyDescent="0.3">
      <c r="A216" t="s">
        <v>884</v>
      </c>
      <c r="B216" s="8">
        <v>45525</v>
      </c>
      <c r="C216" t="s">
        <v>885</v>
      </c>
      <c r="D216" t="s">
        <v>89</v>
      </c>
      <c r="E216">
        <v>4</v>
      </c>
      <c r="F216">
        <v>305.72000000000003</v>
      </c>
      <c r="G216" t="s">
        <v>533</v>
      </c>
      <c r="H216" t="s">
        <v>43</v>
      </c>
      <c r="I216" t="s">
        <v>66</v>
      </c>
      <c r="J216" t="s">
        <v>886</v>
      </c>
      <c r="K216">
        <v>5</v>
      </c>
      <c r="M216" t="s">
        <v>61</v>
      </c>
      <c r="N216">
        <v>1222.8800000000001</v>
      </c>
    </row>
    <row r="217" spans="1:14" x14ac:dyDescent="0.3">
      <c r="A217" t="s">
        <v>887</v>
      </c>
      <c r="B217" s="8">
        <v>45148</v>
      </c>
      <c r="C217" t="s">
        <v>888</v>
      </c>
      <c r="D217" t="s">
        <v>64</v>
      </c>
      <c r="E217">
        <v>1</v>
      </c>
      <c r="F217">
        <v>303.60000000000002</v>
      </c>
      <c r="G217" t="s">
        <v>889</v>
      </c>
      <c r="H217" t="s">
        <v>81</v>
      </c>
      <c r="I217" t="s">
        <v>35</v>
      </c>
      <c r="J217" t="s">
        <v>890</v>
      </c>
      <c r="K217">
        <v>5</v>
      </c>
      <c r="L217" t="s">
        <v>53</v>
      </c>
      <c r="M217" t="s">
        <v>61</v>
      </c>
      <c r="N217">
        <v>303.60000000000002</v>
      </c>
    </row>
    <row r="218" spans="1:14" x14ac:dyDescent="0.3">
      <c r="A218" t="s">
        <v>891</v>
      </c>
      <c r="B218" s="8">
        <v>45762</v>
      </c>
      <c r="C218" t="s">
        <v>892</v>
      </c>
      <c r="D218" t="s">
        <v>32</v>
      </c>
      <c r="E218">
        <v>4</v>
      </c>
      <c r="F218">
        <v>496</v>
      </c>
      <c r="G218" t="s">
        <v>289</v>
      </c>
      <c r="H218" t="s">
        <v>43</v>
      </c>
      <c r="I218" t="s">
        <v>51</v>
      </c>
      <c r="J218" t="s">
        <v>893</v>
      </c>
      <c r="K218">
        <v>8</v>
      </c>
      <c r="L218" t="s">
        <v>97</v>
      </c>
      <c r="M218" t="s">
        <v>92</v>
      </c>
      <c r="N218">
        <v>1984</v>
      </c>
    </row>
    <row r="219" spans="1:14" x14ac:dyDescent="0.3">
      <c r="A219" t="s">
        <v>894</v>
      </c>
      <c r="B219" s="8">
        <v>45432</v>
      </c>
      <c r="C219" t="s">
        <v>895</v>
      </c>
      <c r="D219" t="s">
        <v>89</v>
      </c>
      <c r="E219">
        <v>4</v>
      </c>
      <c r="F219">
        <v>321.51</v>
      </c>
      <c r="G219" t="s">
        <v>896</v>
      </c>
      <c r="H219" t="s">
        <v>81</v>
      </c>
      <c r="I219" t="s">
        <v>59</v>
      </c>
      <c r="J219" t="s">
        <v>897</v>
      </c>
      <c r="K219">
        <v>9</v>
      </c>
      <c r="M219" t="s">
        <v>92</v>
      </c>
      <c r="N219">
        <v>1286.04</v>
      </c>
    </row>
    <row r="220" spans="1:14" x14ac:dyDescent="0.3">
      <c r="A220" t="s">
        <v>898</v>
      </c>
      <c r="B220" s="8">
        <v>45044</v>
      </c>
      <c r="C220" t="s">
        <v>899</v>
      </c>
      <c r="D220" t="s">
        <v>48</v>
      </c>
      <c r="E220">
        <v>3</v>
      </c>
      <c r="F220">
        <v>112.46</v>
      </c>
      <c r="G220" t="s">
        <v>900</v>
      </c>
      <c r="H220" t="s">
        <v>76</v>
      </c>
      <c r="I220" t="s">
        <v>35</v>
      </c>
      <c r="J220" t="s">
        <v>901</v>
      </c>
      <c r="K220">
        <v>6</v>
      </c>
      <c r="L220" t="s">
        <v>37</v>
      </c>
      <c r="M220" t="s">
        <v>38</v>
      </c>
      <c r="N220">
        <v>337.38</v>
      </c>
    </row>
    <row r="221" spans="1:14" x14ac:dyDescent="0.3">
      <c r="A221" t="s">
        <v>902</v>
      </c>
      <c r="B221" s="8">
        <v>45779</v>
      </c>
      <c r="C221" t="s">
        <v>903</v>
      </c>
      <c r="D221" t="s">
        <v>74</v>
      </c>
      <c r="E221">
        <v>5</v>
      </c>
      <c r="F221">
        <v>61.97</v>
      </c>
      <c r="G221" t="s">
        <v>904</v>
      </c>
      <c r="H221" t="s">
        <v>81</v>
      </c>
      <c r="I221" t="s">
        <v>66</v>
      </c>
      <c r="J221" t="s">
        <v>905</v>
      </c>
      <c r="K221">
        <v>6</v>
      </c>
      <c r="L221" t="s">
        <v>37</v>
      </c>
      <c r="M221" t="s">
        <v>54</v>
      </c>
      <c r="N221">
        <v>309.85000000000002</v>
      </c>
    </row>
    <row r="222" spans="1:14" x14ac:dyDescent="0.3">
      <c r="A222" t="s">
        <v>906</v>
      </c>
      <c r="B222" s="8">
        <v>45125</v>
      </c>
      <c r="C222" t="s">
        <v>907</v>
      </c>
      <c r="D222" t="s">
        <v>74</v>
      </c>
      <c r="E222">
        <v>2</v>
      </c>
      <c r="F222">
        <v>373.17</v>
      </c>
      <c r="G222" t="s">
        <v>908</v>
      </c>
      <c r="H222" t="s">
        <v>50</v>
      </c>
      <c r="I222" t="s">
        <v>105</v>
      </c>
      <c r="J222" t="s">
        <v>909</v>
      </c>
      <c r="K222">
        <v>6</v>
      </c>
      <c r="L222" t="s">
        <v>37</v>
      </c>
      <c r="M222" t="s">
        <v>45</v>
      </c>
      <c r="N222">
        <v>746.34</v>
      </c>
    </row>
    <row r="223" spans="1:14" x14ac:dyDescent="0.3">
      <c r="A223" t="s">
        <v>910</v>
      </c>
      <c r="B223" s="8">
        <v>45345</v>
      </c>
      <c r="C223" t="s">
        <v>911</v>
      </c>
      <c r="D223" t="s">
        <v>48</v>
      </c>
      <c r="E223">
        <v>5</v>
      </c>
      <c r="F223">
        <v>639.37</v>
      </c>
      <c r="G223" t="s">
        <v>328</v>
      </c>
      <c r="H223" t="s">
        <v>34</v>
      </c>
      <c r="I223" t="s">
        <v>105</v>
      </c>
      <c r="J223" t="s">
        <v>912</v>
      </c>
      <c r="K223">
        <v>6</v>
      </c>
      <c r="L223" t="s">
        <v>37</v>
      </c>
      <c r="M223" t="s">
        <v>92</v>
      </c>
      <c r="N223">
        <v>3196.85</v>
      </c>
    </row>
    <row r="224" spans="1:14" x14ac:dyDescent="0.3">
      <c r="A224" t="s">
        <v>913</v>
      </c>
      <c r="B224" s="8">
        <v>45050</v>
      </c>
      <c r="C224" t="s">
        <v>914</v>
      </c>
      <c r="D224" t="s">
        <v>57</v>
      </c>
      <c r="E224">
        <v>4</v>
      </c>
      <c r="F224">
        <v>693.36</v>
      </c>
      <c r="G224" t="s">
        <v>915</v>
      </c>
      <c r="H224" t="s">
        <v>43</v>
      </c>
      <c r="I224" t="s">
        <v>35</v>
      </c>
      <c r="J224" t="s">
        <v>916</v>
      </c>
      <c r="K224">
        <v>8</v>
      </c>
      <c r="M224" t="s">
        <v>38</v>
      </c>
      <c r="N224">
        <v>2773.44</v>
      </c>
    </row>
    <row r="225" spans="1:14" x14ac:dyDescent="0.3">
      <c r="A225" t="s">
        <v>917</v>
      </c>
      <c r="B225" s="8">
        <v>45546</v>
      </c>
      <c r="C225" t="s">
        <v>918</v>
      </c>
      <c r="D225" t="s">
        <v>41</v>
      </c>
      <c r="E225">
        <v>4</v>
      </c>
      <c r="F225">
        <v>692.91</v>
      </c>
      <c r="G225" t="s">
        <v>533</v>
      </c>
      <c r="H225" t="s">
        <v>50</v>
      </c>
      <c r="I225" t="s">
        <v>105</v>
      </c>
      <c r="J225" t="s">
        <v>919</v>
      </c>
      <c r="K225">
        <v>9</v>
      </c>
      <c r="L225" t="s">
        <v>37</v>
      </c>
      <c r="M225" t="s">
        <v>38</v>
      </c>
      <c r="N225">
        <v>2771.64</v>
      </c>
    </row>
    <row r="226" spans="1:14" x14ac:dyDescent="0.3">
      <c r="A226" t="s">
        <v>920</v>
      </c>
      <c r="B226" s="8">
        <v>45192</v>
      </c>
      <c r="C226" t="s">
        <v>921</v>
      </c>
      <c r="D226" t="s">
        <v>64</v>
      </c>
      <c r="E226">
        <v>4</v>
      </c>
      <c r="F226">
        <v>91.46</v>
      </c>
      <c r="G226" t="s">
        <v>922</v>
      </c>
      <c r="H226" t="s">
        <v>81</v>
      </c>
      <c r="I226" t="s">
        <v>51</v>
      </c>
      <c r="J226" t="s">
        <v>923</v>
      </c>
      <c r="K226">
        <v>9</v>
      </c>
      <c r="L226" t="s">
        <v>37</v>
      </c>
      <c r="M226" t="s">
        <v>45</v>
      </c>
      <c r="N226">
        <v>365.84</v>
      </c>
    </row>
    <row r="227" spans="1:14" x14ac:dyDescent="0.3">
      <c r="A227" t="s">
        <v>924</v>
      </c>
      <c r="B227" s="8">
        <v>45364</v>
      </c>
      <c r="C227" t="s">
        <v>925</v>
      </c>
      <c r="D227" t="s">
        <v>41</v>
      </c>
      <c r="E227">
        <v>3</v>
      </c>
      <c r="F227">
        <v>273.95999999999998</v>
      </c>
      <c r="G227" t="s">
        <v>926</v>
      </c>
      <c r="H227" t="s">
        <v>34</v>
      </c>
      <c r="I227" t="s">
        <v>59</v>
      </c>
      <c r="J227" t="s">
        <v>927</v>
      </c>
      <c r="K227">
        <v>8</v>
      </c>
      <c r="L227" t="s">
        <v>37</v>
      </c>
      <c r="M227" t="s">
        <v>92</v>
      </c>
      <c r="N227">
        <v>821.88</v>
      </c>
    </row>
    <row r="228" spans="1:14" x14ac:dyDescent="0.3">
      <c r="A228" t="s">
        <v>928</v>
      </c>
      <c r="B228" s="8">
        <v>45835</v>
      </c>
      <c r="C228" t="s">
        <v>929</v>
      </c>
      <c r="D228" t="s">
        <v>89</v>
      </c>
      <c r="E228">
        <v>3</v>
      </c>
      <c r="F228">
        <v>588.04999999999995</v>
      </c>
      <c r="G228" t="s">
        <v>930</v>
      </c>
      <c r="H228" t="s">
        <v>76</v>
      </c>
      <c r="I228" t="s">
        <v>66</v>
      </c>
      <c r="J228" t="s">
        <v>931</v>
      </c>
      <c r="K228">
        <v>8</v>
      </c>
      <c r="M228" t="s">
        <v>38</v>
      </c>
      <c r="N228">
        <v>1764.15</v>
      </c>
    </row>
    <row r="229" spans="1:14" x14ac:dyDescent="0.3">
      <c r="A229" t="s">
        <v>932</v>
      </c>
      <c r="B229" s="8">
        <v>45232</v>
      </c>
      <c r="C229" t="s">
        <v>933</v>
      </c>
      <c r="D229" t="s">
        <v>32</v>
      </c>
      <c r="E229">
        <v>2</v>
      </c>
      <c r="F229">
        <v>365.17</v>
      </c>
      <c r="G229" t="s">
        <v>553</v>
      </c>
      <c r="H229" t="s">
        <v>43</v>
      </c>
      <c r="I229" t="s">
        <v>51</v>
      </c>
      <c r="J229" t="s">
        <v>934</v>
      </c>
      <c r="K229">
        <v>4</v>
      </c>
      <c r="L229" t="s">
        <v>53</v>
      </c>
      <c r="M229" t="s">
        <v>61</v>
      </c>
      <c r="N229">
        <v>730.34</v>
      </c>
    </row>
    <row r="230" spans="1:14" x14ac:dyDescent="0.3">
      <c r="A230" t="s">
        <v>935</v>
      </c>
      <c r="B230" s="8">
        <v>45063</v>
      </c>
      <c r="C230" t="s">
        <v>936</v>
      </c>
      <c r="D230" t="s">
        <v>57</v>
      </c>
      <c r="E230">
        <v>4</v>
      </c>
      <c r="F230">
        <v>385.92</v>
      </c>
      <c r="G230" t="s">
        <v>937</v>
      </c>
      <c r="H230" t="s">
        <v>50</v>
      </c>
      <c r="I230" t="s">
        <v>51</v>
      </c>
      <c r="J230" t="s">
        <v>938</v>
      </c>
      <c r="K230">
        <v>8</v>
      </c>
      <c r="M230" t="s">
        <v>38</v>
      </c>
      <c r="N230">
        <v>1543.68</v>
      </c>
    </row>
    <row r="231" spans="1:14" x14ac:dyDescent="0.3">
      <c r="A231" t="s">
        <v>939</v>
      </c>
      <c r="B231" s="8">
        <v>45744</v>
      </c>
      <c r="C231" t="s">
        <v>940</v>
      </c>
      <c r="D231" t="s">
        <v>48</v>
      </c>
      <c r="E231">
        <v>1</v>
      </c>
      <c r="F231">
        <v>562.61</v>
      </c>
      <c r="G231" t="s">
        <v>941</v>
      </c>
      <c r="H231" t="s">
        <v>50</v>
      </c>
      <c r="I231" t="s">
        <v>66</v>
      </c>
      <c r="J231" t="s">
        <v>942</v>
      </c>
      <c r="K231">
        <v>3</v>
      </c>
      <c r="L231" t="s">
        <v>97</v>
      </c>
      <c r="M231" t="s">
        <v>61</v>
      </c>
      <c r="N231">
        <v>562.61</v>
      </c>
    </row>
    <row r="232" spans="1:14" x14ac:dyDescent="0.3">
      <c r="A232" t="s">
        <v>943</v>
      </c>
      <c r="B232" s="8">
        <v>45276</v>
      </c>
      <c r="C232" t="s">
        <v>944</v>
      </c>
      <c r="D232" t="s">
        <v>89</v>
      </c>
      <c r="E232">
        <v>4</v>
      </c>
      <c r="F232">
        <v>61.91</v>
      </c>
      <c r="G232" t="s">
        <v>945</v>
      </c>
      <c r="H232" t="s">
        <v>76</v>
      </c>
      <c r="I232" t="s">
        <v>66</v>
      </c>
      <c r="J232" t="s">
        <v>946</v>
      </c>
      <c r="K232">
        <v>6</v>
      </c>
      <c r="L232" t="s">
        <v>97</v>
      </c>
      <c r="M232" t="s">
        <v>54</v>
      </c>
      <c r="N232">
        <v>247.64</v>
      </c>
    </row>
    <row r="233" spans="1:14" x14ac:dyDescent="0.3">
      <c r="A233" t="s">
        <v>947</v>
      </c>
      <c r="B233" s="8">
        <v>45235</v>
      </c>
      <c r="C233" t="s">
        <v>948</v>
      </c>
      <c r="D233" t="s">
        <v>41</v>
      </c>
      <c r="E233">
        <v>4</v>
      </c>
      <c r="F233">
        <v>41.9</v>
      </c>
      <c r="G233" t="s">
        <v>949</v>
      </c>
      <c r="H233" t="s">
        <v>76</v>
      </c>
      <c r="I233" t="s">
        <v>105</v>
      </c>
      <c r="J233" t="s">
        <v>950</v>
      </c>
      <c r="K233">
        <v>9</v>
      </c>
      <c r="L233" t="s">
        <v>53</v>
      </c>
      <c r="M233" t="s">
        <v>38</v>
      </c>
      <c r="N233">
        <v>167.6</v>
      </c>
    </row>
    <row r="234" spans="1:14" x14ac:dyDescent="0.3">
      <c r="A234" t="s">
        <v>951</v>
      </c>
      <c r="B234" s="8">
        <v>45065</v>
      </c>
      <c r="C234" t="s">
        <v>952</v>
      </c>
      <c r="D234" t="s">
        <v>64</v>
      </c>
      <c r="E234">
        <v>4</v>
      </c>
      <c r="F234">
        <v>444.44</v>
      </c>
      <c r="G234" t="s">
        <v>953</v>
      </c>
      <c r="H234" t="s">
        <v>34</v>
      </c>
      <c r="I234" t="s">
        <v>51</v>
      </c>
      <c r="J234" t="s">
        <v>954</v>
      </c>
      <c r="K234">
        <v>8</v>
      </c>
      <c r="L234" t="s">
        <v>97</v>
      </c>
      <c r="M234" t="s">
        <v>92</v>
      </c>
      <c r="N234">
        <v>1777.76</v>
      </c>
    </row>
    <row r="235" spans="1:14" x14ac:dyDescent="0.3">
      <c r="A235" t="s">
        <v>955</v>
      </c>
      <c r="B235" s="8">
        <v>45528</v>
      </c>
      <c r="C235" t="s">
        <v>956</v>
      </c>
      <c r="D235" t="s">
        <v>41</v>
      </c>
      <c r="E235">
        <v>3</v>
      </c>
      <c r="F235">
        <v>311.33</v>
      </c>
      <c r="G235" t="s">
        <v>363</v>
      </c>
      <c r="H235" t="s">
        <v>81</v>
      </c>
      <c r="I235" t="s">
        <v>51</v>
      </c>
      <c r="J235" t="s">
        <v>957</v>
      </c>
      <c r="K235">
        <v>3</v>
      </c>
      <c r="L235" t="s">
        <v>97</v>
      </c>
      <c r="M235" t="s">
        <v>38</v>
      </c>
      <c r="N235">
        <v>933.99</v>
      </c>
    </row>
    <row r="236" spans="1:14" x14ac:dyDescent="0.3">
      <c r="A236" t="s">
        <v>958</v>
      </c>
      <c r="B236" s="8">
        <v>45622</v>
      </c>
      <c r="C236" t="s">
        <v>959</v>
      </c>
      <c r="D236" t="s">
        <v>64</v>
      </c>
      <c r="E236">
        <v>4</v>
      </c>
      <c r="F236">
        <v>236.41</v>
      </c>
      <c r="G236" t="s">
        <v>960</v>
      </c>
      <c r="H236" t="s">
        <v>34</v>
      </c>
      <c r="I236" t="s">
        <v>105</v>
      </c>
      <c r="J236" t="s">
        <v>961</v>
      </c>
      <c r="K236">
        <v>7</v>
      </c>
      <c r="L236" t="s">
        <v>37</v>
      </c>
      <c r="M236" t="s">
        <v>92</v>
      </c>
      <c r="N236">
        <v>945.64</v>
      </c>
    </row>
    <row r="237" spans="1:14" x14ac:dyDescent="0.3">
      <c r="A237" t="s">
        <v>962</v>
      </c>
      <c r="B237" s="8">
        <v>44977</v>
      </c>
      <c r="C237" t="s">
        <v>963</v>
      </c>
      <c r="D237" t="s">
        <v>89</v>
      </c>
      <c r="E237">
        <v>1</v>
      </c>
      <c r="F237">
        <v>65.45</v>
      </c>
      <c r="G237" t="s">
        <v>964</v>
      </c>
      <c r="H237" t="s">
        <v>81</v>
      </c>
      <c r="I237" t="s">
        <v>105</v>
      </c>
      <c r="J237" t="s">
        <v>965</v>
      </c>
      <c r="K237">
        <v>2</v>
      </c>
      <c r="L237" t="s">
        <v>97</v>
      </c>
      <c r="M237" t="s">
        <v>92</v>
      </c>
      <c r="N237">
        <v>65.45</v>
      </c>
    </row>
    <row r="238" spans="1:14" x14ac:dyDescent="0.3">
      <c r="A238" t="s">
        <v>966</v>
      </c>
      <c r="B238" s="8">
        <v>44927</v>
      </c>
      <c r="C238" t="s">
        <v>967</v>
      </c>
      <c r="D238" t="s">
        <v>32</v>
      </c>
      <c r="E238">
        <v>1</v>
      </c>
      <c r="F238">
        <v>318.81</v>
      </c>
      <c r="G238" t="s">
        <v>968</v>
      </c>
      <c r="H238" t="s">
        <v>34</v>
      </c>
      <c r="I238" t="s">
        <v>105</v>
      </c>
      <c r="J238" t="s">
        <v>969</v>
      </c>
      <c r="K238">
        <v>3</v>
      </c>
      <c r="L238" t="s">
        <v>97</v>
      </c>
      <c r="M238" t="s">
        <v>54</v>
      </c>
      <c r="N238">
        <v>318.81</v>
      </c>
    </row>
    <row r="239" spans="1:14" x14ac:dyDescent="0.3">
      <c r="A239" t="s">
        <v>970</v>
      </c>
      <c r="B239" s="8">
        <v>45365</v>
      </c>
      <c r="C239" t="s">
        <v>971</v>
      </c>
      <c r="D239" t="s">
        <v>32</v>
      </c>
      <c r="E239">
        <v>3</v>
      </c>
      <c r="F239">
        <v>583.72</v>
      </c>
      <c r="G239" t="s">
        <v>972</v>
      </c>
      <c r="H239" t="s">
        <v>50</v>
      </c>
      <c r="I239" t="s">
        <v>35</v>
      </c>
      <c r="J239" t="s">
        <v>973</v>
      </c>
      <c r="K239">
        <v>5</v>
      </c>
      <c r="L239" t="s">
        <v>53</v>
      </c>
      <c r="M239" t="s">
        <v>61</v>
      </c>
      <c r="N239">
        <v>1751.16</v>
      </c>
    </row>
    <row r="240" spans="1:14" x14ac:dyDescent="0.3">
      <c r="A240" t="s">
        <v>974</v>
      </c>
      <c r="B240" s="8">
        <v>45639</v>
      </c>
      <c r="C240" t="s">
        <v>975</v>
      </c>
      <c r="D240" t="s">
        <v>89</v>
      </c>
      <c r="E240">
        <v>4</v>
      </c>
      <c r="F240">
        <v>384.32</v>
      </c>
      <c r="G240" t="s">
        <v>976</v>
      </c>
      <c r="H240" t="s">
        <v>50</v>
      </c>
      <c r="I240" t="s">
        <v>105</v>
      </c>
      <c r="J240" t="s">
        <v>977</v>
      </c>
      <c r="K240">
        <v>6</v>
      </c>
      <c r="L240" t="s">
        <v>97</v>
      </c>
      <c r="M240" t="s">
        <v>92</v>
      </c>
      <c r="N240">
        <v>1537.28</v>
      </c>
    </row>
    <row r="241" spans="1:14" x14ac:dyDescent="0.3">
      <c r="A241" t="s">
        <v>978</v>
      </c>
      <c r="B241" s="8">
        <v>45637</v>
      </c>
      <c r="C241" t="s">
        <v>979</v>
      </c>
      <c r="D241" t="s">
        <v>48</v>
      </c>
      <c r="E241">
        <v>3</v>
      </c>
      <c r="F241">
        <v>538.74</v>
      </c>
      <c r="G241" t="s">
        <v>980</v>
      </c>
      <c r="H241" t="s">
        <v>43</v>
      </c>
      <c r="I241" t="s">
        <v>35</v>
      </c>
      <c r="J241" t="s">
        <v>981</v>
      </c>
      <c r="K241">
        <v>6</v>
      </c>
      <c r="L241" t="s">
        <v>53</v>
      </c>
      <c r="M241" t="s">
        <v>54</v>
      </c>
      <c r="N241">
        <v>1616.22</v>
      </c>
    </row>
    <row r="242" spans="1:14" x14ac:dyDescent="0.3">
      <c r="A242" t="s">
        <v>982</v>
      </c>
      <c r="B242" s="8">
        <v>45119</v>
      </c>
      <c r="C242" t="s">
        <v>983</v>
      </c>
      <c r="D242" t="s">
        <v>48</v>
      </c>
      <c r="E242">
        <v>1</v>
      </c>
      <c r="F242">
        <v>17.239999999999998</v>
      </c>
      <c r="G242" t="s">
        <v>984</v>
      </c>
      <c r="H242" t="s">
        <v>43</v>
      </c>
      <c r="I242" t="s">
        <v>105</v>
      </c>
      <c r="J242" t="s">
        <v>985</v>
      </c>
      <c r="K242">
        <v>2</v>
      </c>
      <c r="L242" t="s">
        <v>53</v>
      </c>
      <c r="M242" t="s">
        <v>38</v>
      </c>
      <c r="N242">
        <v>17.239999999999998</v>
      </c>
    </row>
    <row r="243" spans="1:14" x14ac:dyDescent="0.3">
      <c r="A243" t="s">
        <v>986</v>
      </c>
      <c r="B243" s="8">
        <v>45062</v>
      </c>
      <c r="C243" t="s">
        <v>987</v>
      </c>
      <c r="D243" t="s">
        <v>57</v>
      </c>
      <c r="E243">
        <v>5</v>
      </c>
      <c r="F243">
        <v>615.66999999999996</v>
      </c>
      <c r="G243" t="s">
        <v>988</v>
      </c>
      <c r="H243" t="s">
        <v>43</v>
      </c>
      <c r="I243" t="s">
        <v>105</v>
      </c>
      <c r="J243" t="s">
        <v>989</v>
      </c>
      <c r="K243">
        <v>6</v>
      </c>
      <c r="L243" t="s">
        <v>37</v>
      </c>
      <c r="M243" t="s">
        <v>54</v>
      </c>
      <c r="N243">
        <v>3078.35</v>
      </c>
    </row>
    <row r="244" spans="1:14" x14ac:dyDescent="0.3">
      <c r="A244" t="s">
        <v>990</v>
      </c>
      <c r="B244" s="8">
        <v>45055</v>
      </c>
      <c r="C244" t="s">
        <v>991</v>
      </c>
      <c r="D244" t="s">
        <v>64</v>
      </c>
      <c r="E244">
        <v>2</v>
      </c>
      <c r="F244">
        <v>219.1</v>
      </c>
      <c r="G244" t="s">
        <v>992</v>
      </c>
      <c r="H244" t="s">
        <v>43</v>
      </c>
      <c r="I244" t="s">
        <v>105</v>
      </c>
      <c r="J244" t="s">
        <v>993</v>
      </c>
      <c r="K244">
        <v>4</v>
      </c>
      <c r="L244" t="s">
        <v>37</v>
      </c>
      <c r="M244" t="s">
        <v>45</v>
      </c>
      <c r="N244">
        <v>438.2</v>
      </c>
    </row>
    <row r="245" spans="1:14" x14ac:dyDescent="0.3">
      <c r="A245" t="s">
        <v>994</v>
      </c>
      <c r="B245" s="8">
        <v>45786</v>
      </c>
      <c r="C245" t="s">
        <v>995</v>
      </c>
      <c r="D245" t="s">
        <v>57</v>
      </c>
      <c r="E245">
        <v>2</v>
      </c>
      <c r="F245">
        <v>144.66</v>
      </c>
      <c r="G245" t="s">
        <v>996</v>
      </c>
      <c r="H245" t="s">
        <v>43</v>
      </c>
      <c r="I245" t="s">
        <v>51</v>
      </c>
      <c r="J245" t="s">
        <v>997</v>
      </c>
      <c r="K245">
        <v>7</v>
      </c>
      <c r="L245" t="s">
        <v>53</v>
      </c>
      <c r="M245" t="s">
        <v>92</v>
      </c>
      <c r="N245">
        <v>289.32</v>
      </c>
    </row>
    <row r="246" spans="1:14" x14ac:dyDescent="0.3">
      <c r="A246" t="s">
        <v>998</v>
      </c>
      <c r="B246" s="8">
        <v>44973</v>
      </c>
      <c r="C246" t="s">
        <v>999</v>
      </c>
      <c r="D246" t="s">
        <v>89</v>
      </c>
      <c r="E246">
        <v>2</v>
      </c>
      <c r="F246">
        <v>317.77</v>
      </c>
      <c r="G246" t="s">
        <v>1000</v>
      </c>
      <c r="H246" t="s">
        <v>34</v>
      </c>
      <c r="I246" t="s">
        <v>51</v>
      </c>
      <c r="J246" t="s">
        <v>1001</v>
      </c>
      <c r="K246">
        <v>4</v>
      </c>
      <c r="L246" t="s">
        <v>97</v>
      </c>
      <c r="M246" t="s">
        <v>61</v>
      </c>
      <c r="N246">
        <v>635.54</v>
      </c>
    </row>
    <row r="247" spans="1:14" x14ac:dyDescent="0.3">
      <c r="A247" t="s">
        <v>1002</v>
      </c>
      <c r="B247" s="8">
        <v>45767</v>
      </c>
      <c r="C247" t="s">
        <v>1003</v>
      </c>
      <c r="D247" t="s">
        <v>74</v>
      </c>
      <c r="E247">
        <v>1</v>
      </c>
      <c r="F247">
        <v>223.3</v>
      </c>
      <c r="G247" t="s">
        <v>1004</v>
      </c>
      <c r="H247" t="s">
        <v>43</v>
      </c>
      <c r="I247" t="s">
        <v>59</v>
      </c>
      <c r="J247" t="s">
        <v>1005</v>
      </c>
      <c r="K247">
        <v>1</v>
      </c>
      <c r="M247" t="s">
        <v>61</v>
      </c>
      <c r="N247">
        <v>223.3</v>
      </c>
    </row>
    <row r="248" spans="1:14" x14ac:dyDescent="0.3">
      <c r="A248" t="s">
        <v>1006</v>
      </c>
      <c r="B248" s="8">
        <v>45534</v>
      </c>
      <c r="C248" t="s">
        <v>1007</v>
      </c>
      <c r="D248" t="s">
        <v>89</v>
      </c>
      <c r="E248">
        <v>2</v>
      </c>
      <c r="F248">
        <v>342.11</v>
      </c>
      <c r="G248" t="s">
        <v>1008</v>
      </c>
      <c r="H248" t="s">
        <v>76</v>
      </c>
      <c r="I248" t="s">
        <v>35</v>
      </c>
      <c r="J248" t="s">
        <v>1009</v>
      </c>
      <c r="K248">
        <v>2</v>
      </c>
      <c r="L248" t="s">
        <v>97</v>
      </c>
      <c r="M248" t="s">
        <v>38</v>
      </c>
      <c r="N248">
        <v>684.22</v>
      </c>
    </row>
    <row r="249" spans="1:14" x14ac:dyDescent="0.3">
      <c r="A249" t="s">
        <v>1010</v>
      </c>
      <c r="B249" s="8">
        <v>45127</v>
      </c>
      <c r="C249" t="s">
        <v>1011</v>
      </c>
      <c r="D249" t="s">
        <v>64</v>
      </c>
      <c r="E249">
        <v>2</v>
      </c>
      <c r="F249">
        <v>220.9</v>
      </c>
      <c r="G249" t="s">
        <v>1012</v>
      </c>
      <c r="H249" t="s">
        <v>76</v>
      </c>
      <c r="I249" t="s">
        <v>35</v>
      </c>
      <c r="J249" t="s">
        <v>1013</v>
      </c>
      <c r="K249">
        <v>4</v>
      </c>
      <c r="M249" t="s">
        <v>54</v>
      </c>
      <c r="N249">
        <v>441.8</v>
      </c>
    </row>
    <row r="250" spans="1:14" x14ac:dyDescent="0.3">
      <c r="A250" t="s">
        <v>1014</v>
      </c>
      <c r="B250" s="8">
        <v>45109</v>
      </c>
      <c r="C250" t="s">
        <v>1015</v>
      </c>
      <c r="D250" t="s">
        <v>74</v>
      </c>
      <c r="E250">
        <v>1</v>
      </c>
      <c r="F250">
        <v>670.54</v>
      </c>
      <c r="G250" t="s">
        <v>1016</v>
      </c>
      <c r="H250" t="s">
        <v>81</v>
      </c>
      <c r="I250" t="s">
        <v>35</v>
      </c>
      <c r="J250" t="s">
        <v>1017</v>
      </c>
      <c r="K250">
        <v>6</v>
      </c>
      <c r="L250" t="s">
        <v>53</v>
      </c>
      <c r="M250" t="s">
        <v>45</v>
      </c>
      <c r="N250">
        <v>670.54</v>
      </c>
    </row>
    <row r="251" spans="1:14" x14ac:dyDescent="0.3">
      <c r="A251" t="s">
        <v>1018</v>
      </c>
      <c r="B251" s="8">
        <v>45329</v>
      </c>
      <c r="C251" t="s">
        <v>1019</v>
      </c>
      <c r="D251" t="s">
        <v>64</v>
      </c>
      <c r="E251">
        <v>1</v>
      </c>
      <c r="F251">
        <v>546.19000000000005</v>
      </c>
      <c r="G251" t="s">
        <v>1020</v>
      </c>
      <c r="H251" t="s">
        <v>81</v>
      </c>
      <c r="I251" t="s">
        <v>105</v>
      </c>
      <c r="J251" t="s">
        <v>1021</v>
      </c>
      <c r="K251">
        <v>5</v>
      </c>
      <c r="L251" t="s">
        <v>53</v>
      </c>
      <c r="M251" t="s">
        <v>45</v>
      </c>
      <c r="N251">
        <v>546.19000000000005</v>
      </c>
    </row>
    <row r="252" spans="1:14" x14ac:dyDescent="0.3">
      <c r="A252" t="s">
        <v>1022</v>
      </c>
      <c r="B252" s="8">
        <v>45021</v>
      </c>
      <c r="C252" t="s">
        <v>1023</v>
      </c>
      <c r="D252" t="s">
        <v>89</v>
      </c>
      <c r="E252">
        <v>3</v>
      </c>
      <c r="F252">
        <v>42.95</v>
      </c>
      <c r="G252" t="s">
        <v>403</v>
      </c>
      <c r="H252" t="s">
        <v>76</v>
      </c>
      <c r="I252" t="s">
        <v>59</v>
      </c>
      <c r="J252" t="s">
        <v>1024</v>
      </c>
      <c r="K252">
        <v>8</v>
      </c>
      <c r="L252" t="s">
        <v>37</v>
      </c>
      <c r="M252" t="s">
        <v>54</v>
      </c>
      <c r="N252">
        <v>128.85</v>
      </c>
    </row>
    <row r="253" spans="1:14" x14ac:dyDescent="0.3">
      <c r="A253" t="s">
        <v>1025</v>
      </c>
      <c r="B253" s="8">
        <v>45792</v>
      </c>
      <c r="C253" t="s">
        <v>1026</v>
      </c>
      <c r="D253" t="s">
        <v>32</v>
      </c>
      <c r="E253">
        <v>4</v>
      </c>
      <c r="F253">
        <v>14.69</v>
      </c>
      <c r="G253" t="s">
        <v>1027</v>
      </c>
      <c r="H253" t="s">
        <v>81</v>
      </c>
      <c r="I253" t="s">
        <v>51</v>
      </c>
      <c r="J253" t="s">
        <v>1028</v>
      </c>
      <c r="K253">
        <v>9</v>
      </c>
      <c r="M253" t="s">
        <v>54</v>
      </c>
      <c r="N253">
        <v>58.76</v>
      </c>
    </row>
    <row r="254" spans="1:14" x14ac:dyDescent="0.3">
      <c r="A254" t="s">
        <v>1029</v>
      </c>
      <c r="B254" s="8">
        <v>45555</v>
      </c>
      <c r="C254" t="s">
        <v>1030</v>
      </c>
      <c r="D254" t="s">
        <v>41</v>
      </c>
      <c r="E254">
        <v>4</v>
      </c>
      <c r="F254">
        <v>668.36</v>
      </c>
      <c r="G254" t="s">
        <v>1031</v>
      </c>
      <c r="H254" t="s">
        <v>76</v>
      </c>
      <c r="I254" t="s">
        <v>51</v>
      </c>
      <c r="J254" t="s">
        <v>1032</v>
      </c>
      <c r="K254">
        <v>5</v>
      </c>
      <c r="L254" t="s">
        <v>53</v>
      </c>
      <c r="M254" t="s">
        <v>61</v>
      </c>
      <c r="N254">
        <v>2673.44</v>
      </c>
    </row>
    <row r="255" spans="1:14" x14ac:dyDescent="0.3">
      <c r="A255" t="s">
        <v>1033</v>
      </c>
      <c r="B255" s="8">
        <v>45374</v>
      </c>
      <c r="C255" t="s">
        <v>1034</v>
      </c>
      <c r="D255" t="s">
        <v>57</v>
      </c>
      <c r="E255">
        <v>4</v>
      </c>
      <c r="F255">
        <v>413.74</v>
      </c>
      <c r="G255" t="s">
        <v>450</v>
      </c>
      <c r="H255" t="s">
        <v>76</v>
      </c>
      <c r="I255" t="s">
        <v>59</v>
      </c>
      <c r="J255" t="s">
        <v>1035</v>
      </c>
      <c r="K255">
        <v>7</v>
      </c>
      <c r="L255" t="s">
        <v>53</v>
      </c>
      <c r="M255" t="s">
        <v>38</v>
      </c>
      <c r="N255">
        <v>1654.96</v>
      </c>
    </row>
    <row r="256" spans="1:14" x14ac:dyDescent="0.3">
      <c r="A256" t="s">
        <v>1036</v>
      </c>
      <c r="B256" s="8">
        <v>45286</v>
      </c>
      <c r="C256" t="s">
        <v>1037</v>
      </c>
      <c r="D256" t="s">
        <v>32</v>
      </c>
      <c r="E256">
        <v>3</v>
      </c>
      <c r="F256">
        <v>263.19</v>
      </c>
      <c r="G256" t="s">
        <v>976</v>
      </c>
      <c r="H256" t="s">
        <v>43</v>
      </c>
      <c r="I256" t="s">
        <v>66</v>
      </c>
      <c r="J256" t="s">
        <v>1038</v>
      </c>
      <c r="K256">
        <v>5</v>
      </c>
      <c r="M256" t="s">
        <v>38</v>
      </c>
      <c r="N256">
        <v>789.57</v>
      </c>
    </row>
    <row r="257" spans="1:14" x14ac:dyDescent="0.3">
      <c r="A257" t="s">
        <v>1039</v>
      </c>
      <c r="B257" s="8">
        <v>45425</v>
      </c>
      <c r="C257" t="s">
        <v>1040</v>
      </c>
      <c r="D257" t="s">
        <v>32</v>
      </c>
      <c r="E257">
        <v>1</v>
      </c>
      <c r="F257">
        <v>263.95999999999998</v>
      </c>
      <c r="G257" t="s">
        <v>731</v>
      </c>
      <c r="H257" t="s">
        <v>76</v>
      </c>
      <c r="I257" t="s">
        <v>59</v>
      </c>
      <c r="J257" t="s">
        <v>1041</v>
      </c>
      <c r="K257">
        <v>2</v>
      </c>
      <c r="L257" t="s">
        <v>37</v>
      </c>
      <c r="M257" t="s">
        <v>92</v>
      </c>
      <c r="N257">
        <v>263.95999999999998</v>
      </c>
    </row>
    <row r="258" spans="1:14" x14ac:dyDescent="0.3">
      <c r="A258" t="s">
        <v>1042</v>
      </c>
      <c r="B258" s="8">
        <v>45838</v>
      </c>
      <c r="C258" t="s">
        <v>1043</v>
      </c>
      <c r="D258" t="s">
        <v>57</v>
      </c>
      <c r="E258">
        <v>5</v>
      </c>
      <c r="F258">
        <v>75.81</v>
      </c>
      <c r="G258" t="s">
        <v>1044</v>
      </c>
      <c r="H258" t="s">
        <v>76</v>
      </c>
      <c r="I258" t="s">
        <v>59</v>
      </c>
      <c r="J258" t="s">
        <v>1045</v>
      </c>
      <c r="K258">
        <v>10</v>
      </c>
      <c r="L258" t="s">
        <v>97</v>
      </c>
      <c r="M258" t="s">
        <v>38</v>
      </c>
      <c r="N258">
        <v>379.05</v>
      </c>
    </row>
    <row r="259" spans="1:14" x14ac:dyDescent="0.3">
      <c r="A259" t="s">
        <v>1046</v>
      </c>
      <c r="B259" s="8">
        <v>45405</v>
      </c>
      <c r="C259" t="s">
        <v>1047</v>
      </c>
      <c r="D259" t="s">
        <v>41</v>
      </c>
      <c r="E259">
        <v>1</v>
      </c>
      <c r="F259">
        <v>406.22</v>
      </c>
      <c r="G259" t="s">
        <v>1048</v>
      </c>
      <c r="H259" t="s">
        <v>50</v>
      </c>
      <c r="I259" t="s">
        <v>51</v>
      </c>
      <c r="J259" t="s">
        <v>1049</v>
      </c>
      <c r="K259">
        <v>5</v>
      </c>
      <c r="L259" t="s">
        <v>37</v>
      </c>
      <c r="M259" t="s">
        <v>45</v>
      </c>
      <c r="N259">
        <v>406.22</v>
      </c>
    </row>
    <row r="260" spans="1:14" x14ac:dyDescent="0.3">
      <c r="A260" t="s">
        <v>1050</v>
      </c>
      <c r="B260" s="8">
        <v>45348</v>
      </c>
      <c r="C260" t="s">
        <v>1051</v>
      </c>
      <c r="D260" t="s">
        <v>48</v>
      </c>
      <c r="E260">
        <v>2</v>
      </c>
      <c r="F260">
        <v>103.41</v>
      </c>
      <c r="G260" t="s">
        <v>1052</v>
      </c>
      <c r="H260" t="s">
        <v>43</v>
      </c>
      <c r="I260" t="s">
        <v>35</v>
      </c>
      <c r="J260" t="s">
        <v>1053</v>
      </c>
      <c r="K260">
        <v>2</v>
      </c>
      <c r="L260" t="s">
        <v>53</v>
      </c>
      <c r="M260" t="s">
        <v>45</v>
      </c>
      <c r="N260">
        <v>206.82</v>
      </c>
    </row>
    <row r="261" spans="1:14" x14ac:dyDescent="0.3">
      <c r="A261" t="s">
        <v>1054</v>
      </c>
      <c r="B261" s="8">
        <v>45088</v>
      </c>
      <c r="C261" t="s">
        <v>1055</v>
      </c>
      <c r="D261" t="s">
        <v>57</v>
      </c>
      <c r="E261">
        <v>4</v>
      </c>
      <c r="F261">
        <v>435.12</v>
      </c>
      <c r="G261" t="s">
        <v>581</v>
      </c>
      <c r="H261" t="s">
        <v>50</v>
      </c>
      <c r="I261" t="s">
        <v>66</v>
      </c>
      <c r="J261" t="s">
        <v>1056</v>
      </c>
      <c r="K261">
        <v>9</v>
      </c>
      <c r="L261" t="s">
        <v>37</v>
      </c>
      <c r="M261" t="s">
        <v>38</v>
      </c>
      <c r="N261">
        <v>1740.48</v>
      </c>
    </row>
    <row r="262" spans="1:14" x14ac:dyDescent="0.3">
      <c r="A262" t="s">
        <v>1057</v>
      </c>
      <c r="B262" s="8">
        <v>45063</v>
      </c>
      <c r="C262" t="s">
        <v>1058</v>
      </c>
      <c r="D262" t="s">
        <v>32</v>
      </c>
      <c r="E262">
        <v>2</v>
      </c>
      <c r="F262">
        <v>407.79</v>
      </c>
      <c r="G262" t="s">
        <v>1059</v>
      </c>
      <c r="H262" t="s">
        <v>34</v>
      </c>
      <c r="I262" t="s">
        <v>35</v>
      </c>
      <c r="J262" t="s">
        <v>1060</v>
      </c>
      <c r="K262">
        <v>3</v>
      </c>
      <c r="M262" t="s">
        <v>92</v>
      </c>
      <c r="N262">
        <v>815.58</v>
      </c>
    </row>
    <row r="263" spans="1:14" x14ac:dyDescent="0.3">
      <c r="A263" t="s">
        <v>1061</v>
      </c>
      <c r="B263" s="8">
        <v>45805</v>
      </c>
      <c r="C263" t="s">
        <v>1062</v>
      </c>
      <c r="D263" t="s">
        <v>41</v>
      </c>
      <c r="E263">
        <v>5</v>
      </c>
      <c r="F263">
        <v>173.65</v>
      </c>
      <c r="G263" t="s">
        <v>1063</v>
      </c>
      <c r="H263" t="s">
        <v>76</v>
      </c>
      <c r="I263" t="s">
        <v>66</v>
      </c>
      <c r="J263" t="s">
        <v>1064</v>
      </c>
      <c r="K263">
        <v>9</v>
      </c>
      <c r="L263" t="s">
        <v>37</v>
      </c>
      <c r="M263" t="s">
        <v>54</v>
      </c>
      <c r="N263">
        <v>868.25</v>
      </c>
    </row>
    <row r="264" spans="1:14" x14ac:dyDescent="0.3">
      <c r="A264" t="s">
        <v>1065</v>
      </c>
      <c r="B264" s="8">
        <v>44936</v>
      </c>
      <c r="C264" t="s">
        <v>1066</v>
      </c>
      <c r="D264" t="s">
        <v>41</v>
      </c>
      <c r="E264">
        <v>4</v>
      </c>
      <c r="F264">
        <v>249.07</v>
      </c>
      <c r="G264" t="s">
        <v>588</v>
      </c>
      <c r="H264" t="s">
        <v>50</v>
      </c>
      <c r="I264" t="s">
        <v>59</v>
      </c>
      <c r="J264" t="s">
        <v>1067</v>
      </c>
      <c r="K264">
        <v>5</v>
      </c>
      <c r="L264" t="s">
        <v>97</v>
      </c>
      <c r="M264" t="s">
        <v>45</v>
      </c>
      <c r="N264">
        <v>996.28</v>
      </c>
    </row>
    <row r="265" spans="1:14" x14ac:dyDescent="0.3">
      <c r="A265" t="s">
        <v>1068</v>
      </c>
      <c r="B265" s="8">
        <v>45010</v>
      </c>
      <c r="C265" t="s">
        <v>1069</v>
      </c>
      <c r="D265" t="s">
        <v>41</v>
      </c>
      <c r="E265">
        <v>4</v>
      </c>
      <c r="F265">
        <v>434.85</v>
      </c>
      <c r="G265" t="s">
        <v>1070</v>
      </c>
      <c r="H265" t="s">
        <v>50</v>
      </c>
      <c r="I265" t="s">
        <v>105</v>
      </c>
      <c r="J265" t="s">
        <v>1071</v>
      </c>
      <c r="K265">
        <v>4</v>
      </c>
      <c r="L265" t="s">
        <v>97</v>
      </c>
      <c r="M265" t="s">
        <v>92</v>
      </c>
      <c r="N265">
        <v>1739.4</v>
      </c>
    </row>
    <row r="266" spans="1:14" x14ac:dyDescent="0.3">
      <c r="A266" t="s">
        <v>1072</v>
      </c>
      <c r="B266" s="8">
        <v>45507</v>
      </c>
      <c r="C266" t="s">
        <v>1073</v>
      </c>
      <c r="D266" t="s">
        <v>48</v>
      </c>
      <c r="E266">
        <v>1</v>
      </c>
      <c r="F266">
        <v>436.77</v>
      </c>
      <c r="G266" t="s">
        <v>1074</v>
      </c>
      <c r="H266" t="s">
        <v>81</v>
      </c>
      <c r="I266" t="s">
        <v>59</v>
      </c>
      <c r="J266" t="s">
        <v>1075</v>
      </c>
      <c r="K266">
        <v>5</v>
      </c>
      <c r="L266" t="s">
        <v>53</v>
      </c>
      <c r="M266" t="s">
        <v>92</v>
      </c>
      <c r="N266">
        <v>436.77</v>
      </c>
    </row>
    <row r="267" spans="1:14" x14ac:dyDescent="0.3">
      <c r="A267" t="s">
        <v>1076</v>
      </c>
      <c r="B267" s="8">
        <v>45282</v>
      </c>
      <c r="C267" t="s">
        <v>1077</v>
      </c>
      <c r="D267" t="s">
        <v>64</v>
      </c>
      <c r="E267">
        <v>1</v>
      </c>
      <c r="F267">
        <v>572.13</v>
      </c>
      <c r="G267" t="s">
        <v>1078</v>
      </c>
      <c r="H267" t="s">
        <v>34</v>
      </c>
      <c r="I267" t="s">
        <v>51</v>
      </c>
      <c r="J267" t="s">
        <v>1079</v>
      </c>
      <c r="K267">
        <v>4</v>
      </c>
      <c r="L267" t="s">
        <v>37</v>
      </c>
      <c r="M267" t="s">
        <v>92</v>
      </c>
      <c r="N267">
        <v>572.13</v>
      </c>
    </row>
    <row r="268" spans="1:14" x14ac:dyDescent="0.3">
      <c r="A268" t="s">
        <v>1080</v>
      </c>
      <c r="B268" s="8">
        <v>45451</v>
      </c>
      <c r="C268" t="s">
        <v>1081</v>
      </c>
      <c r="D268" t="s">
        <v>57</v>
      </c>
      <c r="E268">
        <v>4</v>
      </c>
      <c r="F268">
        <v>583.07000000000005</v>
      </c>
      <c r="G268" t="s">
        <v>1082</v>
      </c>
      <c r="H268" t="s">
        <v>50</v>
      </c>
      <c r="I268" t="s">
        <v>51</v>
      </c>
      <c r="J268" t="s">
        <v>1083</v>
      </c>
      <c r="K268">
        <v>6</v>
      </c>
      <c r="L268" t="s">
        <v>53</v>
      </c>
      <c r="M268" t="s">
        <v>45</v>
      </c>
      <c r="N268">
        <v>2332.2800000000002</v>
      </c>
    </row>
    <row r="269" spans="1:14" x14ac:dyDescent="0.3">
      <c r="A269" t="s">
        <v>1084</v>
      </c>
      <c r="B269" s="8">
        <v>45764</v>
      </c>
      <c r="C269" t="s">
        <v>1085</v>
      </c>
      <c r="D269" t="s">
        <v>57</v>
      </c>
      <c r="E269">
        <v>5</v>
      </c>
      <c r="F269">
        <v>468.51</v>
      </c>
      <c r="G269" t="s">
        <v>1086</v>
      </c>
      <c r="H269" t="s">
        <v>34</v>
      </c>
      <c r="I269" t="s">
        <v>66</v>
      </c>
      <c r="J269" t="s">
        <v>1087</v>
      </c>
      <c r="K269">
        <v>9</v>
      </c>
      <c r="M269" t="s">
        <v>61</v>
      </c>
      <c r="N269">
        <v>2342.5500000000002</v>
      </c>
    </row>
    <row r="270" spans="1:14" x14ac:dyDescent="0.3">
      <c r="A270" t="s">
        <v>1088</v>
      </c>
      <c r="B270" s="8">
        <v>45149</v>
      </c>
      <c r="C270" t="s">
        <v>1089</v>
      </c>
      <c r="D270" t="s">
        <v>41</v>
      </c>
      <c r="E270">
        <v>2</v>
      </c>
      <c r="F270">
        <v>423.88</v>
      </c>
      <c r="G270" t="s">
        <v>1090</v>
      </c>
      <c r="H270" t="s">
        <v>34</v>
      </c>
      <c r="I270" t="s">
        <v>66</v>
      </c>
      <c r="J270" t="s">
        <v>1091</v>
      </c>
      <c r="K270">
        <v>7</v>
      </c>
      <c r="L270" t="s">
        <v>37</v>
      </c>
      <c r="M270" t="s">
        <v>45</v>
      </c>
      <c r="N270">
        <v>847.76</v>
      </c>
    </row>
    <row r="271" spans="1:14" x14ac:dyDescent="0.3">
      <c r="A271" t="s">
        <v>1092</v>
      </c>
      <c r="B271" s="8">
        <v>45255</v>
      </c>
      <c r="C271" t="s">
        <v>1093</v>
      </c>
      <c r="D271" t="s">
        <v>48</v>
      </c>
      <c r="E271">
        <v>4</v>
      </c>
      <c r="F271">
        <v>663.67</v>
      </c>
      <c r="G271" t="s">
        <v>343</v>
      </c>
      <c r="H271" t="s">
        <v>50</v>
      </c>
      <c r="I271" t="s">
        <v>105</v>
      </c>
      <c r="J271" t="s">
        <v>1094</v>
      </c>
      <c r="K271">
        <v>7</v>
      </c>
      <c r="L271" t="s">
        <v>53</v>
      </c>
      <c r="M271" t="s">
        <v>92</v>
      </c>
      <c r="N271">
        <v>2654.68</v>
      </c>
    </row>
    <row r="272" spans="1:14" x14ac:dyDescent="0.3">
      <c r="A272" t="s">
        <v>1095</v>
      </c>
      <c r="B272" s="8">
        <v>45081</v>
      </c>
      <c r="C272" t="s">
        <v>1096</v>
      </c>
      <c r="D272" t="s">
        <v>64</v>
      </c>
      <c r="E272">
        <v>4</v>
      </c>
      <c r="F272">
        <v>309.91000000000003</v>
      </c>
      <c r="G272" t="s">
        <v>1097</v>
      </c>
      <c r="H272" t="s">
        <v>34</v>
      </c>
      <c r="I272" t="s">
        <v>35</v>
      </c>
      <c r="J272" t="s">
        <v>1098</v>
      </c>
      <c r="K272">
        <v>5</v>
      </c>
      <c r="L272" t="s">
        <v>97</v>
      </c>
      <c r="M272" t="s">
        <v>92</v>
      </c>
      <c r="N272">
        <v>1239.6400000000001</v>
      </c>
    </row>
    <row r="273" spans="1:14" x14ac:dyDescent="0.3">
      <c r="A273" t="s">
        <v>1099</v>
      </c>
      <c r="B273" s="8">
        <v>45013</v>
      </c>
      <c r="C273" t="s">
        <v>1100</v>
      </c>
      <c r="D273" t="s">
        <v>32</v>
      </c>
      <c r="E273">
        <v>1</v>
      </c>
      <c r="F273">
        <v>542.07000000000005</v>
      </c>
      <c r="G273" t="s">
        <v>1101</v>
      </c>
      <c r="H273" t="s">
        <v>81</v>
      </c>
      <c r="I273" t="s">
        <v>35</v>
      </c>
      <c r="J273" t="s">
        <v>1102</v>
      </c>
      <c r="K273">
        <v>6</v>
      </c>
      <c r="L273" t="s">
        <v>97</v>
      </c>
      <c r="M273" t="s">
        <v>45</v>
      </c>
      <c r="N273">
        <v>542.07000000000005</v>
      </c>
    </row>
    <row r="274" spans="1:14" x14ac:dyDescent="0.3">
      <c r="A274" t="s">
        <v>1103</v>
      </c>
      <c r="B274" s="8">
        <v>45188</v>
      </c>
      <c r="C274" t="s">
        <v>1104</v>
      </c>
      <c r="D274" t="s">
        <v>57</v>
      </c>
      <c r="E274">
        <v>2</v>
      </c>
      <c r="F274">
        <v>399.32</v>
      </c>
      <c r="G274" t="s">
        <v>1105</v>
      </c>
      <c r="H274" t="s">
        <v>43</v>
      </c>
      <c r="I274" t="s">
        <v>105</v>
      </c>
      <c r="J274" t="s">
        <v>1106</v>
      </c>
      <c r="K274">
        <v>6</v>
      </c>
      <c r="L274" t="s">
        <v>97</v>
      </c>
      <c r="M274" t="s">
        <v>38</v>
      </c>
      <c r="N274">
        <v>798.64</v>
      </c>
    </row>
    <row r="275" spans="1:14" x14ac:dyDescent="0.3">
      <c r="A275" t="s">
        <v>1107</v>
      </c>
      <c r="B275" s="8">
        <v>45592</v>
      </c>
      <c r="C275" t="s">
        <v>1108</v>
      </c>
      <c r="D275" t="s">
        <v>48</v>
      </c>
      <c r="E275">
        <v>2</v>
      </c>
      <c r="F275">
        <v>238.25</v>
      </c>
      <c r="G275" t="s">
        <v>1109</v>
      </c>
      <c r="H275" t="s">
        <v>43</v>
      </c>
      <c r="I275" t="s">
        <v>51</v>
      </c>
      <c r="J275" t="s">
        <v>1110</v>
      </c>
      <c r="K275">
        <v>7</v>
      </c>
      <c r="L275" t="s">
        <v>53</v>
      </c>
      <c r="M275" t="s">
        <v>54</v>
      </c>
      <c r="N275">
        <v>476.5</v>
      </c>
    </row>
    <row r="276" spans="1:14" x14ac:dyDescent="0.3">
      <c r="A276" t="s">
        <v>1111</v>
      </c>
      <c r="B276" s="8">
        <v>44961</v>
      </c>
      <c r="C276" t="s">
        <v>1112</v>
      </c>
      <c r="D276" t="s">
        <v>41</v>
      </c>
      <c r="E276">
        <v>2</v>
      </c>
      <c r="F276">
        <v>182.4</v>
      </c>
      <c r="G276" t="s">
        <v>1113</v>
      </c>
      <c r="H276" t="s">
        <v>76</v>
      </c>
      <c r="I276" t="s">
        <v>51</v>
      </c>
      <c r="J276" t="s">
        <v>1114</v>
      </c>
      <c r="K276">
        <v>5</v>
      </c>
      <c r="L276" t="s">
        <v>37</v>
      </c>
      <c r="M276" t="s">
        <v>45</v>
      </c>
      <c r="N276">
        <v>364.8</v>
      </c>
    </row>
    <row r="277" spans="1:14" x14ac:dyDescent="0.3">
      <c r="A277" t="s">
        <v>1115</v>
      </c>
      <c r="B277" s="8">
        <v>45234</v>
      </c>
      <c r="C277" t="s">
        <v>1116</v>
      </c>
      <c r="D277" t="s">
        <v>57</v>
      </c>
      <c r="E277">
        <v>2</v>
      </c>
      <c r="F277">
        <v>65.069999999999993</v>
      </c>
      <c r="G277" t="s">
        <v>1117</v>
      </c>
      <c r="H277" t="s">
        <v>50</v>
      </c>
      <c r="I277" t="s">
        <v>51</v>
      </c>
      <c r="J277" t="s">
        <v>1118</v>
      </c>
      <c r="K277">
        <v>4</v>
      </c>
      <c r="L277" t="s">
        <v>37</v>
      </c>
      <c r="M277" t="s">
        <v>92</v>
      </c>
      <c r="N277">
        <v>130.13999999999999</v>
      </c>
    </row>
    <row r="278" spans="1:14" x14ac:dyDescent="0.3">
      <c r="A278" t="s">
        <v>1119</v>
      </c>
      <c r="B278" s="8">
        <v>45745</v>
      </c>
      <c r="C278" t="s">
        <v>1120</v>
      </c>
      <c r="D278" t="s">
        <v>64</v>
      </c>
      <c r="E278">
        <v>2</v>
      </c>
      <c r="F278">
        <v>600.57000000000005</v>
      </c>
      <c r="G278" t="s">
        <v>1121</v>
      </c>
      <c r="H278" t="s">
        <v>34</v>
      </c>
      <c r="I278" t="s">
        <v>59</v>
      </c>
      <c r="J278" t="s">
        <v>1122</v>
      </c>
      <c r="K278">
        <v>3</v>
      </c>
      <c r="L278" t="s">
        <v>97</v>
      </c>
      <c r="M278" t="s">
        <v>38</v>
      </c>
      <c r="N278">
        <v>1201.1400000000001</v>
      </c>
    </row>
    <row r="279" spans="1:14" x14ac:dyDescent="0.3">
      <c r="A279" t="s">
        <v>1123</v>
      </c>
      <c r="B279" s="8">
        <v>45544</v>
      </c>
      <c r="C279" t="s">
        <v>1124</v>
      </c>
      <c r="D279" t="s">
        <v>57</v>
      </c>
      <c r="E279">
        <v>5</v>
      </c>
      <c r="F279">
        <v>90.92</v>
      </c>
      <c r="G279" t="s">
        <v>1125</v>
      </c>
      <c r="H279" t="s">
        <v>50</v>
      </c>
      <c r="I279" t="s">
        <v>66</v>
      </c>
      <c r="J279" t="s">
        <v>1126</v>
      </c>
      <c r="K279">
        <v>9</v>
      </c>
      <c r="L279" t="s">
        <v>37</v>
      </c>
      <c r="M279" t="s">
        <v>61</v>
      </c>
      <c r="N279">
        <v>454.6</v>
      </c>
    </row>
    <row r="280" spans="1:14" x14ac:dyDescent="0.3">
      <c r="A280" t="s">
        <v>1127</v>
      </c>
      <c r="B280" s="8">
        <v>45614</v>
      </c>
      <c r="C280" t="s">
        <v>1128</v>
      </c>
      <c r="D280" t="s">
        <v>74</v>
      </c>
      <c r="E280">
        <v>5</v>
      </c>
      <c r="F280">
        <v>362.46</v>
      </c>
      <c r="G280" t="s">
        <v>1129</v>
      </c>
      <c r="H280" t="s">
        <v>81</v>
      </c>
      <c r="I280" t="s">
        <v>66</v>
      </c>
      <c r="J280" t="s">
        <v>1130</v>
      </c>
      <c r="K280">
        <v>6</v>
      </c>
      <c r="L280" t="s">
        <v>53</v>
      </c>
      <c r="M280" t="s">
        <v>38</v>
      </c>
      <c r="N280">
        <v>1812.3</v>
      </c>
    </row>
    <row r="281" spans="1:14" x14ac:dyDescent="0.3">
      <c r="A281" t="s">
        <v>1131</v>
      </c>
      <c r="B281" s="8">
        <v>45219</v>
      </c>
      <c r="C281" t="s">
        <v>1132</v>
      </c>
      <c r="D281" t="s">
        <v>57</v>
      </c>
      <c r="E281">
        <v>3</v>
      </c>
      <c r="F281">
        <v>55.01</v>
      </c>
      <c r="G281" t="s">
        <v>1133</v>
      </c>
      <c r="H281" t="s">
        <v>43</v>
      </c>
      <c r="I281" t="s">
        <v>105</v>
      </c>
      <c r="J281" t="s">
        <v>1134</v>
      </c>
      <c r="K281">
        <v>7</v>
      </c>
      <c r="L281" t="s">
        <v>97</v>
      </c>
      <c r="M281" t="s">
        <v>54</v>
      </c>
      <c r="N281">
        <v>165.03</v>
      </c>
    </row>
    <row r="282" spans="1:14" x14ac:dyDescent="0.3">
      <c r="A282" t="s">
        <v>1135</v>
      </c>
      <c r="B282" s="8">
        <v>45012</v>
      </c>
      <c r="C282" t="s">
        <v>1136</v>
      </c>
      <c r="D282" t="s">
        <v>48</v>
      </c>
      <c r="E282">
        <v>3</v>
      </c>
      <c r="F282">
        <v>404.62</v>
      </c>
      <c r="G282" t="s">
        <v>1137</v>
      </c>
      <c r="H282" t="s">
        <v>76</v>
      </c>
      <c r="I282" t="s">
        <v>66</v>
      </c>
      <c r="J282" t="s">
        <v>1138</v>
      </c>
      <c r="K282">
        <v>6</v>
      </c>
      <c r="L282" t="s">
        <v>53</v>
      </c>
      <c r="M282" t="s">
        <v>38</v>
      </c>
      <c r="N282">
        <v>1213.8599999999999</v>
      </c>
    </row>
    <row r="283" spans="1:14" x14ac:dyDescent="0.3">
      <c r="A283" t="s">
        <v>1139</v>
      </c>
      <c r="B283" s="8">
        <v>45134</v>
      </c>
      <c r="C283" t="s">
        <v>1140</v>
      </c>
      <c r="D283" t="s">
        <v>89</v>
      </c>
      <c r="E283">
        <v>4</v>
      </c>
      <c r="F283">
        <v>654.79</v>
      </c>
      <c r="G283" t="s">
        <v>1141</v>
      </c>
      <c r="H283" t="s">
        <v>81</v>
      </c>
      <c r="I283" t="s">
        <v>105</v>
      </c>
      <c r="J283" t="s">
        <v>1142</v>
      </c>
      <c r="K283">
        <v>9</v>
      </c>
      <c r="M283" t="s">
        <v>45</v>
      </c>
      <c r="N283">
        <v>2619.16</v>
      </c>
    </row>
    <row r="284" spans="1:14" x14ac:dyDescent="0.3">
      <c r="A284" t="s">
        <v>1143</v>
      </c>
      <c r="B284" s="8">
        <v>45769</v>
      </c>
      <c r="C284" t="s">
        <v>1144</v>
      </c>
      <c r="D284" t="s">
        <v>64</v>
      </c>
      <c r="E284">
        <v>4</v>
      </c>
      <c r="F284">
        <v>637.79</v>
      </c>
      <c r="G284" t="s">
        <v>1145</v>
      </c>
      <c r="H284" t="s">
        <v>76</v>
      </c>
      <c r="I284" t="s">
        <v>51</v>
      </c>
      <c r="J284" t="s">
        <v>1146</v>
      </c>
      <c r="K284">
        <v>9</v>
      </c>
      <c r="L284" t="s">
        <v>53</v>
      </c>
      <c r="M284" t="s">
        <v>92</v>
      </c>
      <c r="N284">
        <v>2551.16</v>
      </c>
    </row>
    <row r="285" spans="1:14" x14ac:dyDescent="0.3">
      <c r="A285" t="s">
        <v>1147</v>
      </c>
      <c r="B285" s="8">
        <v>45716</v>
      </c>
      <c r="C285" t="s">
        <v>1148</v>
      </c>
      <c r="D285" t="s">
        <v>74</v>
      </c>
      <c r="E285">
        <v>4</v>
      </c>
      <c r="F285">
        <v>540.33000000000004</v>
      </c>
      <c r="G285" t="s">
        <v>1149</v>
      </c>
      <c r="H285" t="s">
        <v>81</v>
      </c>
      <c r="I285" t="s">
        <v>35</v>
      </c>
      <c r="J285" t="s">
        <v>1150</v>
      </c>
      <c r="K285">
        <v>6</v>
      </c>
      <c r="M285" t="s">
        <v>92</v>
      </c>
      <c r="N285">
        <v>2161.3200000000002</v>
      </c>
    </row>
    <row r="286" spans="1:14" x14ac:dyDescent="0.3">
      <c r="A286" t="s">
        <v>1151</v>
      </c>
      <c r="B286" s="8">
        <v>44973</v>
      </c>
      <c r="C286" t="s">
        <v>1152</v>
      </c>
      <c r="D286" t="s">
        <v>74</v>
      </c>
      <c r="E286">
        <v>5</v>
      </c>
      <c r="F286">
        <v>208.17</v>
      </c>
      <c r="G286" t="s">
        <v>1153</v>
      </c>
      <c r="H286" t="s">
        <v>50</v>
      </c>
      <c r="I286" t="s">
        <v>59</v>
      </c>
      <c r="J286" t="s">
        <v>1154</v>
      </c>
      <c r="K286">
        <v>6</v>
      </c>
      <c r="L286" t="s">
        <v>37</v>
      </c>
      <c r="M286" t="s">
        <v>61</v>
      </c>
      <c r="N286">
        <v>1040.8499999999999</v>
      </c>
    </row>
    <row r="287" spans="1:14" x14ac:dyDescent="0.3">
      <c r="A287" t="s">
        <v>1155</v>
      </c>
      <c r="B287" s="8">
        <v>45818</v>
      </c>
      <c r="C287" t="s">
        <v>1156</v>
      </c>
      <c r="D287" t="s">
        <v>41</v>
      </c>
      <c r="E287">
        <v>1</v>
      </c>
      <c r="F287">
        <v>338.31</v>
      </c>
      <c r="G287" t="s">
        <v>1109</v>
      </c>
      <c r="H287" t="s">
        <v>43</v>
      </c>
      <c r="I287" t="s">
        <v>66</v>
      </c>
      <c r="J287" t="s">
        <v>1157</v>
      </c>
      <c r="K287">
        <v>3</v>
      </c>
      <c r="M287" t="s">
        <v>92</v>
      </c>
      <c r="N287">
        <v>338.31</v>
      </c>
    </row>
    <row r="288" spans="1:14" x14ac:dyDescent="0.3">
      <c r="A288" t="s">
        <v>1158</v>
      </c>
      <c r="B288" s="8">
        <v>45754</v>
      </c>
      <c r="C288" t="s">
        <v>1159</v>
      </c>
      <c r="D288" t="s">
        <v>32</v>
      </c>
      <c r="E288">
        <v>3</v>
      </c>
      <c r="F288">
        <v>139.44999999999999</v>
      </c>
      <c r="G288" t="s">
        <v>526</v>
      </c>
      <c r="H288" t="s">
        <v>76</v>
      </c>
      <c r="I288" t="s">
        <v>59</v>
      </c>
      <c r="J288" t="s">
        <v>1160</v>
      </c>
      <c r="K288">
        <v>8</v>
      </c>
      <c r="L288" t="s">
        <v>97</v>
      </c>
      <c r="M288" t="s">
        <v>92</v>
      </c>
      <c r="N288">
        <v>418.35</v>
      </c>
    </row>
    <row r="289" spans="1:14" x14ac:dyDescent="0.3">
      <c r="A289" t="s">
        <v>1161</v>
      </c>
      <c r="B289" s="8">
        <v>45254</v>
      </c>
      <c r="C289" t="s">
        <v>1162</v>
      </c>
      <c r="D289" t="s">
        <v>57</v>
      </c>
      <c r="E289">
        <v>4</v>
      </c>
      <c r="F289">
        <v>655.17999999999995</v>
      </c>
      <c r="G289" t="s">
        <v>1163</v>
      </c>
      <c r="H289" t="s">
        <v>43</v>
      </c>
      <c r="I289" t="s">
        <v>35</v>
      </c>
      <c r="J289" t="s">
        <v>1164</v>
      </c>
      <c r="K289">
        <v>5</v>
      </c>
      <c r="M289" t="s">
        <v>61</v>
      </c>
      <c r="N289">
        <v>2620.7199999999998</v>
      </c>
    </row>
    <row r="290" spans="1:14" x14ac:dyDescent="0.3">
      <c r="A290" t="s">
        <v>1165</v>
      </c>
      <c r="B290" s="8">
        <v>44997</v>
      </c>
      <c r="C290" t="s">
        <v>1166</v>
      </c>
      <c r="D290" t="s">
        <v>74</v>
      </c>
      <c r="E290">
        <v>4</v>
      </c>
      <c r="F290">
        <v>512.75</v>
      </c>
      <c r="G290" t="s">
        <v>1167</v>
      </c>
      <c r="H290" t="s">
        <v>34</v>
      </c>
      <c r="I290" t="s">
        <v>59</v>
      </c>
      <c r="J290" t="s">
        <v>1168</v>
      </c>
      <c r="K290">
        <v>8</v>
      </c>
      <c r="L290" t="s">
        <v>97</v>
      </c>
      <c r="M290" t="s">
        <v>92</v>
      </c>
      <c r="N290">
        <v>2051</v>
      </c>
    </row>
    <row r="291" spans="1:14" x14ac:dyDescent="0.3">
      <c r="A291" t="s">
        <v>1169</v>
      </c>
      <c r="B291" s="8">
        <v>45133</v>
      </c>
      <c r="C291" t="s">
        <v>1170</v>
      </c>
      <c r="D291" t="s">
        <v>57</v>
      </c>
      <c r="E291">
        <v>4</v>
      </c>
      <c r="F291">
        <v>160.49</v>
      </c>
      <c r="G291" t="s">
        <v>95</v>
      </c>
      <c r="H291" t="s">
        <v>50</v>
      </c>
      <c r="I291" t="s">
        <v>35</v>
      </c>
      <c r="J291" t="s">
        <v>1171</v>
      </c>
      <c r="K291">
        <v>8</v>
      </c>
      <c r="L291" t="s">
        <v>97</v>
      </c>
      <c r="M291" t="s">
        <v>45</v>
      </c>
      <c r="N291">
        <v>641.96</v>
      </c>
    </row>
    <row r="292" spans="1:14" x14ac:dyDescent="0.3">
      <c r="A292" t="s">
        <v>1172</v>
      </c>
      <c r="B292" s="8">
        <v>45051</v>
      </c>
      <c r="C292" t="s">
        <v>1173</v>
      </c>
      <c r="D292" t="s">
        <v>57</v>
      </c>
      <c r="E292">
        <v>3</v>
      </c>
      <c r="F292">
        <v>99.9</v>
      </c>
      <c r="G292" t="s">
        <v>771</v>
      </c>
      <c r="H292" t="s">
        <v>81</v>
      </c>
      <c r="I292" t="s">
        <v>66</v>
      </c>
      <c r="J292" t="s">
        <v>1174</v>
      </c>
      <c r="K292">
        <v>8</v>
      </c>
      <c r="L292" t="s">
        <v>53</v>
      </c>
      <c r="M292" t="s">
        <v>61</v>
      </c>
      <c r="N292">
        <v>299.7</v>
      </c>
    </row>
    <row r="293" spans="1:14" x14ac:dyDescent="0.3">
      <c r="A293" t="s">
        <v>1175</v>
      </c>
      <c r="B293" s="8">
        <v>45424</v>
      </c>
      <c r="C293" t="s">
        <v>1176</v>
      </c>
      <c r="D293" t="s">
        <v>41</v>
      </c>
      <c r="E293">
        <v>2</v>
      </c>
      <c r="F293">
        <v>345.01</v>
      </c>
      <c r="G293" t="s">
        <v>1177</v>
      </c>
      <c r="H293" t="s">
        <v>50</v>
      </c>
      <c r="I293" t="s">
        <v>66</v>
      </c>
      <c r="J293" t="s">
        <v>1178</v>
      </c>
      <c r="K293">
        <v>6</v>
      </c>
      <c r="L293" t="s">
        <v>53</v>
      </c>
      <c r="M293" t="s">
        <v>92</v>
      </c>
      <c r="N293">
        <v>690.02</v>
      </c>
    </row>
    <row r="294" spans="1:14" x14ac:dyDescent="0.3">
      <c r="A294" t="s">
        <v>1179</v>
      </c>
      <c r="B294" s="8">
        <v>45672</v>
      </c>
      <c r="C294" t="s">
        <v>1180</v>
      </c>
      <c r="D294" t="s">
        <v>32</v>
      </c>
      <c r="E294">
        <v>1</v>
      </c>
      <c r="F294">
        <v>65.95</v>
      </c>
      <c r="G294" t="s">
        <v>874</v>
      </c>
      <c r="H294" t="s">
        <v>50</v>
      </c>
      <c r="I294" t="s">
        <v>66</v>
      </c>
      <c r="J294" t="s">
        <v>1181</v>
      </c>
      <c r="K294">
        <v>5</v>
      </c>
      <c r="M294" t="s">
        <v>61</v>
      </c>
      <c r="N294">
        <v>65.95</v>
      </c>
    </row>
    <row r="295" spans="1:14" x14ac:dyDescent="0.3">
      <c r="A295" t="s">
        <v>1182</v>
      </c>
      <c r="B295" s="8">
        <v>44973</v>
      </c>
      <c r="C295" t="s">
        <v>1183</v>
      </c>
      <c r="D295" t="s">
        <v>48</v>
      </c>
      <c r="E295">
        <v>4</v>
      </c>
      <c r="F295">
        <v>463.04</v>
      </c>
      <c r="G295" t="s">
        <v>1184</v>
      </c>
      <c r="H295" t="s">
        <v>76</v>
      </c>
      <c r="I295" t="s">
        <v>59</v>
      </c>
      <c r="J295" t="s">
        <v>1185</v>
      </c>
      <c r="K295">
        <v>9</v>
      </c>
      <c r="M295" t="s">
        <v>38</v>
      </c>
      <c r="N295">
        <v>1852.16</v>
      </c>
    </row>
    <row r="296" spans="1:14" x14ac:dyDescent="0.3">
      <c r="A296" t="s">
        <v>1186</v>
      </c>
      <c r="B296" s="8">
        <v>45748</v>
      </c>
      <c r="C296" t="s">
        <v>1187</v>
      </c>
      <c r="D296" t="s">
        <v>41</v>
      </c>
      <c r="E296">
        <v>2</v>
      </c>
      <c r="F296">
        <v>297.70999999999998</v>
      </c>
      <c r="G296" t="s">
        <v>1188</v>
      </c>
      <c r="H296" t="s">
        <v>43</v>
      </c>
      <c r="I296" t="s">
        <v>35</v>
      </c>
      <c r="J296" t="s">
        <v>1189</v>
      </c>
      <c r="K296">
        <v>7</v>
      </c>
      <c r="L296" t="s">
        <v>37</v>
      </c>
      <c r="M296" t="s">
        <v>45</v>
      </c>
      <c r="N296">
        <v>595.41999999999996</v>
      </c>
    </row>
    <row r="297" spans="1:14" x14ac:dyDescent="0.3">
      <c r="A297" t="s">
        <v>1190</v>
      </c>
      <c r="B297" s="8">
        <v>44951</v>
      </c>
      <c r="C297" t="s">
        <v>1191</v>
      </c>
      <c r="D297" t="s">
        <v>64</v>
      </c>
      <c r="E297">
        <v>5</v>
      </c>
      <c r="F297">
        <v>107.48</v>
      </c>
      <c r="G297" t="s">
        <v>1192</v>
      </c>
      <c r="H297" t="s">
        <v>34</v>
      </c>
      <c r="I297" t="s">
        <v>51</v>
      </c>
      <c r="J297" t="s">
        <v>1193</v>
      </c>
      <c r="K297">
        <v>9</v>
      </c>
      <c r="L297" t="s">
        <v>53</v>
      </c>
      <c r="M297" t="s">
        <v>54</v>
      </c>
      <c r="N297">
        <v>537.4</v>
      </c>
    </row>
    <row r="298" spans="1:14" x14ac:dyDescent="0.3">
      <c r="A298" t="s">
        <v>1194</v>
      </c>
      <c r="B298" s="8">
        <v>45462</v>
      </c>
      <c r="C298" t="s">
        <v>1195</v>
      </c>
      <c r="D298" t="s">
        <v>89</v>
      </c>
      <c r="E298">
        <v>5</v>
      </c>
      <c r="F298">
        <v>638.79999999999995</v>
      </c>
      <c r="G298" t="s">
        <v>258</v>
      </c>
      <c r="H298" t="s">
        <v>34</v>
      </c>
      <c r="I298" t="s">
        <v>51</v>
      </c>
      <c r="J298" t="s">
        <v>1196</v>
      </c>
      <c r="K298">
        <v>10</v>
      </c>
      <c r="L298" t="s">
        <v>97</v>
      </c>
      <c r="M298" t="s">
        <v>45</v>
      </c>
      <c r="N298">
        <v>3194</v>
      </c>
    </row>
    <row r="299" spans="1:14" x14ac:dyDescent="0.3">
      <c r="A299" t="s">
        <v>1197</v>
      </c>
      <c r="B299" s="8">
        <v>44979</v>
      </c>
      <c r="C299" t="s">
        <v>1198</v>
      </c>
      <c r="D299" t="s">
        <v>89</v>
      </c>
      <c r="E299">
        <v>2</v>
      </c>
      <c r="F299">
        <v>493.88</v>
      </c>
      <c r="G299" t="s">
        <v>1199</v>
      </c>
      <c r="H299" t="s">
        <v>50</v>
      </c>
      <c r="I299" t="s">
        <v>59</v>
      </c>
      <c r="J299" t="s">
        <v>1200</v>
      </c>
      <c r="K299">
        <v>7</v>
      </c>
      <c r="L299" t="s">
        <v>37</v>
      </c>
      <c r="M299" t="s">
        <v>38</v>
      </c>
      <c r="N299">
        <v>987.76</v>
      </c>
    </row>
    <row r="300" spans="1:14" x14ac:dyDescent="0.3">
      <c r="A300" t="s">
        <v>1201</v>
      </c>
      <c r="B300" s="8">
        <v>45279</v>
      </c>
      <c r="C300" t="s">
        <v>1202</v>
      </c>
      <c r="D300" t="s">
        <v>64</v>
      </c>
      <c r="E300">
        <v>4</v>
      </c>
      <c r="F300">
        <v>301.17</v>
      </c>
      <c r="G300" t="s">
        <v>217</v>
      </c>
      <c r="H300" t="s">
        <v>43</v>
      </c>
      <c r="I300" t="s">
        <v>51</v>
      </c>
      <c r="J300" t="s">
        <v>1203</v>
      </c>
      <c r="K300">
        <v>6</v>
      </c>
      <c r="M300" t="s">
        <v>54</v>
      </c>
      <c r="N300">
        <v>1204.68</v>
      </c>
    </row>
    <row r="301" spans="1:14" x14ac:dyDescent="0.3">
      <c r="A301" t="s">
        <v>1204</v>
      </c>
      <c r="B301" s="8">
        <v>45311</v>
      </c>
      <c r="C301" t="s">
        <v>1205</v>
      </c>
      <c r="D301" t="s">
        <v>32</v>
      </c>
      <c r="E301">
        <v>1</v>
      </c>
      <c r="F301">
        <v>278.66000000000003</v>
      </c>
      <c r="G301" t="s">
        <v>1206</v>
      </c>
      <c r="H301" t="s">
        <v>76</v>
      </c>
      <c r="I301" t="s">
        <v>51</v>
      </c>
      <c r="J301" t="s">
        <v>1207</v>
      </c>
      <c r="K301">
        <v>2</v>
      </c>
      <c r="L301" t="s">
        <v>53</v>
      </c>
      <c r="M301" t="s">
        <v>38</v>
      </c>
      <c r="N301">
        <v>278.66000000000003</v>
      </c>
    </row>
    <row r="302" spans="1:14" x14ac:dyDescent="0.3">
      <c r="A302" t="s">
        <v>1208</v>
      </c>
      <c r="B302" s="8">
        <v>45537</v>
      </c>
      <c r="C302" t="s">
        <v>1209</v>
      </c>
      <c r="D302" t="s">
        <v>41</v>
      </c>
      <c r="E302">
        <v>1</v>
      </c>
      <c r="F302">
        <v>287.45999999999998</v>
      </c>
      <c r="G302" t="s">
        <v>1210</v>
      </c>
      <c r="H302" t="s">
        <v>34</v>
      </c>
      <c r="I302" t="s">
        <v>59</v>
      </c>
      <c r="J302" t="s">
        <v>1211</v>
      </c>
      <c r="K302">
        <v>3</v>
      </c>
      <c r="L302" t="s">
        <v>53</v>
      </c>
      <c r="M302" t="s">
        <v>61</v>
      </c>
      <c r="N302">
        <v>287.45999999999998</v>
      </c>
    </row>
    <row r="303" spans="1:14" x14ac:dyDescent="0.3">
      <c r="A303" t="s">
        <v>1212</v>
      </c>
      <c r="B303" s="8">
        <v>45057</v>
      </c>
      <c r="C303" t="s">
        <v>1213</v>
      </c>
      <c r="D303" t="s">
        <v>57</v>
      </c>
      <c r="E303">
        <v>1</v>
      </c>
      <c r="F303">
        <v>583.99</v>
      </c>
      <c r="G303" t="s">
        <v>1214</v>
      </c>
      <c r="H303" t="s">
        <v>81</v>
      </c>
      <c r="I303" t="s">
        <v>51</v>
      </c>
      <c r="J303" t="s">
        <v>1215</v>
      </c>
      <c r="K303">
        <v>2</v>
      </c>
      <c r="L303" t="s">
        <v>37</v>
      </c>
      <c r="M303" t="s">
        <v>54</v>
      </c>
      <c r="N303">
        <v>583.99</v>
      </c>
    </row>
    <row r="304" spans="1:14" x14ac:dyDescent="0.3">
      <c r="A304" t="s">
        <v>1216</v>
      </c>
      <c r="B304" s="8">
        <v>45062</v>
      </c>
      <c r="C304" t="s">
        <v>1217</v>
      </c>
      <c r="D304" t="s">
        <v>57</v>
      </c>
      <c r="E304">
        <v>3</v>
      </c>
      <c r="F304">
        <v>468.74</v>
      </c>
      <c r="G304" t="s">
        <v>1218</v>
      </c>
      <c r="H304" t="s">
        <v>81</v>
      </c>
      <c r="I304" t="s">
        <v>105</v>
      </c>
      <c r="J304" t="s">
        <v>1219</v>
      </c>
      <c r="K304">
        <v>4</v>
      </c>
      <c r="L304" t="s">
        <v>53</v>
      </c>
      <c r="M304" t="s">
        <v>38</v>
      </c>
      <c r="N304">
        <v>1406.22</v>
      </c>
    </row>
    <row r="305" spans="1:14" x14ac:dyDescent="0.3">
      <c r="A305" t="s">
        <v>1220</v>
      </c>
      <c r="B305" s="8">
        <v>45633</v>
      </c>
      <c r="C305" t="s">
        <v>1221</v>
      </c>
      <c r="D305" t="s">
        <v>48</v>
      </c>
      <c r="E305">
        <v>1</v>
      </c>
      <c r="F305">
        <v>30.54</v>
      </c>
      <c r="G305" t="s">
        <v>1222</v>
      </c>
      <c r="H305" t="s">
        <v>34</v>
      </c>
      <c r="I305" t="s">
        <v>59</v>
      </c>
      <c r="J305" t="s">
        <v>1223</v>
      </c>
      <c r="K305">
        <v>1</v>
      </c>
      <c r="M305" t="s">
        <v>92</v>
      </c>
      <c r="N305">
        <v>30.54</v>
      </c>
    </row>
    <row r="306" spans="1:14" x14ac:dyDescent="0.3">
      <c r="A306" t="s">
        <v>1224</v>
      </c>
      <c r="B306" s="8">
        <v>45583</v>
      </c>
      <c r="C306" t="s">
        <v>1225</v>
      </c>
      <c r="D306" t="s">
        <v>32</v>
      </c>
      <c r="E306">
        <v>5</v>
      </c>
      <c r="F306">
        <v>408.73</v>
      </c>
      <c r="G306" t="s">
        <v>1226</v>
      </c>
      <c r="H306" t="s">
        <v>76</v>
      </c>
      <c r="I306" t="s">
        <v>66</v>
      </c>
      <c r="J306" t="s">
        <v>1227</v>
      </c>
      <c r="K306">
        <v>10</v>
      </c>
      <c r="L306" t="s">
        <v>53</v>
      </c>
      <c r="M306" t="s">
        <v>38</v>
      </c>
      <c r="N306">
        <v>2043.65</v>
      </c>
    </row>
    <row r="307" spans="1:14" x14ac:dyDescent="0.3">
      <c r="A307" t="s">
        <v>1228</v>
      </c>
      <c r="B307" s="8">
        <v>45255</v>
      </c>
      <c r="C307" t="s">
        <v>1229</v>
      </c>
      <c r="D307" t="s">
        <v>74</v>
      </c>
      <c r="E307">
        <v>4</v>
      </c>
      <c r="F307">
        <v>126.89</v>
      </c>
      <c r="G307" t="s">
        <v>1230</v>
      </c>
      <c r="H307" t="s">
        <v>81</v>
      </c>
      <c r="I307" t="s">
        <v>105</v>
      </c>
      <c r="J307" t="s">
        <v>1231</v>
      </c>
      <c r="K307">
        <v>9</v>
      </c>
      <c r="L307" t="s">
        <v>53</v>
      </c>
      <c r="M307" t="s">
        <v>38</v>
      </c>
      <c r="N307">
        <v>507.56</v>
      </c>
    </row>
    <row r="308" spans="1:14" x14ac:dyDescent="0.3">
      <c r="A308" t="s">
        <v>1232</v>
      </c>
      <c r="B308" s="8">
        <v>45450</v>
      </c>
      <c r="C308" t="s">
        <v>1233</v>
      </c>
      <c r="D308" t="s">
        <v>64</v>
      </c>
      <c r="E308">
        <v>2</v>
      </c>
      <c r="F308">
        <v>57.07</v>
      </c>
      <c r="G308" t="s">
        <v>1234</v>
      </c>
      <c r="H308" t="s">
        <v>34</v>
      </c>
      <c r="I308" t="s">
        <v>59</v>
      </c>
      <c r="J308" t="s">
        <v>1235</v>
      </c>
      <c r="K308">
        <v>3</v>
      </c>
      <c r="L308" t="s">
        <v>37</v>
      </c>
      <c r="M308" t="s">
        <v>38</v>
      </c>
      <c r="N308">
        <v>114.14</v>
      </c>
    </row>
    <row r="309" spans="1:14" x14ac:dyDescent="0.3">
      <c r="A309" t="s">
        <v>1236</v>
      </c>
      <c r="B309" s="8">
        <v>45108</v>
      </c>
      <c r="C309" t="s">
        <v>1237</v>
      </c>
      <c r="D309" t="s">
        <v>74</v>
      </c>
      <c r="E309">
        <v>3</v>
      </c>
      <c r="F309">
        <v>557.41</v>
      </c>
      <c r="G309" t="s">
        <v>1238</v>
      </c>
      <c r="H309" t="s">
        <v>43</v>
      </c>
      <c r="I309" t="s">
        <v>66</v>
      </c>
      <c r="J309" t="s">
        <v>1239</v>
      </c>
      <c r="K309">
        <v>4</v>
      </c>
      <c r="M309" t="s">
        <v>54</v>
      </c>
      <c r="N309">
        <v>1672.23</v>
      </c>
    </row>
    <row r="310" spans="1:14" x14ac:dyDescent="0.3">
      <c r="A310" t="s">
        <v>1240</v>
      </c>
      <c r="B310" s="8">
        <v>45271</v>
      </c>
      <c r="C310" t="s">
        <v>1241</v>
      </c>
      <c r="D310" t="s">
        <v>64</v>
      </c>
      <c r="E310">
        <v>3</v>
      </c>
      <c r="F310">
        <v>448.9</v>
      </c>
      <c r="G310" t="s">
        <v>735</v>
      </c>
      <c r="H310" t="s">
        <v>34</v>
      </c>
      <c r="I310" t="s">
        <v>59</v>
      </c>
      <c r="J310" t="s">
        <v>1242</v>
      </c>
      <c r="K310">
        <v>7</v>
      </c>
      <c r="L310" t="s">
        <v>37</v>
      </c>
      <c r="M310" t="s">
        <v>38</v>
      </c>
      <c r="N310">
        <v>1346.7</v>
      </c>
    </row>
    <row r="311" spans="1:14" x14ac:dyDescent="0.3">
      <c r="A311" t="s">
        <v>1243</v>
      </c>
      <c r="B311" s="8">
        <v>45202</v>
      </c>
      <c r="C311" t="s">
        <v>1244</v>
      </c>
      <c r="D311" t="s">
        <v>57</v>
      </c>
      <c r="E311">
        <v>4</v>
      </c>
      <c r="F311">
        <v>549.76</v>
      </c>
      <c r="G311" t="s">
        <v>1245</v>
      </c>
      <c r="H311" t="s">
        <v>34</v>
      </c>
      <c r="I311" t="s">
        <v>66</v>
      </c>
      <c r="J311" t="s">
        <v>1246</v>
      </c>
      <c r="K311">
        <v>4</v>
      </c>
      <c r="L311" t="s">
        <v>53</v>
      </c>
      <c r="M311" t="s">
        <v>61</v>
      </c>
      <c r="N311">
        <v>2199.04</v>
      </c>
    </row>
    <row r="312" spans="1:14" x14ac:dyDescent="0.3">
      <c r="A312" t="s">
        <v>1247</v>
      </c>
      <c r="B312" s="8">
        <v>45346</v>
      </c>
      <c r="C312" t="s">
        <v>1248</v>
      </c>
      <c r="D312" t="s">
        <v>64</v>
      </c>
      <c r="E312">
        <v>3</v>
      </c>
      <c r="F312">
        <v>132.47999999999999</v>
      </c>
      <c r="G312" t="s">
        <v>1249</v>
      </c>
      <c r="H312" t="s">
        <v>43</v>
      </c>
      <c r="I312" t="s">
        <v>35</v>
      </c>
      <c r="J312" t="s">
        <v>1250</v>
      </c>
      <c r="K312">
        <v>4</v>
      </c>
      <c r="M312" t="s">
        <v>45</v>
      </c>
      <c r="N312">
        <v>397.44</v>
      </c>
    </row>
    <row r="313" spans="1:14" x14ac:dyDescent="0.3">
      <c r="A313" t="s">
        <v>1251</v>
      </c>
      <c r="B313" s="8">
        <v>45794</v>
      </c>
      <c r="C313" t="s">
        <v>1252</v>
      </c>
      <c r="D313" t="s">
        <v>89</v>
      </c>
      <c r="E313">
        <v>5</v>
      </c>
      <c r="F313">
        <v>489.37</v>
      </c>
      <c r="G313" t="s">
        <v>1253</v>
      </c>
      <c r="H313" t="s">
        <v>43</v>
      </c>
      <c r="I313" t="s">
        <v>59</v>
      </c>
      <c r="J313" t="s">
        <v>1254</v>
      </c>
      <c r="K313">
        <v>8</v>
      </c>
      <c r="M313" t="s">
        <v>38</v>
      </c>
      <c r="N313">
        <v>2446.85</v>
      </c>
    </row>
    <row r="314" spans="1:14" x14ac:dyDescent="0.3">
      <c r="A314" t="s">
        <v>1255</v>
      </c>
      <c r="B314" s="8">
        <v>45801</v>
      </c>
      <c r="C314" t="s">
        <v>1256</v>
      </c>
      <c r="D314" t="s">
        <v>64</v>
      </c>
      <c r="E314">
        <v>5</v>
      </c>
      <c r="F314">
        <v>66.31</v>
      </c>
      <c r="G314" t="s">
        <v>937</v>
      </c>
      <c r="H314" t="s">
        <v>76</v>
      </c>
      <c r="I314" t="s">
        <v>105</v>
      </c>
      <c r="J314" t="s">
        <v>1257</v>
      </c>
      <c r="K314">
        <v>7</v>
      </c>
      <c r="L314" t="s">
        <v>53</v>
      </c>
      <c r="M314" t="s">
        <v>45</v>
      </c>
      <c r="N314">
        <v>331.55</v>
      </c>
    </row>
    <row r="315" spans="1:14" x14ac:dyDescent="0.3">
      <c r="A315" t="s">
        <v>1258</v>
      </c>
      <c r="B315" s="8">
        <v>45116</v>
      </c>
      <c r="C315" t="s">
        <v>1259</v>
      </c>
      <c r="D315" t="s">
        <v>57</v>
      </c>
      <c r="E315">
        <v>2</v>
      </c>
      <c r="F315">
        <v>434.3</v>
      </c>
      <c r="G315" t="s">
        <v>1260</v>
      </c>
      <c r="H315" t="s">
        <v>81</v>
      </c>
      <c r="I315" t="s">
        <v>66</v>
      </c>
      <c r="J315" t="s">
        <v>1261</v>
      </c>
      <c r="K315">
        <v>7</v>
      </c>
      <c r="L315" t="s">
        <v>37</v>
      </c>
      <c r="M315" t="s">
        <v>38</v>
      </c>
      <c r="N315">
        <v>868.6</v>
      </c>
    </row>
    <row r="316" spans="1:14" x14ac:dyDescent="0.3">
      <c r="A316" t="s">
        <v>1262</v>
      </c>
      <c r="B316" s="8">
        <v>45203</v>
      </c>
      <c r="C316" t="s">
        <v>1263</v>
      </c>
      <c r="D316" t="s">
        <v>89</v>
      </c>
      <c r="E316">
        <v>4</v>
      </c>
      <c r="F316">
        <v>153.09</v>
      </c>
      <c r="G316" t="s">
        <v>1264</v>
      </c>
      <c r="H316" t="s">
        <v>43</v>
      </c>
      <c r="I316" t="s">
        <v>66</v>
      </c>
      <c r="J316" t="s">
        <v>1265</v>
      </c>
      <c r="K316">
        <v>4</v>
      </c>
      <c r="L316" t="s">
        <v>53</v>
      </c>
      <c r="M316" t="s">
        <v>45</v>
      </c>
      <c r="N316">
        <v>612.36</v>
      </c>
    </row>
    <row r="317" spans="1:14" x14ac:dyDescent="0.3">
      <c r="A317" t="s">
        <v>1266</v>
      </c>
      <c r="B317" s="8">
        <v>45789</v>
      </c>
      <c r="C317" t="s">
        <v>1267</v>
      </c>
      <c r="D317" t="s">
        <v>48</v>
      </c>
      <c r="E317">
        <v>5</v>
      </c>
      <c r="F317">
        <v>91.67</v>
      </c>
      <c r="G317" t="s">
        <v>1268</v>
      </c>
      <c r="H317" t="s">
        <v>43</v>
      </c>
      <c r="I317" t="s">
        <v>51</v>
      </c>
      <c r="J317" t="s">
        <v>1269</v>
      </c>
      <c r="K317">
        <v>9</v>
      </c>
      <c r="L317" t="s">
        <v>53</v>
      </c>
      <c r="M317" t="s">
        <v>54</v>
      </c>
      <c r="N317">
        <v>458.35</v>
      </c>
    </row>
    <row r="318" spans="1:14" x14ac:dyDescent="0.3">
      <c r="A318" t="s">
        <v>1270</v>
      </c>
      <c r="B318" s="8">
        <v>45201</v>
      </c>
      <c r="C318" t="s">
        <v>1271</v>
      </c>
      <c r="D318" t="s">
        <v>89</v>
      </c>
      <c r="E318">
        <v>4</v>
      </c>
      <c r="F318">
        <v>275.27999999999997</v>
      </c>
      <c r="G318" t="s">
        <v>1272</v>
      </c>
      <c r="H318" t="s">
        <v>76</v>
      </c>
      <c r="I318" t="s">
        <v>35</v>
      </c>
      <c r="J318" t="s">
        <v>1273</v>
      </c>
      <c r="K318">
        <v>9</v>
      </c>
      <c r="L318" t="s">
        <v>97</v>
      </c>
      <c r="M318" t="s">
        <v>61</v>
      </c>
      <c r="N318">
        <v>1101.1199999999999</v>
      </c>
    </row>
    <row r="319" spans="1:14" x14ac:dyDescent="0.3">
      <c r="A319" t="s">
        <v>1274</v>
      </c>
      <c r="B319" s="8">
        <v>45026</v>
      </c>
      <c r="C319" t="s">
        <v>1275</v>
      </c>
      <c r="D319" t="s">
        <v>32</v>
      </c>
      <c r="E319">
        <v>2</v>
      </c>
      <c r="F319">
        <v>139.94999999999999</v>
      </c>
      <c r="G319" t="s">
        <v>1276</v>
      </c>
      <c r="H319" t="s">
        <v>43</v>
      </c>
      <c r="I319" t="s">
        <v>59</v>
      </c>
      <c r="J319" t="s">
        <v>1277</v>
      </c>
      <c r="K319">
        <v>5</v>
      </c>
      <c r="M319" t="s">
        <v>38</v>
      </c>
      <c r="N319">
        <v>279.89999999999998</v>
      </c>
    </row>
    <row r="320" spans="1:14" x14ac:dyDescent="0.3">
      <c r="A320" t="s">
        <v>1278</v>
      </c>
      <c r="B320" s="8">
        <v>45500</v>
      </c>
      <c r="C320" t="s">
        <v>1279</v>
      </c>
      <c r="D320" t="s">
        <v>57</v>
      </c>
      <c r="E320">
        <v>3</v>
      </c>
      <c r="F320">
        <v>148.72</v>
      </c>
      <c r="G320" t="s">
        <v>882</v>
      </c>
      <c r="H320" t="s">
        <v>34</v>
      </c>
      <c r="I320" t="s">
        <v>51</v>
      </c>
      <c r="J320" t="s">
        <v>1280</v>
      </c>
      <c r="K320">
        <v>7</v>
      </c>
      <c r="L320" t="s">
        <v>37</v>
      </c>
      <c r="M320" t="s">
        <v>92</v>
      </c>
      <c r="N320">
        <v>446.16</v>
      </c>
    </row>
    <row r="321" spans="1:14" x14ac:dyDescent="0.3">
      <c r="A321" t="s">
        <v>1281</v>
      </c>
      <c r="B321" s="8">
        <v>45262</v>
      </c>
      <c r="C321" t="s">
        <v>1282</v>
      </c>
      <c r="D321" t="s">
        <v>74</v>
      </c>
      <c r="E321">
        <v>2</v>
      </c>
      <c r="F321">
        <v>563.05999999999995</v>
      </c>
      <c r="G321" t="s">
        <v>1283</v>
      </c>
      <c r="H321" t="s">
        <v>81</v>
      </c>
      <c r="I321" t="s">
        <v>59</v>
      </c>
      <c r="J321" t="s">
        <v>1284</v>
      </c>
      <c r="K321">
        <v>6</v>
      </c>
      <c r="M321" t="s">
        <v>38</v>
      </c>
      <c r="N321">
        <v>1126.1199999999999</v>
      </c>
    </row>
    <row r="322" spans="1:14" x14ac:dyDescent="0.3">
      <c r="A322" t="s">
        <v>1285</v>
      </c>
      <c r="B322" s="8">
        <v>45645</v>
      </c>
      <c r="C322" t="s">
        <v>1286</v>
      </c>
      <c r="D322" t="s">
        <v>64</v>
      </c>
      <c r="E322">
        <v>1</v>
      </c>
      <c r="F322">
        <v>625.51</v>
      </c>
      <c r="G322" t="s">
        <v>1287</v>
      </c>
      <c r="H322" t="s">
        <v>50</v>
      </c>
      <c r="I322" t="s">
        <v>35</v>
      </c>
      <c r="J322" t="s">
        <v>1288</v>
      </c>
      <c r="K322">
        <v>1</v>
      </c>
      <c r="L322" t="s">
        <v>53</v>
      </c>
      <c r="M322" t="s">
        <v>61</v>
      </c>
      <c r="N322">
        <v>625.51</v>
      </c>
    </row>
    <row r="323" spans="1:14" x14ac:dyDescent="0.3">
      <c r="A323" t="s">
        <v>1289</v>
      </c>
      <c r="B323" s="8">
        <v>45147</v>
      </c>
      <c r="C323" t="s">
        <v>1290</v>
      </c>
      <c r="D323" t="s">
        <v>41</v>
      </c>
      <c r="E323">
        <v>4</v>
      </c>
      <c r="F323">
        <v>152.29</v>
      </c>
      <c r="G323" t="s">
        <v>1238</v>
      </c>
      <c r="H323" t="s">
        <v>34</v>
      </c>
      <c r="I323" t="s">
        <v>51</v>
      </c>
      <c r="J323" t="s">
        <v>1291</v>
      </c>
      <c r="K323">
        <v>6</v>
      </c>
      <c r="L323" t="s">
        <v>97</v>
      </c>
      <c r="M323" t="s">
        <v>92</v>
      </c>
      <c r="N323">
        <v>609.16</v>
      </c>
    </row>
    <row r="324" spans="1:14" x14ac:dyDescent="0.3">
      <c r="A324" t="s">
        <v>1292</v>
      </c>
      <c r="B324" s="8">
        <v>45457</v>
      </c>
      <c r="C324" t="s">
        <v>1293</v>
      </c>
      <c r="D324" t="s">
        <v>41</v>
      </c>
      <c r="E324">
        <v>5</v>
      </c>
      <c r="F324">
        <v>231.82</v>
      </c>
      <c r="G324" t="s">
        <v>1276</v>
      </c>
      <c r="H324" t="s">
        <v>34</v>
      </c>
      <c r="I324" t="s">
        <v>66</v>
      </c>
      <c r="J324" t="s">
        <v>1294</v>
      </c>
      <c r="K324">
        <v>6</v>
      </c>
      <c r="L324" t="s">
        <v>37</v>
      </c>
      <c r="M324" t="s">
        <v>61</v>
      </c>
      <c r="N324">
        <v>1159.0999999999999</v>
      </c>
    </row>
    <row r="325" spans="1:14" x14ac:dyDescent="0.3">
      <c r="A325" t="s">
        <v>1295</v>
      </c>
      <c r="B325" s="8">
        <v>45683</v>
      </c>
      <c r="C325" t="s">
        <v>1296</v>
      </c>
      <c r="D325" t="s">
        <v>74</v>
      </c>
      <c r="E325">
        <v>1</v>
      </c>
      <c r="F325">
        <v>150.16999999999999</v>
      </c>
      <c r="G325" t="s">
        <v>1297</v>
      </c>
      <c r="H325" t="s">
        <v>34</v>
      </c>
      <c r="I325" t="s">
        <v>59</v>
      </c>
      <c r="J325" t="s">
        <v>1298</v>
      </c>
      <c r="K325">
        <v>1</v>
      </c>
      <c r="L325" t="s">
        <v>37</v>
      </c>
      <c r="M325" t="s">
        <v>45</v>
      </c>
      <c r="N325">
        <v>150.16999999999999</v>
      </c>
    </row>
    <row r="326" spans="1:14" x14ac:dyDescent="0.3">
      <c r="A326" t="s">
        <v>1299</v>
      </c>
      <c r="B326" s="8">
        <v>45456</v>
      </c>
      <c r="C326" t="s">
        <v>1300</v>
      </c>
      <c r="D326" t="s">
        <v>48</v>
      </c>
      <c r="E326">
        <v>3</v>
      </c>
      <c r="F326">
        <v>70.930000000000007</v>
      </c>
      <c r="G326" t="s">
        <v>1301</v>
      </c>
      <c r="H326" t="s">
        <v>34</v>
      </c>
      <c r="I326" t="s">
        <v>59</v>
      </c>
      <c r="J326" t="s">
        <v>1302</v>
      </c>
      <c r="K326">
        <v>5</v>
      </c>
      <c r="M326" t="s">
        <v>45</v>
      </c>
      <c r="N326">
        <v>212.79</v>
      </c>
    </row>
    <row r="327" spans="1:14" x14ac:dyDescent="0.3">
      <c r="A327" t="s">
        <v>1303</v>
      </c>
      <c r="B327" s="8">
        <v>45106</v>
      </c>
      <c r="C327" t="s">
        <v>1304</v>
      </c>
      <c r="D327" t="s">
        <v>89</v>
      </c>
      <c r="E327">
        <v>3</v>
      </c>
      <c r="F327">
        <v>361.39</v>
      </c>
      <c r="G327" t="s">
        <v>1305</v>
      </c>
      <c r="H327" t="s">
        <v>50</v>
      </c>
      <c r="I327" t="s">
        <v>35</v>
      </c>
      <c r="J327" t="s">
        <v>1306</v>
      </c>
      <c r="K327">
        <v>8</v>
      </c>
      <c r="M327" t="s">
        <v>45</v>
      </c>
      <c r="N327">
        <v>1084.17</v>
      </c>
    </row>
    <row r="328" spans="1:14" x14ac:dyDescent="0.3">
      <c r="A328" t="s">
        <v>1307</v>
      </c>
      <c r="B328" s="8">
        <v>45474</v>
      </c>
      <c r="C328" t="s">
        <v>1308</v>
      </c>
      <c r="D328" t="s">
        <v>74</v>
      </c>
      <c r="E328">
        <v>5</v>
      </c>
      <c r="F328">
        <v>670.48</v>
      </c>
      <c r="G328" t="s">
        <v>133</v>
      </c>
      <c r="H328" t="s">
        <v>76</v>
      </c>
      <c r="I328" t="s">
        <v>59</v>
      </c>
      <c r="J328" t="s">
        <v>1309</v>
      </c>
      <c r="K328">
        <v>5</v>
      </c>
      <c r="L328" t="s">
        <v>37</v>
      </c>
      <c r="M328" t="s">
        <v>61</v>
      </c>
      <c r="N328">
        <v>3352.4</v>
      </c>
    </row>
    <row r="329" spans="1:14" x14ac:dyDescent="0.3">
      <c r="A329" t="s">
        <v>1310</v>
      </c>
      <c r="B329" s="8">
        <v>45132</v>
      </c>
      <c r="C329" t="s">
        <v>1311</v>
      </c>
      <c r="D329" t="s">
        <v>41</v>
      </c>
      <c r="E329">
        <v>1</v>
      </c>
      <c r="F329">
        <v>359.99</v>
      </c>
      <c r="G329" t="s">
        <v>313</v>
      </c>
      <c r="H329" t="s">
        <v>76</v>
      </c>
      <c r="I329" t="s">
        <v>51</v>
      </c>
      <c r="J329" t="s">
        <v>1312</v>
      </c>
      <c r="K329">
        <v>5</v>
      </c>
      <c r="L329" t="s">
        <v>37</v>
      </c>
      <c r="M329" t="s">
        <v>54</v>
      </c>
      <c r="N329">
        <v>359.99</v>
      </c>
    </row>
    <row r="330" spans="1:14" x14ac:dyDescent="0.3">
      <c r="A330" t="s">
        <v>1313</v>
      </c>
      <c r="B330" s="8">
        <v>44985</v>
      </c>
      <c r="C330" t="s">
        <v>1314</v>
      </c>
      <c r="D330" t="s">
        <v>48</v>
      </c>
      <c r="E330">
        <v>5</v>
      </c>
      <c r="F330">
        <v>674.04</v>
      </c>
      <c r="G330" t="s">
        <v>1315</v>
      </c>
      <c r="H330" t="s">
        <v>43</v>
      </c>
      <c r="I330" t="s">
        <v>51</v>
      </c>
      <c r="J330" t="s">
        <v>1316</v>
      </c>
      <c r="K330">
        <v>7</v>
      </c>
      <c r="L330" t="s">
        <v>37</v>
      </c>
      <c r="M330" t="s">
        <v>92</v>
      </c>
      <c r="N330">
        <v>3370.2</v>
      </c>
    </row>
    <row r="331" spans="1:14" x14ac:dyDescent="0.3">
      <c r="A331" t="s">
        <v>1317</v>
      </c>
      <c r="B331" s="8">
        <v>45651</v>
      </c>
      <c r="C331" t="s">
        <v>1318</v>
      </c>
      <c r="D331" t="s">
        <v>57</v>
      </c>
      <c r="E331">
        <v>4</v>
      </c>
      <c r="F331">
        <v>283.16000000000003</v>
      </c>
      <c r="G331" t="s">
        <v>1004</v>
      </c>
      <c r="H331" t="s">
        <v>50</v>
      </c>
      <c r="I331" t="s">
        <v>35</v>
      </c>
      <c r="J331" t="s">
        <v>1319</v>
      </c>
      <c r="K331">
        <v>6</v>
      </c>
      <c r="M331" t="s">
        <v>92</v>
      </c>
      <c r="N331">
        <v>1132.6400000000001</v>
      </c>
    </row>
    <row r="332" spans="1:14" x14ac:dyDescent="0.3">
      <c r="A332" t="s">
        <v>1320</v>
      </c>
      <c r="B332" s="8">
        <v>45445</v>
      </c>
      <c r="C332" t="s">
        <v>1321</v>
      </c>
      <c r="D332" t="s">
        <v>89</v>
      </c>
      <c r="E332">
        <v>5</v>
      </c>
      <c r="F332">
        <v>260.52999999999997</v>
      </c>
      <c r="G332" t="s">
        <v>1322</v>
      </c>
      <c r="H332" t="s">
        <v>76</v>
      </c>
      <c r="I332" t="s">
        <v>105</v>
      </c>
      <c r="J332" t="s">
        <v>1323</v>
      </c>
      <c r="K332">
        <v>5</v>
      </c>
      <c r="L332" t="s">
        <v>37</v>
      </c>
      <c r="M332" t="s">
        <v>38</v>
      </c>
      <c r="N332">
        <v>1302.6500000000001</v>
      </c>
    </row>
    <row r="333" spans="1:14" x14ac:dyDescent="0.3">
      <c r="A333" t="s">
        <v>1324</v>
      </c>
      <c r="B333" s="8">
        <v>45031</v>
      </c>
      <c r="C333" t="s">
        <v>1325</v>
      </c>
      <c r="D333" t="s">
        <v>64</v>
      </c>
      <c r="E333">
        <v>3</v>
      </c>
      <c r="F333">
        <v>422.13</v>
      </c>
      <c r="G333" t="s">
        <v>526</v>
      </c>
      <c r="H333" t="s">
        <v>43</v>
      </c>
      <c r="I333" t="s">
        <v>66</v>
      </c>
      <c r="J333" t="s">
        <v>1326</v>
      </c>
      <c r="K333">
        <v>7</v>
      </c>
      <c r="L333" t="s">
        <v>37</v>
      </c>
      <c r="M333" t="s">
        <v>61</v>
      </c>
      <c r="N333">
        <v>1266.3900000000001</v>
      </c>
    </row>
    <row r="334" spans="1:14" x14ac:dyDescent="0.3">
      <c r="A334" t="s">
        <v>1327</v>
      </c>
      <c r="B334" s="8">
        <v>45476</v>
      </c>
      <c r="C334" t="s">
        <v>1328</v>
      </c>
      <c r="D334" t="s">
        <v>89</v>
      </c>
      <c r="E334">
        <v>5</v>
      </c>
      <c r="F334">
        <v>125.02</v>
      </c>
      <c r="G334" t="s">
        <v>1329</v>
      </c>
      <c r="H334" t="s">
        <v>34</v>
      </c>
      <c r="I334" t="s">
        <v>105</v>
      </c>
      <c r="J334" t="s">
        <v>1330</v>
      </c>
      <c r="K334">
        <v>9</v>
      </c>
      <c r="L334" t="s">
        <v>37</v>
      </c>
      <c r="M334" t="s">
        <v>92</v>
      </c>
      <c r="N334">
        <v>625.1</v>
      </c>
    </row>
    <row r="335" spans="1:14" x14ac:dyDescent="0.3">
      <c r="A335" t="s">
        <v>1331</v>
      </c>
      <c r="B335" s="8">
        <v>45398</v>
      </c>
      <c r="C335" t="s">
        <v>1332</v>
      </c>
      <c r="D335" t="s">
        <v>41</v>
      </c>
      <c r="E335">
        <v>1</v>
      </c>
      <c r="F335">
        <v>198.51</v>
      </c>
      <c r="G335" t="s">
        <v>1333</v>
      </c>
      <c r="H335" t="s">
        <v>50</v>
      </c>
      <c r="I335" t="s">
        <v>59</v>
      </c>
      <c r="J335" t="s">
        <v>1334</v>
      </c>
      <c r="K335">
        <v>5</v>
      </c>
      <c r="L335" t="s">
        <v>97</v>
      </c>
      <c r="M335" t="s">
        <v>38</v>
      </c>
      <c r="N335">
        <v>198.51</v>
      </c>
    </row>
    <row r="336" spans="1:14" x14ac:dyDescent="0.3">
      <c r="A336" t="s">
        <v>1335</v>
      </c>
      <c r="B336" s="8">
        <v>45377</v>
      </c>
      <c r="C336" t="s">
        <v>1336</v>
      </c>
      <c r="D336" t="s">
        <v>57</v>
      </c>
      <c r="E336">
        <v>4</v>
      </c>
      <c r="F336">
        <v>224.75</v>
      </c>
      <c r="G336" t="s">
        <v>1337</v>
      </c>
      <c r="H336" t="s">
        <v>43</v>
      </c>
      <c r="I336" t="s">
        <v>66</v>
      </c>
      <c r="J336" t="s">
        <v>1338</v>
      </c>
      <c r="K336">
        <v>7</v>
      </c>
      <c r="L336" t="s">
        <v>97</v>
      </c>
      <c r="M336" t="s">
        <v>61</v>
      </c>
      <c r="N336">
        <v>899</v>
      </c>
    </row>
    <row r="337" spans="1:14" x14ac:dyDescent="0.3">
      <c r="A337" t="s">
        <v>1339</v>
      </c>
      <c r="B337" s="8">
        <v>45719</v>
      </c>
      <c r="C337" t="s">
        <v>1340</v>
      </c>
      <c r="D337" t="s">
        <v>48</v>
      </c>
      <c r="E337">
        <v>3</v>
      </c>
      <c r="F337">
        <v>205.86</v>
      </c>
      <c r="G337" t="s">
        <v>1260</v>
      </c>
      <c r="H337" t="s">
        <v>76</v>
      </c>
      <c r="I337" t="s">
        <v>35</v>
      </c>
      <c r="J337" t="s">
        <v>1341</v>
      </c>
      <c r="K337">
        <v>4</v>
      </c>
      <c r="M337" t="s">
        <v>54</v>
      </c>
      <c r="N337">
        <v>617.58000000000004</v>
      </c>
    </row>
    <row r="338" spans="1:14" x14ac:dyDescent="0.3">
      <c r="A338" t="s">
        <v>1342</v>
      </c>
      <c r="B338" s="8">
        <v>45289</v>
      </c>
      <c r="C338" t="s">
        <v>1343</v>
      </c>
      <c r="D338" t="s">
        <v>74</v>
      </c>
      <c r="E338">
        <v>1</v>
      </c>
      <c r="F338">
        <v>18.2</v>
      </c>
      <c r="G338" t="s">
        <v>1344</v>
      </c>
      <c r="H338" t="s">
        <v>34</v>
      </c>
      <c r="I338" t="s">
        <v>105</v>
      </c>
      <c r="J338" t="s">
        <v>1345</v>
      </c>
      <c r="K338">
        <v>4</v>
      </c>
      <c r="L338" t="s">
        <v>37</v>
      </c>
      <c r="M338" t="s">
        <v>38</v>
      </c>
      <c r="N338">
        <v>18.2</v>
      </c>
    </row>
    <row r="339" spans="1:14" x14ac:dyDescent="0.3">
      <c r="A339" t="s">
        <v>1346</v>
      </c>
      <c r="B339" s="8">
        <v>45075</v>
      </c>
      <c r="C339" t="s">
        <v>1347</v>
      </c>
      <c r="D339" t="s">
        <v>48</v>
      </c>
      <c r="E339">
        <v>3</v>
      </c>
      <c r="F339">
        <v>502.77</v>
      </c>
      <c r="G339" t="s">
        <v>1348</v>
      </c>
      <c r="H339" t="s">
        <v>34</v>
      </c>
      <c r="I339" t="s">
        <v>59</v>
      </c>
      <c r="J339" t="s">
        <v>1349</v>
      </c>
      <c r="K339">
        <v>8</v>
      </c>
      <c r="L339" t="s">
        <v>97</v>
      </c>
      <c r="M339" t="s">
        <v>54</v>
      </c>
      <c r="N339">
        <v>1508.31</v>
      </c>
    </row>
    <row r="340" spans="1:14" x14ac:dyDescent="0.3">
      <c r="A340" t="s">
        <v>1350</v>
      </c>
      <c r="B340" s="8">
        <v>45238</v>
      </c>
      <c r="C340" t="s">
        <v>1351</v>
      </c>
      <c r="D340" t="s">
        <v>41</v>
      </c>
      <c r="E340">
        <v>5</v>
      </c>
      <c r="F340">
        <v>305.49</v>
      </c>
      <c r="G340" t="s">
        <v>1352</v>
      </c>
      <c r="H340" t="s">
        <v>34</v>
      </c>
      <c r="I340" t="s">
        <v>35</v>
      </c>
      <c r="J340" t="s">
        <v>1353</v>
      </c>
      <c r="K340">
        <v>10</v>
      </c>
      <c r="M340" t="s">
        <v>45</v>
      </c>
      <c r="N340">
        <v>1527.45</v>
      </c>
    </row>
    <row r="341" spans="1:14" x14ac:dyDescent="0.3">
      <c r="A341" t="s">
        <v>1354</v>
      </c>
      <c r="B341" s="8">
        <v>45392</v>
      </c>
      <c r="C341" t="s">
        <v>1355</v>
      </c>
      <c r="D341" t="s">
        <v>64</v>
      </c>
      <c r="E341">
        <v>2</v>
      </c>
      <c r="F341">
        <v>236.33</v>
      </c>
      <c r="G341" t="s">
        <v>1356</v>
      </c>
      <c r="H341" t="s">
        <v>43</v>
      </c>
      <c r="I341" t="s">
        <v>105</v>
      </c>
      <c r="J341" t="s">
        <v>1357</v>
      </c>
      <c r="K341">
        <v>3</v>
      </c>
      <c r="L341" t="s">
        <v>37</v>
      </c>
      <c r="M341" t="s">
        <v>38</v>
      </c>
      <c r="N341">
        <v>472.66</v>
      </c>
    </row>
    <row r="342" spans="1:14" x14ac:dyDescent="0.3">
      <c r="A342" t="s">
        <v>1358</v>
      </c>
      <c r="B342" s="8">
        <v>45039</v>
      </c>
      <c r="C342" t="s">
        <v>1359</v>
      </c>
      <c r="D342" t="s">
        <v>74</v>
      </c>
      <c r="E342">
        <v>5</v>
      </c>
      <c r="F342">
        <v>521.25</v>
      </c>
      <c r="G342" t="s">
        <v>1360</v>
      </c>
      <c r="H342" t="s">
        <v>81</v>
      </c>
      <c r="I342" t="s">
        <v>51</v>
      </c>
      <c r="J342" t="s">
        <v>1361</v>
      </c>
      <c r="K342">
        <v>8</v>
      </c>
      <c r="M342" t="s">
        <v>54</v>
      </c>
      <c r="N342">
        <v>2606.25</v>
      </c>
    </row>
    <row r="343" spans="1:14" x14ac:dyDescent="0.3">
      <c r="A343" t="s">
        <v>1362</v>
      </c>
      <c r="B343" s="8">
        <v>45558</v>
      </c>
      <c r="C343" t="s">
        <v>1363</v>
      </c>
      <c r="D343" t="s">
        <v>48</v>
      </c>
      <c r="E343">
        <v>1</v>
      </c>
      <c r="F343">
        <v>167.15</v>
      </c>
      <c r="G343" t="s">
        <v>1364</v>
      </c>
      <c r="H343" t="s">
        <v>76</v>
      </c>
      <c r="I343" t="s">
        <v>35</v>
      </c>
      <c r="J343" t="s">
        <v>1365</v>
      </c>
      <c r="K343">
        <v>5</v>
      </c>
      <c r="L343" t="s">
        <v>97</v>
      </c>
      <c r="M343" t="s">
        <v>54</v>
      </c>
      <c r="N343">
        <v>167.15</v>
      </c>
    </row>
    <row r="344" spans="1:14" x14ac:dyDescent="0.3">
      <c r="A344" t="s">
        <v>1366</v>
      </c>
      <c r="B344" s="8">
        <v>45832</v>
      </c>
      <c r="C344" t="s">
        <v>1367</v>
      </c>
      <c r="D344" t="s">
        <v>32</v>
      </c>
      <c r="E344">
        <v>5</v>
      </c>
      <c r="F344">
        <v>466.42</v>
      </c>
      <c r="G344" t="s">
        <v>1368</v>
      </c>
      <c r="H344" t="s">
        <v>76</v>
      </c>
      <c r="I344" t="s">
        <v>59</v>
      </c>
      <c r="J344" t="s">
        <v>1369</v>
      </c>
      <c r="K344">
        <v>5</v>
      </c>
      <c r="M344" t="s">
        <v>45</v>
      </c>
      <c r="N344">
        <v>2332.1</v>
      </c>
    </row>
    <row r="345" spans="1:14" x14ac:dyDescent="0.3">
      <c r="A345" t="s">
        <v>1370</v>
      </c>
      <c r="B345" s="8">
        <v>44983</v>
      </c>
      <c r="C345" t="s">
        <v>1371</v>
      </c>
      <c r="D345" t="s">
        <v>64</v>
      </c>
      <c r="E345">
        <v>1</v>
      </c>
      <c r="F345">
        <v>527.57000000000005</v>
      </c>
      <c r="G345" t="s">
        <v>1372</v>
      </c>
      <c r="H345" t="s">
        <v>34</v>
      </c>
      <c r="I345" t="s">
        <v>105</v>
      </c>
      <c r="J345" t="s">
        <v>1373</v>
      </c>
      <c r="K345">
        <v>3</v>
      </c>
      <c r="L345" t="s">
        <v>53</v>
      </c>
      <c r="M345" t="s">
        <v>61</v>
      </c>
      <c r="N345">
        <v>527.57000000000005</v>
      </c>
    </row>
    <row r="346" spans="1:14" x14ac:dyDescent="0.3">
      <c r="A346" t="s">
        <v>1374</v>
      </c>
      <c r="B346" s="8">
        <v>45722</v>
      </c>
      <c r="C346" t="s">
        <v>1375</v>
      </c>
      <c r="D346" t="s">
        <v>48</v>
      </c>
      <c r="E346">
        <v>3</v>
      </c>
      <c r="F346">
        <v>623.34</v>
      </c>
      <c r="G346" t="s">
        <v>1376</v>
      </c>
      <c r="H346" t="s">
        <v>43</v>
      </c>
      <c r="I346" t="s">
        <v>51</v>
      </c>
      <c r="J346" t="s">
        <v>1377</v>
      </c>
      <c r="K346">
        <v>3</v>
      </c>
      <c r="L346" t="s">
        <v>37</v>
      </c>
      <c r="M346" t="s">
        <v>38</v>
      </c>
      <c r="N346">
        <v>1870.02</v>
      </c>
    </row>
    <row r="347" spans="1:14" x14ac:dyDescent="0.3">
      <c r="A347" t="s">
        <v>1378</v>
      </c>
      <c r="B347" s="8">
        <v>45267</v>
      </c>
      <c r="C347" t="s">
        <v>1379</v>
      </c>
      <c r="D347" t="s">
        <v>48</v>
      </c>
      <c r="E347">
        <v>5</v>
      </c>
      <c r="F347">
        <v>501.26</v>
      </c>
      <c r="G347" t="s">
        <v>1380</v>
      </c>
      <c r="H347" t="s">
        <v>76</v>
      </c>
      <c r="I347" t="s">
        <v>35</v>
      </c>
      <c r="J347" t="s">
        <v>1381</v>
      </c>
      <c r="K347">
        <v>10</v>
      </c>
      <c r="L347" t="s">
        <v>53</v>
      </c>
      <c r="M347" t="s">
        <v>45</v>
      </c>
      <c r="N347">
        <v>2506.3000000000002</v>
      </c>
    </row>
    <row r="348" spans="1:14" x14ac:dyDescent="0.3">
      <c r="A348" t="s">
        <v>1382</v>
      </c>
      <c r="B348" s="8">
        <v>45632</v>
      </c>
      <c r="C348" t="s">
        <v>1383</v>
      </c>
      <c r="D348" t="s">
        <v>48</v>
      </c>
      <c r="E348">
        <v>1</v>
      </c>
      <c r="F348">
        <v>655.09</v>
      </c>
      <c r="G348" t="s">
        <v>1384</v>
      </c>
      <c r="H348" t="s">
        <v>81</v>
      </c>
      <c r="I348" t="s">
        <v>105</v>
      </c>
      <c r="J348" t="s">
        <v>1385</v>
      </c>
      <c r="K348">
        <v>6</v>
      </c>
      <c r="M348" t="s">
        <v>45</v>
      </c>
      <c r="N348">
        <v>655.09</v>
      </c>
    </row>
    <row r="349" spans="1:14" x14ac:dyDescent="0.3">
      <c r="A349" t="s">
        <v>1386</v>
      </c>
      <c r="B349" s="8">
        <v>45325</v>
      </c>
      <c r="C349" t="s">
        <v>1387</v>
      </c>
      <c r="D349" t="s">
        <v>64</v>
      </c>
      <c r="E349">
        <v>4</v>
      </c>
      <c r="F349">
        <v>264.79000000000002</v>
      </c>
      <c r="G349" t="s">
        <v>1388</v>
      </c>
      <c r="H349" t="s">
        <v>50</v>
      </c>
      <c r="I349" t="s">
        <v>105</v>
      </c>
      <c r="J349" t="s">
        <v>1389</v>
      </c>
      <c r="K349">
        <v>5</v>
      </c>
      <c r="L349" t="s">
        <v>37</v>
      </c>
      <c r="M349" t="s">
        <v>92</v>
      </c>
      <c r="N349">
        <v>1059.1600000000001</v>
      </c>
    </row>
    <row r="350" spans="1:14" x14ac:dyDescent="0.3">
      <c r="A350" t="s">
        <v>1390</v>
      </c>
      <c r="B350" s="8">
        <v>45364</v>
      </c>
      <c r="C350" t="s">
        <v>1391</v>
      </c>
      <c r="D350" t="s">
        <v>74</v>
      </c>
      <c r="E350">
        <v>3</v>
      </c>
      <c r="F350">
        <v>359.73</v>
      </c>
      <c r="G350" t="s">
        <v>1392</v>
      </c>
      <c r="H350" t="s">
        <v>34</v>
      </c>
      <c r="I350" t="s">
        <v>59</v>
      </c>
      <c r="J350" t="s">
        <v>1393</v>
      </c>
      <c r="K350">
        <v>7</v>
      </c>
      <c r="L350" t="s">
        <v>53</v>
      </c>
      <c r="M350" t="s">
        <v>54</v>
      </c>
      <c r="N350">
        <v>1079.19</v>
      </c>
    </row>
    <row r="351" spans="1:14" x14ac:dyDescent="0.3">
      <c r="A351" t="s">
        <v>1394</v>
      </c>
      <c r="B351" s="8">
        <v>45260</v>
      </c>
      <c r="C351" t="s">
        <v>1395</v>
      </c>
      <c r="D351" t="s">
        <v>57</v>
      </c>
      <c r="E351">
        <v>1</v>
      </c>
      <c r="F351">
        <v>465.33</v>
      </c>
      <c r="G351" t="s">
        <v>1396</v>
      </c>
      <c r="H351" t="s">
        <v>76</v>
      </c>
      <c r="I351" t="s">
        <v>66</v>
      </c>
      <c r="J351" t="s">
        <v>1397</v>
      </c>
      <c r="K351">
        <v>2</v>
      </c>
      <c r="L351" t="s">
        <v>53</v>
      </c>
      <c r="M351" t="s">
        <v>92</v>
      </c>
      <c r="N351">
        <v>465.33</v>
      </c>
    </row>
    <row r="352" spans="1:14" x14ac:dyDescent="0.3">
      <c r="A352" t="s">
        <v>1398</v>
      </c>
      <c r="B352" s="8">
        <v>45080</v>
      </c>
      <c r="C352" t="s">
        <v>1399</v>
      </c>
      <c r="D352" t="s">
        <v>57</v>
      </c>
      <c r="E352">
        <v>2</v>
      </c>
      <c r="F352">
        <v>54.41</v>
      </c>
      <c r="G352" t="s">
        <v>1400</v>
      </c>
      <c r="H352" t="s">
        <v>43</v>
      </c>
      <c r="I352" t="s">
        <v>35</v>
      </c>
      <c r="J352" t="s">
        <v>1401</v>
      </c>
      <c r="K352">
        <v>6</v>
      </c>
      <c r="M352" t="s">
        <v>38</v>
      </c>
      <c r="N352">
        <v>108.82</v>
      </c>
    </row>
    <row r="353" spans="1:14" x14ac:dyDescent="0.3">
      <c r="A353" t="s">
        <v>1402</v>
      </c>
      <c r="B353" s="8">
        <v>45703</v>
      </c>
      <c r="C353" t="s">
        <v>1403</v>
      </c>
      <c r="D353" t="s">
        <v>74</v>
      </c>
      <c r="E353">
        <v>1</v>
      </c>
      <c r="F353">
        <v>64.66</v>
      </c>
      <c r="G353" t="s">
        <v>1404</v>
      </c>
      <c r="H353" t="s">
        <v>34</v>
      </c>
      <c r="I353" t="s">
        <v>66</v>
      </c>
      <c r="J353" t="s">
        <v>1405</v>
      </c>
      <c r="K353">
        <v>4</v>
      </c>
      <c r="M353" t="s">
        <v>38</v>
      </c>
      <c r="N353">
        <v>64.66</v>
      </c>
    </row>
    <row r="354" spans="1:14" x14ac:dyDescent="0.3">
      <c r="A354" t="s">
        <v>1406</v>
      </c>
      <c r="B354" s="8">
        <v>45169</v>
      </c>
      <c r="C354" t="s">
        <v>1407</v>
      </c>
      <c r="D354" t="s">
        <v>57</v>
      </c>
      <c r="E354">
        <v>5</v>
      </c>
      <c r="F354">
        <v>173.96</v>
      </c>
      <c r="G354" t="s">
        <v>1408</v>
      </c>
      <c r="H354" t="s">
        <v>34</v>
      </c>
      <c r="I354" t="s">
        <v>105</v>
      </c>
      <c r="J354" t="s">
        <v>1409</v>
      </c>
      <c r="K354">
        <v>8</v>
      </c>
      <c r="L354" t="s">
        <v>97</v>
      </c>
      <c r="M354" t="s">
        <v>38</v>
      </c>
      <c r="N354">
        <v>869.8</v>
      </c>
    </row>
    <row r="355" spans="1:14" x14ac:dyDescent="0.3">
      <c r="A355" t="s">
        <v>1410</v>
      </c>
      <c r="B355" s="8">
        <v>45744</v>
      </c>
      <c r="C355" t="s">
        <v>1411</v>
      </c>
      <c r="D355" t="s">
        <v>48</v>
      </c>
      <c r="E355">
        <v>1</v>
      </c>
      <c r="F355">
        <v>630.82000000000005</v>
      </c>
      <c r="G355" t="s">
        <v>1412</v>
      </c>
      <c r="H355" t="s">
        <v>43</v>
      </c>
      <c r="I355" t="s">
        <v>66</v>
      </c>
      <c r="J355" t="s">
        <v>1413</v>
      </c>
      <c r="K355">
        <v>5</v>
      </c>
      <c r="L355" t="s">
        <v>53</v>
      </c>
      <c r="M355" t="s">
        <v>92</v>
      </c>
      <c r="N355">
        <v>630.82000000000005</v>
      </c>
    </row>
    <row r="356" spans="1:14" x14ac:dyDescent="0.3">
      <c r="A356" t="s">
        <v>1414</v>
      </c>
      <c r="B356" s="8">
        <v>45118</v>
      </c>
      <c r="C356" t="s">
        <v>1415</v>
      </c>
      <c r="D356" t="s">
        <v>41</v>
      </c>
      <c r="E356">
        <v>1</v>
      </c>
      <c r="F356">
        <v>693.41</v>
      </c>
      <c r="G356" t="s">
        <v>1416</v>
      </c>
      <c r="H356" t="s">
        <v>34</v>
      </c>
      <c r="I356" t="s">
        <v>35</v>
      </c>
      <c r="J356" t="s">
        <v>1417</v>
      </c>
      <c r="K356">
        <v>4</v>
      </c>
      <c r="M356" t="s">
        <v>38</v>
      </c>
      <c r="N356">
        <v>693.41</v>
      </c>
    </row>
    <row r="357" spans="1:14" x14ac:dyDescent="0.3">
      <c r="A357" t="s">
        <v>1418</v>
      </c>
      <c r="B357" s="8">
        <v>45811</v>
      </c>
      <c r="C357" t="s">
        <v>1419</v>
      </c>
      <c r="D357" t="s">
        <v>48</v>
      </c>
      <c r="E357">
        <v>3</v>
      </c>
      <c r="F357">
        <v>433.33</v>
      </c>
      <c r="G357" t="s">
        <v>1420</v>
      </c>
      <c r="H357" t="s">
        <v>50</v>
      </c>
      <c r="I357" t="s">
        <v>51</v>
      </c>
      <c r="J357" t="s">
        <v>1421</v>
      </c>
      <c r="K357">
        <v>4</v>
      </c>
      <c r="L357" t="s">
        <v>53</v>
      </c>
      <c r="M357" t="s">
        <v>45</v>
      </c>
      <c r="N357">
        <v>1299.99</v>
      </c>
    </row>
    <row r="358" spans="1:14" x14ac:dyDescent="0.3">
      <c r="A358" t="s">
        <v>1422</v>
      </c>
      <c r="B358" s="8">
        <v>45052</v>
      </c>
      <c r="C358" t="s">
        <v>1423</v>
      </c>
      <c r="D358" t="s">
        <v>64</v>
      </c>
      <c r="E358">
        <v>5</v>
      </c>
      <c r="F358">
        <v>374.58</v>
      </c>
      <c r="G358" t="s">
        <v>1424</v>
      </c>
      <c r="H358" t="s">
        <v>76</v>
      </c>
      <c r="I358" t="s">
        <v>51</v>
      </c>
      <c r="J358" t="s">
        <v>1425</v>
      </c>
      <c r="K358">
        <v>10</v>
      </c>
      <c r="L358" t="s">
        <v>53</v>
      </c>
      <c r="M358" t="s">
        <v>38</v>
      </c>
      <c r="N358">
        <v>1872.9</v>
      </c>
    </row>
    <row r="359" spans="1:14" x14ac:dyDescent="0.3">
      <c r="A359" t="s">
        <v>1426</v>
      </c>
      <c r="B359" s="8">
        <v>45115</v>
      </c>
      <c r="C359" t="s">
        <v>1427</v>
      </c>
      <c r="D359" t="s">
        <v>74</v>
      </c>
      <c r="E359">
        <v>5</v>
      </c>
      <c r="F359">
        <v>408.56</v>
      </c>
      <c r="G359" t="s">
        <v>1356</v>
      </c>
      <c r="H359" t="s">
        <v>34</v>
      </c>
      <c r="I359" t="s">
        <v>66</v>
      </c>
      <c r="J359" t="s">
        <v>1428</v>
      </c>
      <c r="K359">
        <v>8</v>
      </c>
      <c r="L359" t="s">
        <v>53</v>
      </c>
      <c r="M359" t="s">
        <v>38</v>
      </c>
      <c r="N359">
        <v>2042.8</v>
      </c>
    </row>
    <row r="360" spans="1:14" x14ac:dyDescent="0.3">
      <c r="A360" t="s">
        <v>1429</v>
      </c>
      <c r="B360" s="8">
        <v>45389</v>
      </c>
      <c r="C360" t="s">
        <v>1430</v>
      </c>
      <c r="D360" t="s">
        <v>48</v>
      </c>
      <c r="E360">
        <v>2</v>
      </c>
      <c r="F360">
        <v>183.67</v>
      </c>
      <c r="G360" t="s">
        <v>1431</v>
      </c>
      <c r="H360" t="s">
        <v>43</v>
      </c>
      <c r="I360" t="s">
        <v>51</v>
      </c>
      <c r="J360" t="s">
        <v>1432</v>
      </c>
      <c r="K360">
        <v>3</v>
      </c>
      <c r="L360" t="s">
        <v>37</v>
      </c>
      <c r="M360" t="s">
        <v>92</v>
      </c>
      <c r="N360">
        <v>367.34</v>
      </c>
    </row>
    <row r="361" spans="1:14" x14ac:dyDescent="0.3">
      <c r="A361" t="s">
        <v>1433</v>
      </c>
      <c r="B361" s="8">
        <v>45086</v>
      </c>
      <c r="C361" t="s">
        <v>1434</v>
      </c>
      <c r="D361" t="s">
        <v>89</v>
      </c>
      <c r="E361">
        <v>4</v>
      </c>
      <c r="F361">
        <v>606.57000000000005</v>
      </c>
      <c r="G361" t="s">
        <v>1435</v>
      </c>
      <c r="H361" t="s">
        <v>34</v>
      </c>
      <c r="I361" t="s">
        <v>66</v>
      </c>
      <c r="J361" t="s">
        <v>1436</v>
      </c>
      <c r="K361">
        <v>5</v>
      </c>
      <c r="L361" t="s">
        <v>97</v>
      </c>
      <c r="M361" t="s">
        <v>45</v>
      </c>
      <c r="N361">
        <v>2426.2800000000002</v>
      </c>
    </row>
    <row r="362" spans="1:14" x14ac:dyDescent="0.3">
      <c r="A362" t="s">
        <v>1437</v>
      </c>
      <c r="B362" s="8">
        <v>45449</v>
      </c>
      <c r="C362" t="s">
        <v>1438</v>
      </c>
      <c r="D362" t="s">
        <v>41</v>
      </c>
      <c r="E362">
        <v>4</v>
      </c>
      <c r="F362">
        <v>589.57000000000005</v>
      </c>
      <c r="G362" t="s">
        <v>1439</v>
      </c>
      <c r="H362" t="s">
        <v>81</v>
      </c>
      <c r="I362" t="s">
        <v>105</v>
      </c>
      <c r="J362" t="s">
        <v>1440</v>
      </c>
      <c r="K362">
        <v>8</v>
      </c>
      <c r="M362" t="s">
        <v>38</v>
      </c>
      <c r="N362">
        <v>2358.2800000000002</v>
      </c>
    </row>
    <row r="363" spans="1:14" x14ac:dyDescent="0.3">
      <c r="A363" t="s">
        <v>1441</v>
      </c>
      <c r="B363" s="8">
        <v>45472</v>
      </c>
      <c r="C363" t="s">
        <v>1442</v>
      </c>
      <c r="D363" t="s">
        <v>64</v>
      </c>
      <c r="E363">
        <v>5</v>
      </c>
      <c r="F363">
        <v>659.85</v>
      </c>
      <c r="G363" t="s">
        <v>1443</v>
      </c>
      <c r="H363" t="s">
        <v>50</v>
      </c>
      <c r="I363" t="s">
        <v>66</v>
      </c>
      <c r="J363" t="s">
        <v>1444</v>
      </c>
      <c r="K363">
        <v>9</v>
      </c>
      <c r="L363" t="s">
        <v>37</v>
      </c>
      <c r="M363" t="s">
        <v>61</v>
      </c>
      <c r="N363">
        <v>3299.25</v>
      </c>
    </row>
    <row r="364" spans="1:14" x14ac:dyDescent="0.3">
      <c r="A364" t="s">
        <v>1445</v>
      </c>
      <c r="B364" s="8">
        <v>45104</v>
      </c>
      <c r="C364" t="s">
        <v>1446</v>
      </c>
      <c r="D364" t="s">
        <v>32</v>
      </c>
      <c r="E364">
        <v>4</v>
      </c>
      <c r="F364">
        <v>206.84</v>
      </c>
      <c r="G364" t="s">
        <v>1447</v>
      </c>
      <c r="H364" t="s">
        <v>81</v>
      </c>
      <c r="I364" t="s">
        <v>51</v>
      </c>
      <c r="J364" t="s">
        <v>1448</v>
      </c>
      <c r="K364">
        <v>5</v>
      </c>
      <c r="L364" t="s">
        <v>97</v>
      </c>
      <c r="M364" t="s">
        <v>38</v>
      </c>
      <c r="N364">
        <v>827.36</v>
      </c>
    </row>
    <row r="365" spans="1:14" x14ac:dyDescent="0.3">
      <c r="A365" t="s">
        <v>1449</v>
      </c>
      <c r="B365" s="8">
        <v>45436</v>
      </c>
      <c r="C365" t="s">
        <v>1450</v>
      </c>
      <c r="D365" t="s">
        <v>74</v>
      </c>
      <c r="E365">
        <v>5</v>
      </c>
      <c r="F365">
        <v>113.87</v>
      </c>
      <c r="G365" t="s">
        <v>228</v>
      </c>
      <c r="H365" t="s">
        <v>50</v>
      </c>
      <c r="I365" t="s">
        <v>105</v>
      </c>
      <c r="J365" t="s">
        <v>1451</v>
      </c>
      <c r="K365">
        <v>6</v>
      </c>
      <c r="L365" t="s">
        <v>37</v>
      </c>
      <c r="M365" t="s">
        <v>54</v>
      </c>
      <c r="N365">
        <v>569.35</v>
      </c>
    </row>
    <row r="366" spans="1:14" x14ac:dyDescent="0.3">
      <c r="A366" t="s">
        <v>1452</v>
      </c>
      <c r="B366" s="8">
        <v>45254</v>
      </c>
      <c r="C366" t="s">
        <v>1453</v>
      </c>
      <c r="D366" t="s">
        <v>41</v>
      </c>
      <c r="E366">
        <v>5</v>
      </c>
      <c r="F366">
        <v>628.74</v>
      </c>
      <c r="G366" t="s">
        <v>1137</v>
      </c>
      <c r="H366" t="s">
        <v>81</v>
      </c>
      <c r="I366" t="s">
        <v>51</v>
      </c>
      <c r="J366" t="s">
        <v>1454</v>
      </c>
      <c r="K366">
        <v>9</v>
      </c>
      <c r="L366" t="s">
        <v>53</v>
      </c>
      <c r="M366" t="s">
        <v>61</v>
      </c>
      <c r="N366">
        <v>3143.7</v>
      </c>
    </row>
    <row r="367" spans="1:14" x14ac:dyDescent="0.3">
      <c r="A367" t="s">
        <v>1455</v>
      </c>
      <c r="B367" s="8">
        <v>45702</v>
      </c>
      <c r="C367" t="s">
        <v>1456</v>
      </c>
      <c r="D367" t="s">
        <v>41</v>
      </c>
      <c r="E367">
        <v>1</v>
      </c>
      <c r="F367">
        <v>678.38</v>
      </c>
      <c r="G367" t="s">
        <v>1329</v>
      </c>
      <c r="H367" t="s">
        <v>50</v>
      </c>
      <c r="I367" t="s">
        <v>51</v>
      </c>
      <c r="J367" t="s">
        <v>1457</v>
      </c>
      <c r="K367">
        <v>4</v>
      </c>
      <c r="L367" t="s">
        <v>37</v>
      </c>
      <c r="M367" t="s">
        <v>45</v>
      </c>
      <c r="N367">
        <v>678.38</v>
      </c>
    </row>
    <row r="368" spans="1:14" x14ac:dyDescent="0.3">
      <c r="A368" t="s">
        <v>1458</v>
      </c>
      <c r="B368" s="8">
        <v>44967</v>
      </c>
      <c r="C368" t="s">
        <v>1459</v>
      </c>
      <c r="D368" t="s">
        <v>64</v>
      </c>
      <c r="E368">
        <v>3</v>
      </c>
      <c r="F368">
        <v>602.24</v>
      </c>
      <c r="G368" t="s">
        <v>1460</v>
      </c>
      <c r="H368" t="s">
        <v>34</v>
      </c>
      <c r="I368" t="s">
        <v>105</v>
      </c>
      <c r="J368" t="s">
        <v>1461</v>
      </c>
      <c r="K368">
        <v>8</v>
      </c>
      <c r="M368" t="s">
        <v>45</v>
      </c>
      <c r="N368">
        <v>1806.72</v>
      </c>
    </row>
    <row r="369" spans="1:14" x14ac:dyDescent="0.3">
      <c r="A369" t="s">
        <v>1462</v>
      </c>
      <c r="B369" s="8">
        <v>45407</v>
      </c>
      <c r="C369" t="s">
        <v>1463</v>
      </c>
      <c r="D369" t="s">
        <v>74</v>
      </c>
      <c r="E369">
        <v>5</v>
      </c>
      <c r="F369">
        <v>658.77</v>
      </c>
      <c r="G369" t="s">
        <v>1048</v>
      </c>
      <c r="H369" t="s">
        <v>76</v>
      </c>
      <c r="I369" t="s">
        <v>105</v>
      </c>
      <c r="J369" t="s">
        <v>1464</v>
      </c>
      <c r="K369">
        <v>10</v>
      </c>
      <c r="L369" t="s">
        <v>53</v>
      </c>
      <c r="M369" t="s">
        <v>38</v>
      </c>
      <c r="N369">
        <v>3293.85</v>
      </c>
    </row>
    <row r="370" spans="1:14" x14ac:dyDescent="0.3">
      <c r="A370" t="s">
        <v>1465</v>
      </c>
      <c r="B370" s="8">
        <v>45047</v>
      </c>
      <c r="C370" t="s">
        <v>1466</v>
      </c>
      <c r="D370" t="s">
        <v>32</v>
      </c>
      <c r="E370">
        <v>3</v>
      </c>
      <c r="F370">
        <v>271.02</v>
      </c>
      <c r="G370" t="s">
        <v>1467</v>
      </c>
      <c r="H370" t="s">
        <v>50</v>
      </c>
      <c r="I370" t="s">
        <v>51</v>
      </c>
      <c r="J370" t="s">
        <v>1468</v>
      </c>
      <c r="K370">
        <v>6</v>
      </c>
      <c r="M370" t="s">
        <v>92</v>
      </c>
      <c r="N370">
        <v>813.06</v>
      </c>
    </row>
    <row r="371" spans="1:14" x14ac:dyDescent="0.3">
      <c r="A371" t="s">
        <v>1469</v>
      </c>
      <c r="B371" s="8">
        <v>45648</v>
      </c>
      <c r="C371" t="s">
        <v>1470</v>
      </c>
      <c r="D371" t="s">
        <v>32</v>
      </c>
      <c r="E371">
        <v>5</v>
      </c>
      <c r="F371">
        <v>375.25</v>
      </c>
      <c r="G371" t="s">
        <v>1471</v>
      </c>
      <c r="H371" t="s">
        <v>76</v>
      </c>
      <c r="I371" t="s">
        <v>105</v>
      </c>
      <c r="J371" t="s">
        <v>1472</v>
      </c>
      <c r="K371">
        <v>9</v>
      </c>
      <c r="L371" t="s">
        <v>37</v>
      </c>
      <c r="M371" t="s">
        <v>54</v>
      </c>
      <c r="N371">
        <v>1876.25</v>
      </c>
    </row>
    <row r="372" spans="1:14" x14ac:dyDescent="0.3">
      <c r="A372" t="s">
        <v>1473</v>
      </c>
      <c r="B372" s="8">
        <v>45780</v>
      </c>
      <c r="C372" t="s">
        <v>1474</v>
      </c>
      <c r="D372" t="s">
        <v>41</v>
      </c>
      <c r="E372">
        <v>1</v>
      </c>
      <c r="F372">
        <v>312.11</v>
      </c>
      <c r="G372" t="s">
        <v>1475</v>
      </c>
      <c r="H372" t="s">
        <v>43</v>
      </c>
      <c r="I372" t="s">
        <v>51</v>
      </c>
      <c r="J372" t="s">
        <v>1476</v>
      </c>
      <c r="K372">
        <v>4</v>
      </c>
      <c r="L372" t="s">
        <v>97</v>
      </c>
      <c r="M372" t="s">
        <v>61</v>
      </c>
      <c r="N372">
        <v>312.11</v>
      </c>
    </row>
    <row r="373" spans="1:14" x14ac:dyDescent="0.3">
      <c r="A373" t="s">
        <v>1477</v>
      </c>
      <c r="B373" s="8">
        <v>44931</v>
      </c>
      <c r="C373" t="s">
        <v>1478</v>
      </c>
      <c r="D373" t="s">
        <v>41</v>
      </c>
      <c r="E373">
        <v>5</v>
      </c>
      <c r="F373">
        <v>307.76</v>
      </c>
      <c r="G373" t="s">
        <v>104</v>
      </c>
      <c r="H373" t="s">
        <v>76</v>
      </c>
      <c r="I373" t="s">
        <v>105</v>
      </c>
      <c r="J373" t="s">
        <v>1479</v>
      </c>
      <c r="K373">
        <v>9</v>
      </c>
      <c r="L373" t="s">
        <v>53</v>
      </c>
      <c r="M373" t="s">
        <v>92</v>
      </c>
      <c r="N373">
        <v>1538.8</v>
      </c>
    </row>
    <row r="374" spans="1:14" x14ac:dyDescent="0.3">
      <c r="A374" t="s">
        <v>1480</v>
      </c>
      <c r="B374" s="8">
        <v>45702</v>
      </c>
      <c r="C374" t="s">
        <v>1481</v>
      </c>
      <c r="D374" t="s">
        <v>57</v>
      </c>
      <c r="E374">
        <v>3</v>
      </c>
      <c r="F374">
        <v>483.53</v>
      </c>
      <c r="G374" t="s">
        <v>1482</v>
      </c>
      <c r="H374" t="s">
        <v>81</v>
      </c>
      <c r="I374" t="s">
        <v>59</v>
      </c>
      <c r="J374" t="s">
        <v>1483</v>
      </c>
      <c r="K374">
        <v>4</v>
      </c>
      <c r="M374" t="s">
        <v>45</v>
      </c>
      <c r="N374">
        <v>1450.59</v>
      </c>
    </row>
    <row r="375" spans="1:14" x14ac:dyDescent="0.3">
      <c r="A375" t="s">
        <v>1484</v>
      </c>
      <c r="B375" s="8">
        <v>44928</v>
      </c>
      <c r="C375" t="s">
        <v>1485</v>
      </c>
      <c r="D375" t="s">
        <v>74</v>
      </c>
      <c r="E375">
        <v>3</v>
      </c>
      <c r="F375">
        <v>341.15</v>
      </c>
      <c r="G375" t="s">
        <v>1486</v>
      </c>
      <c r="H375" t="s">
        <v>81</v>
      </c>
      <c r="I375" t="s">
        <v>105</v>
      </c>
      <c r="J375" t="s">
        <v>1487</v>
      </c>
      <c r="K375">
        <v>4</v>
      </c>
      <c r="L375" t="s">
        <v>53</v>
      </c>
      <c r="M375" t="s">
        <v>38</v>
      </c>
      <c r="N375">
        <v>1023.45</v>
      </c>
    </row>
    <row r="376" spans="1:14" x14ac:dyDescent="0.3">
      <c r="A376" t="s">
        <v>1488</v>
      </c>
      <c r="B376" s="8">
        <v>45551</v>
      </c>
      <c r="C376" t="s">
        <v>1489</v>
      </c>
      <c r="D376" t="s">
        <v>32</v>
      </c>
      <c r="E376">
        <v>1</v>
      </c>
      <c r="F376">
        <v>571.9</v>
      </c>
      <c r="G376" t="s">
        <v>343</v>
      </c>
      <c r="H376" t="s">
        <v>76</v>
      </c>
      <c r="I376" t="s">
        <v>105</v>
      </c>
      <c r="J376" t="s">
        <v>1490</v>
      </c>
      <c r="K376">
        <v>1</v>
      </c>
      <c r="L376" t="s">
        <v>97</v>
      </c>
      <c r="M376" t="s">
        <v>38</v>
      </c>
      <c r="N376">
        <v>571.9</v>
      </c>
    </row>
    <row r="377" spans="1:14" x14ac:dyDescent="0.3">
      <c r="A377" t="s">
        <v>1491</v>
      </c>
      <c r="B377" s="8">
        <v>45673</v>
      </c>
      <c r="C377" t="s">
        <v>1492</v>
      </c>
      <c r="D377" t="s">
        <v>32</v>
      </c>
      <c r="E377">
        <v>4</v>
      </c>
      <c r="F377">
        <v>95.03</v>
      </c>
      <c r="G377" t="s">
        <v>1493</v>
      </c>
      <c r="H377" t="s">
        <v>43</v>
      </c>
      <c r="I377" t="s">
        <v>35</v>
      </c>
      <c r="J377" t="s">
        <v>1494</v>
      </c>
      <c r="K377">
        <v>8</v>
      </c>
      <c r="L377" t="s">
        <v>53</v>
      </c>
      <c r="M377" t="s">
        <v>61</v>
      </c>
      <c r="N377">
        <v>380.12</v>
      </c>
    </row>
    <row r="378" spans="1:14" x14ac:dyDescent="0.3">
      <c r="A378" t="s">
        <v>1495</v>
      </c>
      <c r="B378" s="8">
        <v>45162</v>
      </c>
      <c r="C378" t="s">
        <v>1496</v>
      </c>
      <c r="D378" t="s">
        <v>32</v>
      </c>
      <c r="E378">
        <v>5</v>
      </c>
      <c r="F378">
        <v>201.22</v>
      </c>
      <c r="G378" t="s">
        <v>1497</v>
      </c>
      <c r="H378" t="s">
        <v>34</v>
      </c>
      <c r="I378" t="s">
        <v>105</v>
      </c>
      <c r="J378" t="s">
        <v>1498</v>
      </c>
      <c r="K378">
        <v>6</v>
      </c>
      <c r="L378" t="s">
        <v>53</v>
      </c>
      <c r="M378" t="s">
        <v>61</v>
      </c>
      <c r="N378">
        <v>1006.1</v>
      </c>
    </row>
    <row r="379" spans="1:14" x14ac:dyDescent="0.3">
      <c r="A379" t="s">
        <v>1499</v>
      </c>
      <c r="B379" s="8">
        <v>45495</v>
      </c>
      <c r="C379" t="s">
        <v>1500</v>
      </c>
      <c r="D379" t="s">
        <v>32</v>
      </c>
      <c r="E379">
        <v>1</v>
      </c>
      <c r="F379">
        <v>260.26</v>
      </c>
      <c r="G379" t="s">
        <v>1245</v>
      </c>
      <c r="H379" t="s">
        <v>43</v>
      </c>
      <c r="I379" t="s">
        <v>105</v>
      </c>
      <c r="J379" t="s">
        <v>1501</v>
      </c>
      <c r="K379">
        <v>5</v>
      </c>
      <c r="L379" t="s">
        <v>97</v>
      </c>
      <c r="M379" t="s">
        <v>38</v>
      </c>
      <c r="N379">
        <v>260.26</v>
      </c>
    </row>
    <row r="380" spans="1:14" x14ac:dyDescent="0.3">
      <c r="A380" t="s">
        <v>1502</v>
      </c>
      <c r="B380" s="8">
        <v>45323</v>
      </c>
      <c r="C380" t="s">
        <v>1503</v>
      </c>
      <c r="D380" t="s">
        <v>57</v>
      </c>
      <c r="E380">
        <v>5</v>
      </c>
      <c r="F380">
        <v>64.5</v>
      </c>
      <c r="G380" t="s">
        <v>1504</v>
      </c>
      <c r="H380" t="s">
        <v>50</v>
      </c>
      <c r="I380" t="s">
        <v>105</v>
      </c>
      <c r="J380" t="s">
        <v>1505</v>
      </c>
      <c r="K380">
        <v>8</v>
      </c>
      <c r="L380" t="s">
        <v>97</v>
      </c>
      <c r="M380" t="s">
        <v>38</v>
      </c>
      <c r="N380">
        <v>322.5</v>
      </c>
    </row>
    <row r="381" spans="1:14" x14ac:dyDescent="0.3">
      <c r="A381" t="s">
        <v>1506</v>
      </c>
      <c r="B381" s="8">
        <v>45556</v>
      </c>
      <c r="C381" t="s">
        <v>1507</v>
      </c>
      <c r="D381" t="s">
        <v>41</v>
      </c>
      <c r="E381">
        <v>3</v>
      </c>
      <c r="F381">
        <v>297.67</v>
      </c>
      <c r="G381" t="s">
        <v>755</v>
      </c>
      <c r="H381" t="s">
        <v>43</v>
      </c>
      <c r="I381" t="s">
        <v>35</v>
      </c>
      <c r="J381" t="s">
        <v>1508</v>
      </c>
      <c r="K381">
        <v>6</v>
      </c>
      <c r="M381" t="s">
        <v>92</v>
      </c>
      <c r="N381">
        <v>893.01</v>
      </c>
    </row>
    <row r="382" spans="1:14" x14ac:dyDescent="0.3">
      <c r="A382" t="s">
        <v>1509</v>
      </c>
      <c r="B382" s="8">
        <v>45402</v>
      </c>
      <c r="C382" t="s">
        <v>1510</v>
      </c>
      <c r="D382" t="s">
        <v>64</v>
      </c>
      <c r="E382">
        <v>4</v>
      </c>
      <c r="F382">
        <v>331.9</v>
      </c>
      <c r="G382" t="s">
        <v>1097</v>
      </c>
      <c r="H382" t="s">
        <v>81</v>
      </c>
      <c r="I382" t="s">
        <v>105</v>
      </c>
      <c r="J382" t="s">
        <v>1511</v>
      </c>
      <c r="K382">
        <v>5</v>
      </c>
      <c r="L382" t="s">
        <v>37</v>
      </c>
      <c r="M382" t="s">
        <v>38</v>
      </c>
      <c r="N382">
        <v>1327.6</v>
      </c>
    </row>
    <row r="383" spans="1:14" x14ac:dyDescent="0.3">
      <c r="A383" t="s">
        <v>1512</v>
      </c>
      <c r="B383" s="8">
        <v>45084</v>
      </c>
      <c r="C383" t="s">
        <v>1513</v>
      </c>
      <c r="D383" t="s">
        <v>57</v>
      </c>
      <c r="E383">
        <v>1</v>
      </c>
      <c r="F383">
        <v>191.76</v>
      </c>
      <c r="G383" t="s">
        <v>239</v>
      </c>
      <c r="H383" t="s">
        <v>50</v>
      </c>
      <c r="I383" t="s">
        <v>59</v>
      </c>
      <c r="J383" t="s">
        <v>1514</v>
      </c>
      <c r="K383">
        <v>1</v>
      </c>
      <c r="L383" t="s">
        <v>53</v>
      </c>
      <c r="M383" t="s">
        <v>38</v>
      </c>
      <c r="N383">
        <v>191.76</v>
      </c>
    </row>
    <row r="384" spans="1:14" x14ac:dyDescent="0.3">
      <c r="A384" t="s">
        <v>1515</v>
      </c>
      <c r="B384" s="8">
        <v>45687</v>
      </c>
      <c r="C384" t="s">
        <v>1516</v>
      </c>
      <c r="D384" t="s">
        <v>64</v>
      </c>
      <c r="E384">
        <v>4</v>
      </c>
      <c r="F384">
        <v>263.08999999999997</v>
      </c>
      <c r="G384" t="s">
        <v>1517</v>
      </c>
      <c r="H384" t="s">
        <v>34</v>
      </c>
      <c r="I384" t="s">
        <v>35</v>
      </c>
      <c r="J384" t="s">
        <v>1518</v>
      </c>
      <c r="K384">
        <v>8</v>
      </c>
      <c r="L384" t="s">
        <v>37</v>
      </c>
      <c r="M384" t="s">
        <v>92</v>
      </c>
      <c r="N384">
        <v>1052.3599999999999</v>
      </c>
    </row>
    <row r="385" spans="1:14" x14ac:dyDescent="0.3">
      <c r="A385" t="s">
        <v>1519</v>
      </c>
      <c r="B385" s="8">
        <v>44946</v>
      </c>
      <c r="C385" t="s">
        <v>1520</v>
      </c>
      <c r="D385" t="s">
        <v>57</v>
      </c>
      <c r="E385">
        <v>4</v>
      </c>
      <c r="F385">
        <v>393.8</v>
      </c>
      <c r="G385" t="s">
        <v>423</v>
      </c>
      <c r="H385" t="s">
        <v>50</v>
      </c>
      <c r="I385" t="s">
        <v>105</v>
      </c>
      <c r="J385" t="s">
        <v>1521</v>
      </c>
      <c r="K385">
        <v>7</v>
      </c>
      <c r="L385" t="s">
        <v>37</v>
      </c>
      <c r="M385" t="s">
        <v>54</v>
      </c>
      <c r="N385">
        <v>1575.2</v>
      </c>
    </row>
    <row r="386" spans="1:14" x14ac:dyDescent="0.3">
      <c r="A386" t="s">
        <v>1522</v>
      </c>
      <c r="B386" s="8">
        <v>45620</v>
      </c>
      <c r="C386" t="s">
        <v>1523</v>
      </c>
      <c r="D386" t="s">
        <v>57</v>
      </c>
      <c r="E386">
        <v>3</v>
      </c>
      <c r="F386">
        <v>553.57000000000005</v>
      </c>
      <c r="G386" t="s">
        <v>1524</v>
      </c>
      <c r="H386" t="s">
        <v>50</v>
      </c>
      <c r="I386" t="s">
        <v>59</v>
      </c>
      <c r="J386" t="s">
        <v>1525</v>
      </c>
      <c r="K386">
        <v>4</v>
      </c>
      <c r="L386" t="s">
        <v>53</v>
      </c>
      <c r="M386" t="s">
        <v>61</v>
      </c>
      <c r="N386">
        <v>1660.71</v>
      </c>
    </row>
    <row r="387" spans="1:14" x14ac:dyDescent="0.3">
      <c r="A387" t="s">
        <v>1526</v>
      </c>
      <c r="B387" s="8">
        <v>45230</v>
      </c>
      <c r="C387" t="s">
        <v>1527</v>
      </c>
      <c r="D387" t="s">
        <v>57</v>
      </c>
      <c r="E387">
        <v>5</v>
      </c>
      <c r="F387">
        <v>191.63</v>
      </c>
      <c r="G387" t="s">
        <v>309</v>
      </c>
      <c r="H387" t="s">
        <v>76</v>
      </c>
      <c r="I387" t="s">
        <v>66</v>
      </c>
      <c r="J387" t="s">
        <v>1528</v>
      </c>
      <c r="K387">
        <v>6</v>
      </c>
      <c r="L387" t="s">
        <v>53</v>
      </c>
      <c r="M387" t="s">
        <v>61</v>
      </c>
      <c r="N387">
        <v>958.15</v>
      </c>
    </row>
    <row r="388" spans="1:14" x14ac:dyDescent="0.3">
      <c r="A388" t="s">
        <v>1529</v>
      </c>
      <c r="B388" s="8">
        <v>45044</v>
      </c>
      <c r="C388" t="s">
        <v>1530</v>
      </c>
      <c r="D388" t="s">
        <v>48</v>
      </c>
      <c r="E388">
        <v>1</v>
      </c>
      <c r="F388">
        <v>93.02</v>
      </c>
      <c r="G388" t="s">
        <v>1531</v>
      </c>
      <c r="H388" t="s">
        <v>43</v>
      </c>
      <c r="I388" t="s">
        <v>59</v>
      </c>
      <c r="J388" t="s">
        <v>1532</v>
      </c>
      <c r="K388">
        <v>4</v>
      </c>
      <c r="M388" t="s">
        <v>54</v>
      </c>
      <c r="N388">
        <v>93.02</v>
      </c>
    </row>
    <row r="389" spans="1:14" x14ac:dyDescent="0.3">
      <c r="A389" t="s">
        <v>1533</v>
      </c>
      <c r="B389" s="8">
        <v>45470</v>
      </c>
      <c r="C389" t="s">
        <v>1534</v>
      </c>
      <c r="D389" t="s">
        <v>64</v>
      </c>
      <c r="E389">
        <v>2</v>
      </c>
      <c r="F389">
        <v>39.53</v>
      </c>
      <c r="G389" t="s">
        <v>85</v>
      </c>
      <c r="H389" t="s">
        <v>50</v>
      </c>
      <c r="I389" t="s">
        <v>35</v>
      </c>
      <c r="J389" t="s">
        <v>1535</v>
      </c>
      <c r="K389">
        <v>3</v>
      </c>
      <c r="L389" t="s">
        <v>97</v>
      </c>
      <c r="M389" t="s">
        <v>92</v>
      </c>
      <c r="N389">
        <v>79.06</v>
      </c>
    </row>
    <row r="390" spans="1:14" x14ac:dyDescent="0.3">
      <c r="A390" t="s">
        <v>1536</v>
      </c>
      <c r="B390" s="8">
        <v>45288</v>
      </c>
      <c r="C390" t="s">
        <v>1537</v>
      </c>
      <c r="D390" t="s">
        <v>64</v>
      </c>
      <c r="E390">
        <v>3</v>
      </c>
      <c r="F390">
        <v>633.97</v>
      </c>
      <c r="G390" t="s">
        <v>454</v>
      </c>
      <c r="H390" t="s">
        <v>81</v>
      </c>
      <c r="I390" t="s">
        <v>105</v>
      </c>
      <c r="J390" t="s">
        <v>1538</v>
      </c>
      <c r="K390">
        <v>7</v>
      </c>
      <c r="L390" t="s">
        <v>97</v>
      </c>
      <c r="M390" t="s">
        <v>61</v>
      </c>
      <c r="N390">
        <v>1901.91</v>
      </c>
    </row>
    <row r="391" spans="1:14" x14ac:dyDescent="0.3">
      <c r="A391" t="s">
        <v>1539</v>
      </c>
      <c r="B391" s="8">
        <v>45277</v>
      </c>
      <c r="C391" t="s">
        <v>1540</v>
      </c>
      <c r="D391" t="s">
        <v>89</v>
      </c>
      <c r="E391">
        <v>4</v>
      </c>
      <c r="F391">
        <v>697.5</v>
      </c>
      <c r="G391" t="s">
        <v>1541</v>
      </c>
      <c r="H391" t="s">
        <v>81</v>
      </c>
      <c r="I391" t="s">
        <v>35</v>
      </c>
      <c r="J391" t="s">
        <v>1542</v>
      </c>
      <c r="K391">
        <v>7</v>
      </c>
      <c r="L391" t="s">
        <v>53</v>
      </c>
      <c r="M391" t="s">
        <v>45</v>
      </c>
      <c r="N391">
        <v>2790</v>
      </c>
    </row>
    <row r="392" spans="1:14" x14ac:dyDescent="0.3">
      <c r="A392" t="s">
        <v>1543</v>
      </c>
      <c r="B392" s="8">
        <v>45121</v>
      </c>
      <c r="C392" t="s">
        <v>1544</v>
      </c>
      <c r="D392" t="s">
        <v>64</v>
      </c>
      <c r="E392">
        <v>5</v>
      </c>
      <c r="F392">
        <v>508.69</v>
      </c>
      <c r="G392" t="s">
        <v>1392</v>
      </c>
      <c r="H392" t="s">
        <v>81</v>
      </c>
      <c r="I392" t="s">
        <v>66</v>
      </c>
      <c r="J392" t="s">
        <v>1545</v>
      </c>
      <c r="K392">
        <v>10</v>
      </c>
      <c r="L392" t="s">
        <v>53</v>
      </c>
      <c r="M392" t="s">
        <v>92</v>
      </c>
      <c r="N392">
        <v>2543.4499999999998</v>
      </c>
    </row>
    <row r="393" spans="1:14" x14ac:dyDescent="0.3">
      <c r="A393" t="s">
        <v>1546</v>
      </c>
      <c r="B393" s="8">
        <v>45673</v>
      </c>
      <c r="C393" t="s">
        <v>1547</v>
      </c>
      <c r="D393" t="s">
        <v>74</v>
      </c>
      <c r="E393">
        <v>2</v>
      </c>
      <c r="F393">
        <v>527.46</v>
      </c>
      <c r="G393" t="s">
        <v>1153</v>
      </c>
      <c r="H393" t="s">
        <v>34</v>
      </c>
      <c r="I393" t="s">
        <v>51</v>
      </c>
      <c r="J393" t="s">
        <v>1548</v>
      </c>
      <c r="K393">
        <v>3</v>
      </c>
      <c r="L393" t="s">
        <v>53</v>
      </c>
      <c r="M393" t="s">
        <v>45</v>
      </c>
      <c r="N393">
        <v>1054.92</v>
      </c>
    </row>
    <row r="394" spans="1:14" x14ac:dyDescent="0.3">
      <c r="A394" t="s">
        <v>1549</v>
      </c>
      <c r="B394" s="8">
        <v>45350</v>
      </c>
      <c r="C394" t="s">
        <v>1550</v>
      </c>
      <c r="D394" t="s">
        <v>41</v>
      </c>
      <c r="E394">
        <v>1</v>
      </c>
      <c r="F394">
        <v>627.20000000000005</v>
      </c>
      <c r="G394" t="s">
        <v>1443</v>
      </c>
      <c r="H394" t="s">
        <v>43</v>
      </c>
      <c r="I394" t="s">
        <v>66</v>
      </c>
      <c r="J394" t="s">
        <v>1551</v>
      </c>
      <c r="K394">
        <v>1</v>
      </c>
      <c r="L394" t="s">
        <v>97</v>
      </c>
      <c r="M394" t="s">
        <v>54</v>
      </c>
      <c r="N394">
        <v>627.20000000000005</v>
      </c>
    </row>
    <row r="395" spans="1:14" x14ac:dyDescent="0.3">
      <c r="A395" t="s">
        <v>1552</v>
      </c>
      <c r="B395" s="8">
        <v>45487</v>
      </c>
      <c r="C395" t="s">
        <v>1553</v>
      </c>
      <c r="D395" t="s">
        <v>64</v>
      </c>
      <c r="E395">
        <v>1</v>
      </c>
      <c r="F395">
        <v>75.010000000000005</v>
      </c>
      <c r="G395" t="s">
        <v>1554</v>
      </c>
      <c r="H395" t="s">
        <v>50</v>
      </c>
      <c r="I395" t="s">
        <v>59</v>
      </c>
      <c r="J395" t="s">
        <v>1555</v>
      </c>
      <c r="K395">
        <v>3</v>
      </c>
      <c r="M395" t="s">
        <v>92</v>
      </c>
      <c r="N395">
        <v>75.010000000000005</v>
      </c>
    </row>
    <row r="396" spans="1:14" x14ac:dyDescent="0.3">
      <c r="A396" t="s">
        <v>1556</v>
      </c>
      <c r="B396" s="8">
        <v>45112</v>
      </c>
      <c r="C396" t="s">
        <v>1557</v>
      </c>
      <c r="D396" t="s">
        <v>89</v>
      </c>
      <c r="E396">
        <v>5</v>
      </c>
      <c r="F396">
        <v>529.54999999999995</v>
      </c>
      <c r="G396" t="s">
        <v>1558</v>
      </c>
      <c r="H396" t="s">
        <v>76</v>
      </c>
      <c r="I396" t="s">
        <v>35</v>
      </c>
      <c r="J396" t="s">
        <v>1559</v>
      </c>
      <c r="K396">
        <v>10</v>
      </c>
      <c r="M396" t="s">
        <v>61</v>
      </c>
      <c r="N396">
        <v>2647.75</v>
      </c>
    </row>
    <row r="397" spans="1:14" x14ac:dyDescent="0.3">
      <c r="A397" t="s">
        <v>1560</v>
      </c>
      <c r="B397" s="8">
        <v>45772</v>
      </c>
      <c r="C397" t="s">
        <v>1561</v>
      </c>
      <c r="D397" t="s">
        <v>41</v>
      </c>
      <c r="E397">
        <v>3</v>
      </c>
      <c r="F397">
        <v>127.41</v>
      </c>
      <c r="G397" t="s">
        <v>185</v>
      </c>
      <c r="H397" t="s">
        <v>76</v>
      </c>
      <c r="I397" t="s">
        <v>66</v>
      </c>
      <c r="J397" t="s">
        <v>1562</v>
      </c>
      <c r="K397">
        <v>7</v>
      </c>
      <c r="L397" t="s">
        <v>37</v>
      </c>
      <c r="M397" t="s">
        <v>45</v>
      </c>
      <c r="N397">
        <v>382.23</v>
      </c>
    </row>
    <row r="398" spans="1:14" x14ac:dyDescent="0.3">
      <c r="A398" t="s">
        <v>1563</v>
      </c>
      <c r="B398" s="8">
        <v>45261</v>
      </c>
      <c r="C398" t="s">
        <v>1564</v>
      </c>
      <c r="D398" t="s">
        <v>48</v>
      </c>
      <c r="E398">
        <v>5</v>
      </c>
      <c r="F398">
        <v>287.13</v>
      </c>
      <c r="G398" t="s">
        <v>1565</v>
      </c>
      <c r="H398" t="s">
        <v>43</v>
      </c>
      <c r="I398" t="s">
        <v>35</v>
      </c>
      <c r="J398" t="s">
        <v>1566</v>
      </c>
      <c r="K398">
        <v>10</v>
      </c>
      <c r="L398" t="s">
        <v>37</v>
      </c>
      <c r="M398" t="s">
        <v>54</v>
      </c>
      <c r="N398">
        <v>1435.65</v>
      </c>
    </row>
    <row r="399" spans="1:14" x14ac:dyDescent="0.3">
      <c r="A399" t="s">
        <v>1567</v>
      </c>
      <c r="B399" s="8">
        <v>45197</v>
      </c>
      <c r="C399" t="s">
        <v>1568</v>
      </c>
      <c r="D399" t="s">
        <v>32</v>
      </c>
      <c r="E399">
        <v>1</v>
      </c>
      <c r="F399">
        <v>427.06</v>
      </c>
      <c r="G399" t="s">
        <v>1569</v>
      </c>
      <c r="H399" t="s">
        <v>43</v>
      </c>
      <c r="I399" t="s">
        <v>51</v>
      </c>
      <c r="J399" t="s">
        <v>1570</v>
      </c>
      <c r="K399">
        <v>1</v>
      </c>
      <c r="L399" t="s">
        <v>97</v>
      </c>
      <c r="M399" t="s">
        <v>45</v>
      </c>
      <c r="N399">
        <v>427.06</v>
      </c>
    </row>
    <row r="400" spans="1:14" x14ac:dyDescent="0.3">
      <c r="A400" t="s">
        <v>1571</v>
      </c>
      <c r="B400" s="8">
        <v>45539</v>
      </c>
      <c r="C400" t="s">
        <v>1572</v>
      </c>
      <c r="D400" t="s">
        <v>41</v>
      </c>
      <c r="E400">
        <v>5</v>
      </c>
      <c r="F400">
        <v>53.93</v>
      </c>
      <c r="G400" t="s">
        <v>857</v>
      </c>
      <c r="H400" t="s">
        <v>76</v>
      </c>
      <c r="I400" t="s">
        <v>35</v>
      </c>
      <c r="J400" t="s">
        <v>1573</v>
      </c>
      <c r="K400">
        <v>7</v>
      </c>
      <c r="L400" t="s">
        <v>37</v>
      </c>
      <c r="M400" t="s">
        <v>38</v>
      </c>
      <c r="N400">
        <v>269.64999999999998</v>
      </c>
    </row>
    <row r="401" spans="1:14" x14ac:dyDescent="0.3">
      <c r="A401" t="s">
        <v>1574</v>
      </c>
      <c r="B401" s="8">
        <v>45298</v>
      </c>
      <c r="C401" t="s">
        <v>1575</v>
      </c>
      <c r="D401" t="s">
        <v>48</v>
      </c>
      <c r="E401">
        <v>5</v>
      </c>
      <c r="F401">
        <v>423.93</v>
      </c>
      <c r="G401" t="s">
        <v>1576</v>
      </c>
      <c r="H401" t="s">
        <v>34</v>
      </c>
      <c r="I401" t="s">
        <v>59</v>
      </c>
      <c r="J401" t="s">
        <v>1577</v>
      </c>
      <c r="K401">
        <v>5</v>
      </c>
      <c r="L401" t="s">
        <v>53</v>
      </c>
      <c r="M401" t="s">
        <v>61</v>
      </c>
      <c r="N401">
        <v>2119.65</v>
      </c>
    </row>
    <row r="402" spans="1:14" x14ac:dyDescent="0.3">
      <c r="A402" t="s">
        <v>1578</v>
      </c>
      <c r="B402" s="8">
        <v>45563</v>
      </c>
      <c r="C402" t="s">
        <v>1579</v>
      </c>
      <c r="D402" t="s">
        <v>89</v>
      </c>
      <c r="E402">
        <v>4</v>
      </c>
      <c r="F402">
        <v>160.22</v>
      </c>
      <c r="G402" t="s">
        <v>1580</v>
      </c>
      <c r="H402" t="s">
        <v>34</v>
      </c>
      <c r="I402" t="s">
        <v>59</v>
      </c>
      <c r="J402" t="s">
        <v>1581</v>
      </c>
      <c r="K402">
        <v>9</v>
      </c>
      <c r="L402" t="s">
        <v>97</v>
      </c>
      <c r="M402" t="s">
        <v>38</v>
      </c>
      <c r="N402">
        <v>640.88</v>
      </c>
    </row>
    <row r="403" spans="1:14" x14ac:dyDescent="0.3">
      <c r="A403" t="s">
        <v>1582</v>
      </c>
      <c r="B403" s="8">
        <v>45756</v>
      </c>
      <c r="C403" t="s">
        <v>1583</v>
      </c>
      <c r="D403" t="s">
        <v>64</v>
      </c>
      <c r="E403">
        <v>1</v>
      </c>
      <c r="F403">
        <v>538.67999999999995</v>
      </c>
      <c r="G403" t="s">
        <v>1443</v>
      </c>
      <c r="H403" t="s">
        <v>34</v>
      </c>
      <c r="I403" t="s">
        <v>59</v>
      </c>
      <c r="J403" t="s">
        <v>1584</v>
      </c>
      <c r="K403">
        <v>6</v>
      </c>
      <c r="M403" t="s">
        <v>45</v>
      </c>
      <c r="N403">
        <v>538.67999999999995</v>
      </c>
    </row>
    <row r="404" spans="1:14" x14ac:dyDescent="0.3">
      <c r="A404" t="s">
        <v>1585</v>
      </c>
      <c r="B404" s="8">
        <v>45025</v>
      </c>
      <c r="C404" t="s">
        <v>1586</v>
      </c>
      <c r="D404" t="s">
        <v>64</v>
      </c>
      <c r="E404">
        <v>5</v>
      </c>
      <c r="F404">
        <v>337.38</v>
      </c>
      <c r="G404" t="s">
        <v>1587</v>
      </c>
      <c r="H404" t="s">
        <v>76</v>
      </c>
      <c r="I404" t="s">
        <v>35</v>
      </c>
      <c r="J404" t="s">
        <v>1588</v>
      </c>
      <c r="K404">
        <v>5</v>
      </c>
      <c r="M404" t="s">
        <v>45</v>
      </c>
      <c r="N404">
        <v>1686.9</v>
      </c>
    </row>
    <row r="405" spans="1:14" x14ac:dyDescent="0.3">
      <c r="A405" t="s">
        <v>1589</v>
      </c>
      <c r="B405" s="8">
        <v>45606</v>
      </c>
      <c r="C405" t="s">
        <v>1590</v>
      </c>
      <c r="D405" t="s">
        <v>48</v>
      </c>
      <c r="E405">
        <v>1</v>
      </c>
      <c r="F405">
        <v>620.21</v>
      </c>
      <c r="G405" t="s">
        <v>1137</v>
      </c>
      <c r="H405" t="s">
        <v>43</v>
      </c>
      <c r="I405" t="s">
        <v>59</v>
      </c>
      <c r="J405" t="s">
        <v>1591</v>
      </c>
      <c r="K405">
        <v>1</v>
      </c>
      <c r="L405" t="s">
        <v>53</v>
      </c>
      <c r="M405" t="s">
        <v>45</v>
      </c>
      <c r="N405">
        <v>620.21</v>
      </c>
    </row>
    <row r="406" spans="1:14" x14ac:dyDescent="0.3">
      <c r="A406" t="s">
        <v>1592</v>
      </c>
      <c r="B406" s="8">
        <v>44994</v>
      </c>
      <c r="C406" t="s">
        <v>1593</v>
      </c>
      <c r="D406" t="s">
        <v>32</v>
      </c>
      <c r="E406">
        <v>2</v>
      </c>
      <c r="F406">
        <v>99.1</v>
      </c>
      <c r="G406" t="s">
        <v>321</v>
      </c>
      <c r="H406" t="s">
        <v>81</v>
      </c>
      <c r="I406" t="s">
        <v>66</v>
      </c>
      <c r="J406" t="s">
        <v>1594</v>
      </c>
      <c r="K406">
        <v>6</v>
      </c>
      <c r="M406" t="s">
        <v>38</v>
      </c>
      <c r="N406">
        <v>198.2</v>
      </c>
    </row>
    <row r="407" spans="1:14" x14ac:dyDescent="0.3">
      <c r="A407" t="s">
        <v>1595</v>
      </c>
      <c r="B407" s="8">
        <v>45683</v>
      </c>
      <c r="C407" t="s">
        <v>1596</v>
      </c>
      <c r="D407" t="s">
        <v>32</v>
      </c>
      <c r="E407">
        <v>4</v>
      </c>
      <c r="F407">
        <v>451.97</v>
      </c>
      <c r="G407" t="s">
        <v>1460</v>
      </c>
      <c r="H407" t="s">
        <v>43</v>
      </c>
      <c r="I407" t="s">
        <v>51</v>
      </c>
      <c r="J407" t="s">
        <v>1597</v>
      </c>
      <c r="K407">
        <v>7</v>
      </c>
      <c r="L407" t="s">
        <v>97</v>
      </c>
      <c r="M407" t="s">
        <v>54</v>
      </c>
      <c r="N407">
        <v>1807.88</v>
      </c>
    </row>
    <row r="408" spans="1:14" x14ac:dyDescent="0.3">
      <c r="A408" t="s">
        <v>1598</v>
      </c>
      <c r="B408" s="8">
        <v>45270</v>
      </c>
      <c r="C408" t="s">
        <v>1599</v>
      </c>
      <c r="D408" t="s">
        <v>48</v>
      </c>
      <c r="E408">
        <v>4</v>
      </c>
      <c r="F408">
        <v>66.099999999999994</v>
      </c>
      <c r="G408" t="s">
        <v>779</v>
      </c>
      <c r="H408" t="s">
        <v>81</v>
      </c>
      <c r="I408" t="s">
        <v>59</v>
      </c>
      <c r="J408" t="s">
        <v>1600</v>
      </c>
      <c r="K408">
        <v>9</v>
      </c>
      <c r="L408" t="s">
        <v>97</v>
      </c>
      <c r="M408" t="s">
        <v>92</v>
      </c>
      <c r="N408">
        <v>264.39999999999998</v>
      </c>
    </row>
    <row r="409" spans="1:14" x14ac:dyDescent="0.3">
      <c r="A409" t="s">
        <v>1601</v>
      </c>
      <c r="B409" s="8">
        <v>45151</v>
      </c>
      <c r="C409" t="s">
        <v>1602</v>
      </c>
      <c r="D409" t="s">
        <v>48</v>
      </c>
      <c r="E409">
        <v>4</v>
      </c>
      <c r="F409">
        <v>547.32000000000005</v>
      </c>
      <c r="G409" t="s">
        <v>1070</v>
      </c>
      <c r="H409" t="s">
        <v>81</v>
      </c>
      <c r="I409" t="s">
        <v>59</v>
      </c>
      <c r="J409" t="s">
        <v>1603</v>
      </c>
      <c r="K409">
        <v>8</v>
      </c>
      <c r="L409" t="s">
        <v>53</v>
      </c>
      <c r="M409" t="s">
        <v>38</v>
      </c>
      <c r="N409">
        <v>2189.2800000000002</v>
      </c>
    </row>
    <row r="410" spans="1:14" x14ac:dyDescent="0.3">
      <c r="A410" t="s">
        <v>1604</v>
      </c>
      <c r="B410" s="8">
        <v>45658</v>
      </c>
      <c r="C410" t="s">
        <v>1605</v>
      </c>
      <c r="D410" t="s">
        <v>64</v>
      </c>
      <c r="E410">
        <v>3</v>
      </c>
      <c r="F410">
        <v>412.53</v>
      </c>
      <c r="G410" t="s">
        <v>1606</v>
      </c>
      <c r="H410" t="s">
        <v>43</v>
      </c>
      <c r="I410" t="s">
        <v>105</v>
      </c>
      <c r="J410" t="s">
        <v>1607</v>
      </c>
      <c r="K410">
        <v>6</v>
      </c>
      <c r="L410" t="s">
        <v>97</v>
      </c>
      <c r="M410" t="s">
        <v>92</v>
      </c>
      <c r="N410">
        <v>1237.5899999999999</v>
      </c>
    </row>
    <row r="411" spans="1:14" x14ac:dyDescent="0.3">
      <c r="A411" t="s">
        <v>1608</v>
      </c>
      <c r="B411" s="8">
        <v>45105</v>
      </c>
      <c r="C411" t="s">
        <v>1609</v>
      </c>
      <c r="D411" t="s">
        <v>89</v>
      </c>
      <c r="E411">
        <v>5</v>
      </c>
      <c r="F411">
        <v>84.13</v>
      </c>
      <c r="G411" t="s">
        <v>1610</v>
      </c>
      <c r="H411" t="s">
        <v>43</v>
      </c>
      <c r="I411" t="s">
        <v>66</v>
      </c>
      <c r="J411" t="s">
        <v>1611</v>
      </c>
      <c r="K411">
        <v>9</v>
      </c>
      <c r="L411" t="s">
        <v>37</v>
      </c>
      <c r="M411" t="s">
        <v>92</v>
      </c>
      <c r="N411">
        <v>420.65</v>
      </c>
    </row>
    <row r="412" spans="1:14" x14ac:dyDescent="0.3">
      <c r="A412" t="s">
        <v>1612</v>
      </c>
      <c r="B412" s="8">
        <v>45309</v>
      </c>
      <c r="C412" t="s">
        <v>1613</v>
      </c>
      <c r="D412" t="s">
        <v>48</v>
      </c>
      <c r="E412">
        <v>2</v>
      </c>
      <c r="F412">
        <v>518.23</v>
      </c>
      <c r="G412" t="s">
        <v>1614</v>
      </c>
      <c r="H412" t="s">
        <v>34</v>
      </c>
      <c r="I412" t="s">
        <v>35</v>
      </c>
      <c r="J412" t="s">
        <v>1615</v>
      </c>
      <c r="K412">
        <v>5</v>
      </c>
      <c r="M412" t="s">
        <v>54</v>
      </c>
      <c r="N412">
        <v>1036.46</v>
      </c>
    </row>
    <row r="413" spans="1:14" x14ac:dyDescent="0.3">
      <c r="A413" t="s">
        <v>1616</v>
      </c>
      <c r="B413" s="8">
        <v>45462</v>
      </c>
      <c r="C413" t="s">
        <v>1617</v>
      </c>
      <c r="D413" t="s">
        <v>89</v>
      </c>
      <c r="E413">
        <v>2</v>
      </c>
      <c r="F413">
        <v>39.51</v>
      </c>
      <c r="G413" t="s">
        <v>646</v>
      </c>
      <c r="H413" t="s">
        <v>43</v>
      </c>
      <c r="I413" t="s">
        <v>35</v>
      </c>
      <c r="J413" t="s">
        <v>1618</v>
      </c>
      <c r="K413">
        <v>5</v>
      </c>
      <c r="M413" t="s">
        <v>61</v>
      </c>
      <c r="N413">
        <v>79.02</v>
      </c>
    </row>
    <row r="414" spans="1:14" x14ac:dyDescent="0.3">
      <c r="A414" t="s">
        <v>1619</v>
      </c>
      <c r="B414" s="8">
        <v>45758</v>
      </c>
      <c r="C414" t="s">
        <v>1620</v>
      </c>
      <c r="D414" t="s">
        <v>48</v>
      </c>
      <c r="E414">
        <v>5</v>
      </c>
      <c r="F414">
        <v>133.01</v>
      </c>
      <c r="G414" t="s">
        <v>1621</v>
      </c>
      <c r="H414" t="s">
        <v>50</v>
      </c>
      <c r="I414" t="s">
        <v>59</v>
      </c>
      <c r="J414" t="s">
        <v>1622</v>
      </c>
      <c r="K414">
        <v>10</v>
      </c>
      <c r="M414" t="s">
        <v>61</v>
      </c>
      <c r="N414">
        <v>665.05</v>
      </c>
    </row>
    <row r="415" spans="1:14" x14ac:dyDescent="0.3">
      <c r="A415" t="s">
        <v>1623</v>
      </c>
      <c r="B415" s="8">
        <v>45207</v>
      </c>
      <c r="C415" t="s">
        <v>1624</v>
      </c>
      <c r="D415" t="s">
        <v>48</v>
      </c>
      <c r="E415">
        <v>1</v>
      </c>
      <c r="F415">
        <v>118.8</v>
      </c>
      <c r="G415" t="s">
        <v>1625</v>
      </c>
      <c r="H415" t="s">
        <v>43</v>
      </c>
      <c r="I415" t="s">
        <v>66</v>
      </c>
      <c r="J415" t="s">
        <v>1626</v>
      </c>
      <c r="K415">
        <v>6</v>
      </c>
      <c r="L415" t="s">
        <v>37</v>
      </c>
      <c r="M415" t="s">
        <v>54</v>
      </c>
      <c r="N415">
        <v>118.8</v>
      </c>
    </row>
    <row r="416" spans="1:14" x14ac:dyDescent="0.3">
      <c r="A416" t="s">
        <v>1627</v>
      </c>
      <c r="B416" s="8">
        <v>45781</v>
      </c>
      <c r="C416" t="s">
        <v>1628</v>
      </c>
      <c r="D416" t="s">
        <v>89</v>
      </c>
      <c r="E416">
        <v>2</v>
      </c>
      <c r="F416">
        <v>139.57</v>
      </c>
      <c r="G416" t="s">
        <v>1629</v>
      </c>
      <c r="H416" t="s">
        <v>81</v>
      </c>
      <c r="I416" t="s">
        <v>66</v>
      </c>
      <c r="J416" t="s">
        <v>1630</v>
      </c>
      <c r="K416">
        <v>4</v>
      </c>
      <c r="L416" t="s">
        <v>97</v>
      </c>
      <c r="M416" t="s">
        <v>61</v>
      </c>
      <c r="N416">
        <v>279.14</v>
      </c>
    </row>
    <row r="417" spans="1:14" x14ac:dyDescent="0.3">
      <c r="A417" t="s">
        <v>1631</v>
      </c>
      <c r="B417" s="8">
        <v>45753</v>
      </c>
      <c r="C417" t="s">
        <v>1632</v>
      </c>
      <c r="D417" t="s">
        <v>57</v>
      </c>
      <c r="E417">
        <v>1</v>
      </c>
      <c r="F417">
        <v>184.15</v>
      </c>
      <c r="G417" t="s">
        <v>1090</v>
      </c>
      <c r="H417" t="s">
        <v>76</v>
      </c>
      <c r="I417" t="s">
        <v>35</v>
      </c>
      <c r="J417" t="s">
        <v>1633</v>
      </c>
      <c r="K417">
        <v>5</v>
      </c>
      <c r="L417" t="s">
        <v>53</v>
      </c>
      <c r="M417" t="s">
        <v>61</v>
      </c>
      <c r="N417">
        <v>184.15</v>
      </c>
    </row>
    <row r="418" spans="1:14" x14ac:dyDescent="0.3">
      <c r="A418" t="s">
        <v>1634</v>
      </c>
      <c r="B418" s="8">
        <v>45125</v>
      </c>
      <c r="C418" t="s">
        <v>1635</v>
      </c>
      <c r="D418" t="s">
        <v>74</v>
      </c>
      <c r="E418">
        <v>2</v>
      </c>
      <c r="F418">
        <v>644.04999999999995</v>
      </c>
      <c r="G418" t="s">
        <v>1636</v>
      </c>
      <c r="H418" t="s">
        <v>76</v>
      </c>
      <c r="I418" t="s">
        <v>51</v>
      </c>
      <c r="J418" t="s">
        <v>1637</v>
      </c>
      <c r="K418">
        <v>5</v>
      </c>
      <c r="L418" t="s">
        <v>97</v>
      </c>
      <c r="M418" t="s">
        <v>45</v>
      </c>
      <c r="N418">
        <v>1288.0999999999999</v>
      </c>
    </row>
    <row r="419" spans="1:14" x14ac:dyDescent="0.3">
      <c r="A419" t="s">
        <v>1638</v>
      </c>
      <c r="B419" s="8">
        <v>45223</v>
      </c>
      <c r="C419" t="s">
        <v>1639</v>
      </c>
      <c r="D419" t="s">
        <v>74</v>
      </c>
      <c r="E419">
        <v>5</v>
      </c>
      <c r="F419">
        <v>55.41</v>
      </c>
      <c r="G419" t="s">
        <v>1640</v>
      </c>
      <c r="H419" t="s">
        <v>43</v>
      </c>
      <c r="I419" t="s">
        <v>51</v>
      </c>
      <c r="J419" t="s">
        <v>1641</v>
      </c>
      <c r="K419">
        <v>5</v>
      </c>
      <c r="M419" t="s">
        <v>92</v>
      </c>
      <c r="N419">
        <v>277.05</v>
      </c>
    </row>
    <row r="420" spans="1:14" x14ac:dyDescent="0.3">
      <c r="A420" t="s">
        <v>1642</v>
      </c>
      <c r="B420" s="8">
        <v>44937</v>
      </c>
      <c r="C420" t="s">
        <v>1643</v>
      </c>
      <c r="D420" t="s">
        <v>64</v>
      </c>
      <c r="E420">
        <v>1</v>
      </c>
      <c r="F420">
        <v>310.93</v>
      </c>
      <c r="G420" t="s">
        <v>1644</v>
      </c>
      <c r="H420" t="s">
        <v>43</v>
      </c>
      <c r="I420" t="s">
        <v>51</v>
      </c>
      <c r="J420" t="s">
        <v>1645</v>
      </c>
      <c r="K420">
        <v>3</v>
      </c>
      <c r="M420" t="s">
        <v>61</v>
      </c>
      <c r="N420">
        <v>310.93</v>
      </c>
    </row>
    <row r="421" spans="1:14" x14ac:dyDescent="0.3">
      <c r="A421" t="s">
        <v>1646</v>
      </c>
      <c r="B421" s="8">
        <v>45399</v>
      </c>
      <c r="C421" t="s">
        <v>1647</v>
      </c>
      <c r="D421" t="s">
        <v>48</v>
      </c>
      <c r="E421">
        <v>2</v>
      </c>
      <c r="F421">
        <v>216.66</v>
      </c>
      <c r="G421" t="s">
        <v>1392</v>
      </c>
      <c r="H421" t="s">
        <v>34</v>
      </c>
      <c r="I421" t="s">
        <v>105</v>
      </c>
      <c r="J421" t="s">
        <v>1648</v>
      </c>
      <c r="K421">
        <v>6</v>
      </c>
      <c r="L421" t="s">
        <v>53</v>
      </c>
      <c r="M421" t="s">
        <v>38</v>
      </c>
      <c r="N421">
        <v>433.32</v>
      </c>
    </row>
    <row r="422" spans="1:14" x14ac:dyDescent="0.3">
      <c r="A422" t="s">
        <v>1649</v>
      </c>
      <c r="B422" s="8">
        <v>45625</v>
      </c>
      <c r="C422" t="s">
        <v>1650</v>
      </c>
      <c r="D422" t="s">
        <v>41</v>
      </c>
      <c r="E422">
        <v>1</v>
      </c>
      <c r="F422">
        <v>452.7</v>
      </c>
      <c r="G422" t="s">
        <v>1651</v>
      </c>
      <c r="H422" t="s">
        <v>34</v>
      </c>
      <c r="I422" t="s">
        <v>35</v>
      </c>
      <c r="J422" t="s">
        <v>1652</v>
      </c>
      <c r="K422">
        <v>5</v>
      </c>
      <c r="L422" t="s">
        <v>53</v>
      </c>
      <c r="M422" t="s">
        <v>38</v>
      </c>
      <c r="N422">
        <v>452.7</v>
      </c>
    </row>
    <row r="423" spans="1:14" x14ac:dyDescent="0.3">
      <c r="A423" t="s">
        <v>1653</v>
      </c>
      <c r="B423" s="8">
        <v>45214</v>
      </c>
      <c r="C423" t="s">
        <v>1654</v>
      </c>
      <c r="D423" t="s">
        <v>57</v>
      </c>
      <c r="E423">
        <v>2</v>
      </c>
      <c r="F423">
        <v>288.20999999999998</v>
      </c>
      <c r="G423" t="s">
        <v>1655</v>
      </c>
      <c r="H423" t="s">
        <v>34</v>
      </c>
      <c r="I423" t="s">
        <v>51</v>
      </c>
      <c r="J423" t="s">
        <v>1656</v>
      </c>
      <c r="K423">
        <v>5</v>
      </c>
      <c r="M423" t="s">
        <v>54</v>
      </c>
      <c r="N423">
        <v>576.41999999999996</v>
      </c>
    </row>
    <row r="424" spans="1:14" x14ac:dyDescent="0.3">
      <c r="A424" t="s">
        <v>1657</v>
      </c>
      <c r="B424" s="8">
        <v>45082</v>
      </c>
      <c r="C424" t="s">
        <v>1658</v>
      </c>
      <c r="D424" t="s">
        <v>41</v>
      </c>
      <c r="E424">
        <v>4</v>
      </c>
      <c r="F424">
        <v>206.6</v>
      </c>
      <c r="G424" t="s">
        <v>121</v>
      </c>
      <c r="H424" t="s">
        <v>76</v>
      </c>
      <c r="I424" t="s">
        <v>59</v>
      </c>
      <c r="J424" t="s">
        <v>1659</v>
      </c>
      <c r="K424">
        <v>6</v>
      </c>
      <c r="L424" t="s">
        <v>97</v>
      </c>
      <c r="M424" t="s">
        <v>45</v>
      </c>
      <c r="N424">
        <v>826.4</v>
      </c>
    </row>
    <row r="425" spans="1:14" x14ac:dyDescent="0.3">
      <c r="A425" t="s">
        <v>1660</v>
      </c>
      <c r="B425" s="8">
        <v>45493</v>
      </c>
      <c r="C425" t="s">
        <v>1661</v>
      </c>
      <c r="D425" t="s">
        <v>64</v>
      </c>
      <c r="E425">
        <v>4</v>
      </c>
      <c r="F425">
        <v>685.2</v>
      </c>
      <c r="G425" t="s">
        <v>1141</v>
      </c>
      <c r="H425" t="s">
        <v>76</v>
      </c>
      <c r="I425" t="s">
        <v>51</v>
      </c>
      <c r="J425" t="s">
        <v>1662</v>
      </c>
      <c r="K425">
        <v>6</v>
      </c>
      <c r="L425" t="s">
        <v>97</v>
      </c>
      <c r="M425" t="s">
        <v>92</v>
      </c>
      <c r="N425">
        <v>2740.8</v>
      </c>
    </row>
    <row r="426" spans="1:14" x14ac:dyDescent="0.3">
      <c r="A426" t="s">
        <v>1663</v>
      </c>
      <c r="B426" s="8">
        <v>45028</v>
      </c>
      <c r="C426" t="s">
        <v>1664</v>
      </c>
      <c r="D426" t="s">
        <v>57</v>
      </c>
      <c r="E426">
        <v>5</v>
      </c>
      <c r="F426">
        <v>22.94</v>
      </c>
      <c r="G426" t="s">
        <v>1276</v>
      </c>
      <c r="H426" t="s">
        <v>81</v>
      </c>
      <c r="I426" t="s">
        <v>105</v>
      </c>
      <c r="J426" t="s">
        <v>1665</v>
      </c>
      <c r="K426">
        <v>10</v>
      </c>
      <c r="M426" t="s">
        <v>54</v>
      </c>
      <c r="N426">
        <v>114.7</v>
      </c>
    </row>
    <row r="427" spans="1:14" x14ac:dyDescent="0.3">
      <c r="A427" t="s">
        <v>1666</v>
      </c>
      <c r="B427" s="8">
        <v>44994</v>
      </c>
      <c r="C427" t="s">
        <v>1667</v>
      </c>
      <c r="D427" t="s">
        <v>74</v>
      </c>
      <c r="E427">
        <v>2</v>
      </c>
      <c r="F427">
        <v>301.88</v>
      </c>
      <c r="G427" t="s">
        <v>1668</v>
      </c>
      <c r="H427" t="s">
        <v>76</v>
      </c>
      <c r="I427" t="s">
        <v>59</v>
      </c>
      <c r="J427" t="s">
        <v>1669</v>
      </c>
      <c r="K427">
        <v>5</v>
      </c>
      <c r="L427" t="s">
        <v>97</v>
      </c>
      <c r="M427" t="s">
        <v>54</v>
      </c>
      <c r="N427">
        <v>603.76</v>
      </c>
    </row>
    <row r="428" spans="1:14" x14ac:dyDescent="0.3">
      <c r="A428" t="s">
        <v>1670</v>
      </c>
      <c r="B428" s="8">
        <v>45732</v>
      </c>
      <c r="C428" t="s">
        <v>1671</v>
      </c>
      <c r="D428" t="s">
        <v>32</v>
      </c>
      <c r="E428">
        <v>5</v>
      </c>
      <c r="F428">
        <v>57.45</v>
      </c>
      <c r="G428" t="s">
        <v>1672</v>
      </c>
      <c r="H428" t="s">
        <v>81</v>
      </c>
      <c r="I428" t="s">
        <v>51</v>
      </c>
      <c r="J428" t="s">
        <v>1673</v>
      </c>
      <c r="K428">
        <v>10</v>
      </c>
      <c r="M428" t="s">
        <v>61</v>
      </c>
      <c r="N428">
        <v>287.25</v>
      </c>
    </row>
    <row r="429" spans="1:14" x14ac:dyDescent="0.3">
      <c r="A429" t="s">
        <v>1674</v>
      </c>
      <c r="B429" s="8">
        <v>45644</v>
      </c>
      <c r="C429" t="s">
        <v>1675</v>
      </c>
      <c r="D429" t="s">
        <v>89</v>
      </c>
      <c r="E429">
        <v>1</v>
      </c>
      <c r="F429">
        <v>161.24</v>
      </c>
      <c r="G429" t="s">
        <v>1676</v>
      </c>
      <c r="H429" t="s">
        <v>50</v>
      </c>
      <c r="I429" t="s">
        <v>105</v>
      </c>
      <c r="J429" t="s">
        <v>1677</v>
      </c>
      <c r="K429">
        <v>3</v>
      </c>
      <c r="L429" t="s">
        <v>97</v>
      </c>
      <c r="M429" t="s">
        <v>38</v>
      </c>
      <c r="N429">
        <v>161.24</v>
      </c>
    </row>
    <row r="430" spans="1:14" x14ac:dyDescent="0.3">
      <c r="A430" t="s">
        <v>1678</v>
      </c>
      <c r="B430" s="8">
        <v>45622</v>
      </c>
      <c r="C430" t="s">
        <v>1679</v>
      </c>
      <c r="D430" t="s">
        <v>57</v>
      </c>
      <c r="E430">
        <v>4</v>
      </c>
      <c r="F430">
        <v>262.58</v>
      </c>
      <c r="G430" t="s">
        <v>177</v>
      </c>
      <c r="H430" t="s">
        <v>43</v>
      </c>
      <c r="I430" t="s">
        <v>51</v>
      </c>
      <c r="J430" t="s">
        <v>1680</v>
      </c>
      <c r="K430">
        <v>8</v>
      </c>
      <c r="L430" t="s">
        <v>97</v>
      </c>
      <c r="M430" t="s">
        <v>54</v>
      </c>
      <c r="N430">
        <v>1050.32</v>
      </c>
    </row>
    <row r="431" spans="1:14" x14ac:dyDescent="0.3">
      <c r="A431" t="s">
        <v>1681</v>
      </c>
      <c r="B431" s="8">
        <v>45645</v>
      </c>
      <c r="C431" t="s">
        <v>1682</v>
      </c>
      <c r="D431" t="s">
        <v>64</v>
      </c>
      <c r="E431">
        <v>4</v>
      </c>
      <c r="F431">
        <v>515.19000000000005</v>
      </c>
      <c r="G431" t="s">
        <v>482</v>
      </c>
      <c r="H431" t="s">
        <v>50</v>
      </c>
      <c r="I431" t="s">
        <v>105</v>
      </c>
      <c r="J431" t="s">
        <v>1683</v>
      </c>
      <c r="K431">
        <v>9</v>
      </c>
      <c r="L431" t="s">
        <v>37</v>
      </c>
      <c r="M431" t="s">
        <v>61</v>
      </c>
      <c r="N431">
        <v>2060.7600000000002</v>
      </c>
    </row>
    <row r="432" spans="1:14" x14ac:dyDescent="0.3">
      <c r="A432" t="s">
        <v>1684</v>
      </c>
      <c r="B432" s="8">
        <v>45084</v>
      </c>
      <c r="C432" t="s">
        <v>1685</v>
      </c>
      <c r="D432" t="s">
        <v>41</v>
      </c>
      <c r="E432">
        <v>1</v>
      </c>
      <c r="F432">
        <v>450.07</v>
      </c>
      <c r="G432" t="s">
        <v>1686</v>
      </c>
      <c r="H432" t="s">
        <v>76</v>
      </c>
      <c r="I432" t="s">
        <v>35</v>
      </c>
      <c r="J432" t="s">
        <v>1687</v>
      </c>
      <c r="K432">
        <v>6</v>
      </c>
      <c r="L432" t="s">
        <v>53</v>
      </c>
      <c r="M432" t="s">
        <v>92</v>
      </c>
      <c r="N432">
        <v>450.07</v>
      </c>
    </row>
    <row r="433" spans="1:14" x14ac:dyDescent="0.3">
      <c r="A433" t="s">
        <v>1688</v>
      </c>
      <c r="B433" s="8">
        <v>45571</v>
      </c>
      <c r="C433" t="s">
        <v>1689</v>
      </c>
      <c r="D433" t="s">
        <v>64</v>
      </c>
      <c r="E433">
        <v>1</v>
      </c>
      <c r="F433">
        <v>52.54</v>
      </c>
      <c r="G433" t="s">
        <v>668</v>
      </c>
      <c r="H433" t="s">
        <v>34</v>
      </c>
      <c r="I433" t="s">
        <v>51</v>
      </c>
      <c r="J433" t="s">
        <v>1690</v>
      </c>
      <c r="K433">
        <v>6</v>
      </c>
      <c r="L433" t="s">
        <v>97</v>
      </c>
      <c r="M433" t="s">
        <v>61</v>
      </c>
      <c r="N433">
        <v>52.54</v>
      </c>
    </row>
    <row r="434" spans="1:14" x14ac:dyDescent="0.3">
      <c r="A434" t="s">
        <v>1691</v>
      </c>
      <c r="B434" s="8">
        <v>45173</v>
      </c>
      <c r="C434" t="s">
        <v>1692</v>
      </c>
      <c r="D434" t="s">
        <v>48</v>
      </c>
      <c r="E434">
        <v>2</v>
      </c>
      <c r="F434">
        <v>424.32</v>
      </c>
      <c r="G434" t="s">
        <v>1693</v>
      </c>
      <c r="H434" t="s">
        <v>50</v>
      </c>
      <c r="I434" t="s">
        <v>59</v>
      </c>
      <c r="J434" t="s">
        <v>1694</v>
      </c>
      <c r="K434">
        <v>6</v>
      </c>
      <c r="M434" t="s">
        <v>45</v>
      </c>
      <c r="N434">
        <v>848.64</v>
      </c>
    </row>
    <row r="435" spans="1:14" x14ac:dyDescent="0.3">
      <c r="A435" t="s">
        <v>1695</v>
      </c>
      <c r="B435" s="8">
        <v>45164</v>
      </c>
      <c r="C435" t="s">
        <v>1696</v>
      </c>
      <c r="D435" t="s">
        <v>32</v>
      </c>
      <c r="E435">
        <v>3</v>
      </c>
      <c r="F435">
        <v>631.64</v>
      </c>
      <c r="G435" t="s">
        <v>1012</v>
      </c>
      <c r="H435" t="s">
        <v>50</v>
      </c>
      <c r="I435" t="s">
        <v>59</v>
      </c>
      <c r="J435" t="s">
        <v>1697</v>
      </c>
      <c r="K435">
        <v>3</v>
      </c>
      <c r="L435" t="s">
        <v>53</v>
      </c>
      <c r="M435" t="s">
        <v>61</v>
      </c>
      <c r="N435">
        <v>1894.92</v>
      </c>
    </row>
    <row r="436" spans="1:14" x14ac:dyDescent="0.3">
      <c r="A436" t="s">
        <v>1698</v>
      </c>
      <c r="B436" s="8">
        <v>45221</v>
      </c>
      <c r="C436" t="s">
        <v>1699</v>
      </c>
      <c r="D436" t="s">
        <v>64</v>
      </c>
      <c r="E436">
        <v>5</v>
      </c>
      <c r="F436">
        <v>327.68</v>
      </c>
      <c r="G436" t="s">
        <v>332</v>
      </c>
      <c r="H436" t="s">
        <v>50</v>
      </c>
      <c r="I436" t="s">
        <v>59</v>
      </c>
      <c r="J436" t="s">
        <v>1700</v>
      </c>
      <c r="K436">
        <v>6</v>
      </c>
      <c r="M436" t="s">
        <v>61</v>
      </c>
      <c r="N436">
        <v>1638.4</v>
      </c>
    </row>
    <row r="437" spans="1:14" x14ac:dyDescent="0.3">
      <c r="A437" t="s">
        <v>1701</v>
      </c>
      <c r="B437" s="8">
        <v>45073</v>
      </c>
      <c r="C437" t="s">
        <v>1702</v>
      </c>
      <c r="D437" t="s">
        <v>64</v>
      </c>
      <c r="E437">
        <v>1</v>
      </c>
      <c r="F437">
        <v>414.47</v>
      </c>
      <c r="G437" t="s">
        <v>1272</v>
      </c>
      <c r="H437" t="s">
        <v>34</v>
      </c>
      <c r="I437" t="s">
        <v>59</v>
      </c>
      <c r="J437" t="s">
        <v>1703</v>
      </c>
      <c r="K437">
        <v>3</v>
      </c>
      <c r="L437" t="s">
        <v>53</v>
      </c>
      <c r="M437" t="s">
        <v>38</v>
      </c>
      <c r="N437">
        <v>414.47</v>
      </c>
    </row>
    <row r="438" spans="1:14" x14ac:dyDescent="0.3">
      <c r="A438" t="s">
        <v>1704</v>
      </c>
      <c r="B438" s="8">
        <v>44968</v>
      </c>
      <c r="C438" t="s">
        <v>1705</v>
      </c>
      <c r="D438" t="s">
        <v>74</v>
      </c>
      <c r="E438">
        <v>4</v>
      </c>
      <c r="F438">
        <v>221.33</v>
      </c>
      <c r="G438" t="s">
        <v>668</v>
      </c>
      <c r="H438" t="s">
        <v>43</v>
      </c>
      <c r="I438" t="s">
        <v>105</v>
      </c>
      <c r="J438" t="s">
        <v>1706</v>
      </c>
      <c r="K438">
        <v>5</v>
      </c>
      <c r="M438" t="s">
        <v>92</v>
      </c>
      <c r="N438">
        <v>885.32</v>
      </c>
    </row>
    <row r="439" spans="1:14" x14ac:dyDescent="0.3">
      <c r="A439" t="s">
        <v>1707</v>
      </c>
      <c r="B439" s="8">
        <v>45400</v>
      </c>
      <c r="C439" t="s">
        <v>1708</v>
      </c>
      <c r="D439" t="s">
        <v>41</v>
      </c>
      <c r="E439">
        <v>1</v>
      </c>
      <c r="F439">
        <v>512.39</v>
      </c>
      <c r="G439" t="s">
        <v>1709</v>
      </c>
      <c r="H439" t="s">
        <v>43</v>
      </c>
      <c r="I439" t="s">
        <v>66</v>
      </c>
      <c r="J439" t="s">
        <v>1710</v>
      </c>
      <c r="K439">
        <v>2</v>
      </c>
      <c r="L439" t="s">
        <v>53</v>
      </c>
      <c r="M439" t="s">
        <v>38</v>
      </c>
      <c r="N439">
        <v>512.39</v>
      </c>
    </row>
    <row r="440" spans="1:14" x14ac:dyDescent="0.3">
      <c r="A440" t="s">
        <v>1711</v>
      </c>
      <c r="B440" s="8">
        <v>45660</v>
      </c>
      <c r="C440" t="s">
        <v>1712</v>
      </c>
      <c r="D440" t="s">
        <v>48</v>
      </c>
      <c r="E440">
        <v>3</v>
      </c>
      <c r="F440">
        <v>459.34</v>
      </c>
      <c r="G440" t="s">
        <v>1713</v>
      </c>
      <c r="H440" t="s">
        <v>76</v>
      </c>
      <c r="I440" t="s">
        <v>105</v>
      </c>
      <c r="J440" t="s">
        <v>1714</v>
      </c>
      <c r="K440">
        <v>3</v>
      </c>
      <c r="L440" t="s">
        <v>37</v>
      </c>
      <c r="M440" t="s">
        <v>38</v>
      </c>
      <c r="N440">
        <v>1378.02</v>
      </c>
    </row>
    <row r="441" spans="1:14" x14ac:dyDescent="0.3">
      <c r="A441" t="s">
        <v>1715</v>
      </c>
      <c r="B441" s="8">
        <v>45543</v>
      </c>
      <c r="C441" t="s">
        <v>1716</v>
      </c>
      <c r="D441" t="s">
        <v>48</v>
      </c>
      <c r="E441">
        <v>1</v>
      </c>
      <c r="F441">
        <v>146.32</v>
      </c>
      <c r="G441" t="s">
        <v>1717</v>
      </c>
      <c r="H441" t="s">
        <v>43</v>
      </c>
      <c r="I441" t="s">
        <v>35</v>
      </c>
      <c r="J441" t="s">
        <v>1718</v>
      </c>
      <c r="K441">
        <v>4</v>
      </c>
      <c r="L441" t="s">
        <v>97</v>
      </c>
      <c r="M441" t="s">
        <v>61</v>
      </c>
      <c r="N441">
        <v>146.32</v>
      </c>
    </row>
    <row r="442" spans="1:14" x14ac:dyDescent="0.3">
      <c r="A442" t="s">
        <v>1719</v>
      </c>
      <c r="B442" s="8">
        <v>45601</v>
      </c>
      <c r="C442" t="s">
        <v>1720</v>
      </c>
      <c r="D442" t="s">
        <v>89</v>
      </c>
      <c r="E442">
        <v>4</v>
      </c>
      <c r="F442">
        <v>83.6</v>
      </c>
      <c r="G442" t="s">
        <v>1260</v>
      </c>
      <c r="H442" t="s">
        <v>34</v>
      </c>
      <c r="I442" t="s">
        <v>105</v>
      </c>
      <c r="J442" t="s">
        <v>1721</v>
      </c>
      <c r="K442">
        <v>4</v>
      </c>
      <c r="L442" t="s">
        <v>37</v>
      </c>
      <c r="M442" t="s">
        <v>61</v>
      </c>
      <c r="N442">
        <v>334.4</v>
      </c>
    </row>
    <row r="443" spans="1:14" x14ac:dyDescent="0.3">
      <c r="A443" t="s">
        <v>1722</v>
      </c>
      <c r="B443" s="8">
        <v>45273</v>
      </c>
      <c r="C443" t="s">
        <v>1723</v>
      </c>
      <c r="D443" t="s">
        <v>64</v>
      </c>
      <c r="E443">
        <v>2</v>
      </c>
      <c r="F443">
        <v>328.54</v>
      </c>
      <c r="G443" t="s">
        <v>1724</v>
      </c>
      <c r="H443" t="s">
        <v>76</v>
      </c>
      <c r="I443" t="s">
        <v>59</v>
      </c>
      <c r="J443" t="s">
        <v>1725</v>
      </c>
      <c r="K443">
        <v>6</v>
      </c>
      <c r="L443" t="s">
        <v>53</v>
      </c>
      <c r="M443" t="s">
        <v>54</v>
      </c>
      <c r="N443">
        <v>657.08</v>
      </c>
    </row>
    <row r="444" spans="1:14" x14ac:dyDescent="0.3">
      <c r="A444" t="s">
        <v>1726</v>
      </c>
      <c r="B444" s="8">
        <v>45418</v>
      </c>
      <c r="C444" t="s">
        <v>1727</v>
      </c>
      <c r="D444" t="s">
        <v>57</v>
      </c>
      <c r="E444">
        <v>5</v>
      </c>
      <c r="F444">
        <v>314.94</v>
      </c>
      <c r="G444" t="s">
        <v>1728</v>
      </c>
      <c r="H444" t="s">
        <v>81</v>
      </c>
      <c r="I444" t="s">
        <v>105</v>
      </c>
      <c r="J444" t="s">
        <v>1729</v>
      </c>
      <c r="K444">
        <v>8</v>
      </c>
      <c r="L444" t="s">
        <v>37</v>
      </c>
      <c r="M444" t="s">
        <v>38</v>
      </c>
      <c r="N444">
        <v>1574.7</v>
      </c>
    </row>
    <row r="445" spans="1:14" x14ac:dyDescent="0.3">
      <c r="A445" t="s">
        <v>1730</v>
      </c>
      <c r="B445" s="8">
        <v>45426</v>
      </c>
      <c r="C445" t="s">
        <v>1731</v>
      </c>
      <c r="D445" t="s">
        <v>57</v>
      </c>
      <c r="E445">
        <v>2</v>
      </c>
      <c r="F445">
        <v>69.64</v>
      </c>
      <c r="G445" t="s">
        <v>305</v>
      </c>
      <c r="H445" t="s">
        <v>81</v>
      </c>
      <c r="I445" t="s">
        <v>59</v>
      </c>
      <c r="J445" t="s">
        <v>1732</v>
      </c>
      <c r="K445">
        <v>6</v>
      </c>
      <c r="M445" t="s">
        <v>61</v>
      </c>
      <c r="N445">
        <v>139.28</v>
      </c>
    </row>
    <row r="446" spans="1:14" x14ac:dyDescent="0.3">
      <c r="A446" t="s">
        <v>1733</v>
      </c>
      <c r="B446" s="8">
        <v>45451</v>
      </c>
      <c r="C446" t="s">
        <v>1734</v>
      </c>
      <c r="D446" t="s">
        <v>64</v>
      </c>
      <c r="E446">
        <v>1</v>
      </c>
      <c r="F446">
        <v>135.16999999999999</v>
      </c>
      <c r="G446" t="s">
        <v>1735</v>
      </c>
      <c r="H446" t="s">
        <v>43</v>
      </c>
      <c r="I446" t="s">
        <v>35</v>
      </c>
      <c r="J446" t="s">
        <v>1736</v>
      </c>
      <c r="K446">
        <v>6</v>
      </c>
      <c r="L446" t="s">
        <v>53</v>
      </c>
      <c r="M446" t="s">
        <v>38</v>
      </c>
      <c r="N446">
        <v>135.16999999999999</v>
      </c>
    </row>
    <row r="447" spans="1:14" x14ac:dyDescent="0.3">
      <c r="A447" t="s">
        <v>1737</v>
      </c>
      <c r="B447" s="8">
        <v>45374</v>
      </c>
      <c r="C447" t="s">
        <v>1738</v>
      </c>
      <c r="D447" t="s">
        <v>41</v>
      </c>
      <c r="E447">
        <v>1</v>
      </c>
      <c r="F447">
        <v>487.21</v>
      </c>
      <c r="G447" t="s">
        <v>1739</v>
      </c>
      <c r="H447" t="s">
        <v>81</v>
      </c>
      <c r="I447" t="s">
        <v>66</v>
      </c>
      <c r="J447" t="s">
        <v>1740</v>
      </c>
      <c r="K447">
        <v>3</v>
      </c>
      <c r="L447" t="s">
        <v>37</v>
      </c>
      <c r="M447" t="s">
        <v>45</v>
      </c>
      <c r="N447">
        <v>487.21</v>
      </c>
    </row>
    <row r="448" spans="1:14" x14ac:dyDescent="0.3">
      <c r="A448" t="s">
        <v>1741</v>
      </c>
      <c r="B448" s="8">
        <v>45217</v>
      </c>
      <c r="C448" t="s">
        <v>1742</v>
      </c>
      <c r="D448" t="s">
        <v>74</v>
      </c>
      <c r="E448">
        <v>5</v>
      </c>
      <c r="F448">
        <v>509.58</v>
      </c>
      <c r="G448" t="s">
        <v>1743</v>
      </c>
      <c r="H448" t="s">
        <v>43</v>
      </c>
      <c r="I448" t="s">
        <v>66</v>
      </c>
      <c r="J448" t="s">
        <v>1744</v>
      </c>
      <c r="K448">
        <v>6</v>
      </c>
      <c r="L448" t="s">
        <v>53</v>
      </c>
      <c r="M448" t="s">
        <v>38</v>
      </c>
      <c r="N448">
        <v>2547.9</v>
      </c>
    </row>
    <row r="449" spans="1:14" x14ac:dyDescent="0.3">
      <c r="A449" t="s">
        <v>1745</v>
      </c>
      <c r="B449" s="8">
        <v>45389</v>
      </c>
      <c r="C449" t="s">
        <v>1746</v>
      </c>
      <c r="D449" t="s">
        <v>64</v>
      </c>
      <c r="E449">
        <v>2</v>
      </c>
      <c r="F449">
        <v>416.81</v>
      </c>
      <c r="G449" t="s">
        <v>1747</v>
      </c>
      <c r="H449" t="s">
        <v>81</v>
      </c>
      <c r="I449" t="s">
        <v>59</v>
      </c>
      <c r="J449" t="s">
        <v>1748</v>
      </c>
      <c r="K449">
        <v>2</v>
      </c>
      <c r="M449" t="s">
        <v>61</v>
      </c>
      <c r="N449">
        <v>833.62</v>
      </c>
    </row>
    <row r="450" spans="1:14" x14ac:dyDescent="0.3">
      <c r="A450" t="s">
        <v>1749</v>
      </c>
      <c r="B450" s="8">
        <v>45173</v>
      </c>
      <c r="C450" t="s">
        <v>1750</v>
      </c>
      <c r="D450" t="s">
        <v>74</v>
      </c>
      <c r="E450">
        <v>2</v>
      </c>
      <c r="F450">
        <v>160</v>
      </c>
      <c r="G450" t="s">
        <v>1751</v>
      </c>
      <c r="H450" t="s">
        <v>81</v>
      </c>
      <c r="I450" t="s">
        <v>105</v>
      </c>
      <c r="J450" t="s">
        <v>1752</v>
      </c>
      <c r="K450">
        <v>4</v>
      </c>
      <c r="L450" t="s">
        <v>37</v>
      </c>
      <c r="M450" t="s">
        <v>38</v>
      </c>
      <c r="N450">
        <v>320</v>
      </c>
    </row>
    <row r="451" spans="1:14" x14ac:dyDescent="0.3">
      <c r="A451" t="s">
        <v>1753</v>
      </c>
      <c r="B451" s="8">
        <v>45530</v>
      </c>
      <c r="C451" t="s">
        <v>1754</v>
      </c>
      <c r="D451" t="s">
        <v>48</v>
      </c>
      <c r="E451">
        <v>3</v>
      </c>
      <c r="F451">
        <v>253.05</v>
      </c>
      <c r="G451" t="s">
        <v>1755</v>
      </c>
      <c r="H451" t="s">
        <v>43</v>
      </c>
      <c r="I451" t="s">
        <v>105</v>
      </c>
      <c r="J451" t="s">
        <v>1756</v>
      </c>
      <c r="K451">
        <v>3</v>
      </c>
      <c r="M451" t="s">
        <v>38</v>
      </c>
      <c r="N451">
        <v>759.15</v>
      </c>
    </row>
    <row r="452" spans="1:14" x14ac:dyDescent="0.3">
      <c r="A452" t="s">
        <v>1757</v>
      </c>
      <c r="B452" s="8">
        <v>45306</v>
      </c>
      <c r="C452" t="s">
        <v>1758</v>
      </c>
      <c r="D452" t="s">
        <v>32</v>
      </c>
      <c r="E452">
        <v>5</v>
      </c>
      <c r="F452">
        <v>615.1</v>
      </c>
      <c r="G452" t="s">
        <v>1759</v>
      </c>
      <c r="H452" t="s">
        <v>76</v>
      </c>
      <c r="I452" t="s">
        <v>59</v>
      </c>
      <c r="J452" t="s">
        <v>1760</v>
      </c>
      <c r="K452">
        <v>10</v>
      </c>
      <c r="L452" t="s">
        <v>97</v>
      </c>
      <c r="M452" t="s">
        <v>38</v>
      </c>
      <c r="N452">
        <v>3075.5</v>
      </c>
    </row>
    <row r="453" spans="1:14" x14ac:dyDescent="0.3">
      <c r="A453" t="s">
        <v>1761</v>
      </c>
      <c r="B453" s="8">
        <v>45017</v>
      </c>
      <c r="C453" t="s">
        <v>1762</v>
      </c>
      <c r="D453" t="s">
        <v>32</v>
      </c>
      <c r="E453">
        <v>1</v>
      </c>
      <c r="F453">
        <v>183.18</v>
      </c>
      <c r="G453" t="s">
        <v>466</v>
      </c>
      <c r="H453" t="s">
        <v>34</v>
      </c>
      <c r="I453" t="s">
        <v>51</v>
      </c>
      <c r="J453" t="s">
        <v>1763</v>
      </c>
      <c r="K453">
        <v>6</v>
      </c>
      <c r="L453" t="s">
        <v>37</v>
      </c>
      <c r="M453" t="s">
        <v>54</v>
      </c>
      <c r="N453">
        <v>183.18</v>
      </c>
    </row>
    <row r="454" spans="1:14" x14ac:dyDescent="0.3">
      <c r="A454" t="s">
        <v>1764</v>
      </c>
      <c r="B454" s="8">
        <v>45130</v>
      </c>
      <c r="C454" t="s">
        <v>1765</v>
      </c>
      <c r="D454" t="s">
        <v>64</v>
      </c>
      <c r="E454">
        <v>1</v>
      </c>
      <c r="F454">
        <v>75.78</v>
      </c>
      <c r="G454" t="s">
        <v>1766</v>
      </c>
      <c r="H454" t="s">
        <v>81</v>
      </c>
      <c r="I454" t="s">
        <v>105</v>
      </c>
      <c r="J454" t="s">
        <v>1767</v>
      </c>
      <c r="K454">
        <v>5</v>
      </c>
      <c r="L454" t="s">
        <v>37</v>
      </c>
      <c r="M454" t="s">
        <v>92</v>
      </c>
      <c r="N454">
        <v>75.78</v>
      </c>
    </row>
    <row r="455" spans="1:14" x14ac:dyDescent="0.3">
      <c r="A455" t="s">
        <v>1768</v>
      </c>
      <c r="B455" s="8">
        <v>45779</v>
      </c>
      <c r="C455" t="s">
        <v>1769</v>
      </c>
      <c r="D455" t="s">
        <v>48</v>
      </c>
      <c r="E455">
        <v>1</v>
      </c>
      <c r="F455">
        <v>675.57</v>
      </c>
      <c r="G455" t="s">
        <v>1770</v>
      </c>
      <c r="H455" t="s">
        <v>81</v>
      </c>
      <c r="I455" t="s">
        <v>35</v>
      </c>
      <c r="J455" t="s">
        <v>1771</v>
      </c>
      <c r="K455">
        <v>1</v>
      </c>
      <c r="L455" t="s">
        <v>97</v>
      </c>
      <c r="M455" t="s">
        <v>61</v>
      </c>
      <c r="N455">
        <v>675.57</v>
      </c>
    </row>
    <row r="456" spans="1:14" x14ac:dyDescent="0.3">
      <c r="A456" t="s">
        <v>1772</v>
      </c>
      <c r="B456" s="8">
        <v>45623</v>
      </c>
      <c r="C456" t="s">
        <v>1773</v>
      </c>
      <c r="D456" t="s">
        <v>74</v>
      </c>
      <c r="E456">
        <v>1</v>
      </c>
      <c r="F456">
        <v>109.29</v>
      </c>
      <c r="G456" t="s">
        <v>1774</v>
      </c>
      <c r="H456" t="s">
        <v>34</v>
      </c>
      <c r="I456" t="s">
        <v>51</v>
      </c>
      <c r="J456" t="s">
        <v>1775</v>
      </c>
      <c r="K456">
        <v>5</v>
      </c>
      <c r="L456" t="s">
        <v>53</v>
      </c>
      <c r="M456" t="s">
        <v>92</v>
      </c>
      <c r="N456">
        <v>109.29</v>
      </c>
    </row>
    <row r="457" spans="1:14" x14ac:dyDescent="0.3">
      <c r="A457" t="s">
        <v>1776</v>
      </c>
      <c r="B457" s="8">
        <v>45377</v>
      </c>
      <c r="C457" t="s">
        <v>1777</v>
      </c>
      <c r="D457" t="s">
        <v>41</v>
      </c>
      <c r="E457">
        <v>1</v>
      </c>
      <c r="F457">
        <v>639.83000000000004</v>
      </c>
      <c r="G457" t="s">
        <v>1778</v>
      </c>
      <c r="H457" t="s">
        <v>34</v>
      </c>
      <c r="I457" t="s">
        <v>105</v>
      </c>
      <c r="J457" t="s">
        <v>1779</v>
      </c>
      <c r="K457">
        <v>2</v>
      </c>
      <c r="L457" t="s">
        <v>37</v>
      </c>
      <c r="M457" t="s">
        <v>45</v>
      </c>
      <c r="N457">
        <v>639.83000000000004</v>
      </c>
    </row>
    <row r="458" spans="1:14" x14ac:dyDescent="0.3">
      <c r="A458" t="s">
        <v>1780</v>
      </c>
      <c r="B458" s="8">
        <v>45103</v>
      </c>
      <c r="C458" t="s">
        <v>1781</v>
      </c>
      <c r="D458" t="s">
        <v>89</v>
      </c>
      <c r="E458">
        <v>5</v>
      </c>
      <c r="F458">
        <v>62.81</v>
      </c>
      <c r="G458" t="s">
        <v>1380</v>
      </c>
      <c r="H458" t="s">
        <v>50</v>
      </c>
      <c r="I458" t="s">
        <v>35</v>
      </c>
      <c r="J458" t="s">
        <v>1782</v>
      </c>
      <c r="K458">
        <v>9</v>
      </c>
      <c r="L458" t="s">
        <v>37</v>
      </c>
      <c r="M458" t="s">
        <v>61</v>
      </c>
      <c r="N458">
        <v>314.05</v>
      </c>
    </row>
    <row r="459" spans="1:14" x14ac:dyDescent="0.3">
      <c r="A459" t="s">
        <v>1783</v>
      </c>
      <c r="B459" s="8">
        <v>45802</v>
      </c>
      <c r="C459" t="s">
        <v>1784</v>
      </c>
      <c r="D459" t="s">
        <v>89</v>
      </c>
      <c r="E459">
        <v>4</v>
      </c>
      <c r="F459">
        <v>615.83000000000004</v>
      </c>
      <c r="G459" t="s">
        <v>1785</v>
      </c>
      <c r="H459" t="s">
        <v>43</v>
      </c>
      <c r="I459" t="s">
        <v>59</v>
      </c>
      <c r="J459" t="s">
        <v>1786</v>
      </c>
      <c r="K459">
        <v>4</v>
      </c>
      <c r="L459" t="s">
        <v>97</v>
      </c>
      <c r="M459" t="s">
        <v>38</v>
      </c>
      <c r="N459">
        <v>2463.3200000000002</v>
      </c>
    </row>
    <row r="460" spans="1:14" x14ac:dyDescent="0.3">
      <c r="A460" t="s">
        <v>1787</v>
      </c>
      <c r="B460" s="8">
        <v>45475</v>
      </c>
      <c r="C460" t="s">
        <v>1788</v>
      </c>
      <c r="D460" t="s">
        <v>32</v>
      </c>
      <c r="E460">
        <v>4</v>
      </c>
      <c r="F460">
        <v>510.58</v>
      </c>
      <c r="G460" t="s">
        <v>415</v>
      </c>
      <c r="H460" t="s">
        <v>50</v>
      </c>
      <c r="I460" t="s">
        <v>59</v>
      </c>
      <c r="J460" t="s">
        <v>1789</v>
      </c>
      <c r="K460">
        <v>7</v>
      </c>
      <c r="L460" t="s">
        <v>97</v>
      </c>
      <c r="M460" t="s">
        <v>54</v>
      </c>
      <c r="N460">
        <v>2042.32</v>
      </c>
    </row>
    <row r="461" spans="1:14" x14ac:dyDescent="0.3">
      <c r="A461" t="s">
        <v>1790</v>
      </c>
      <c r="B461" s="8">
        <v>45497</v>
      </c>
      <c r="C461" t="s">
        <v>1791</v>
      </c>
      <c r="D461" t="s">
        <v>89</v>
      </c>
      <c r="E461">
        <v>1</v>
      </c>
      <c r="F461">
        <v>334.39</v>
      </c>
      <c r="G461" t="s">
        <v>1686</v>
      </c>
      <c r="H461" t="s">
        <v>50</v>
      </c>
      <c r="I461" t="s">
        <v>59</v>
      </c>
      <c r="J461" t="s">
        <v>1792</v>
      </c>
      <c r="K461">
        <v>2</v>
      </c>
      <c r="M461" t="s">
        <v>38</v>
      </c>
      <c r="N461">
        <v>334.39</v>
      </c>
    </row>
    <row r="462" spans="1:14" x14ac:dyDescent="0.3">
      <c r="A462" t="s">
        <v>1793</v>
      </c>
      <c r="B462" s="8">
        <v>45571</v>
      </c>
      <c r="C462" t="s">
        <v>1794</v>
      </c>
      <c r="D462" t="s">
        <v>74</v>
      </c>
      <c r="E462">
        <v>1</v>
      </c>
      <c r="F462">
        <v>144.25</v>
      </c>
      <c r="G462" t="s">
        <v>1795</v>
      </c>
      <c r="H462" t="s">
        <v>81</v>
      </c>
      <c r="I462" t="s">
        <v>59</v>
      </c>
      <c r="J462" t="s">
        <v>1796</v>
      </c>
      <c r="K462">
        <v>2</v>
      </c>
      <c r="L462" t="s">
        <v>97</v>
      </c>
      <c r="M462" t="s">
        <v>45</v>
      </c>
      <c r="N462">
        <v>144.25</v>
      </c>
    </row>
    <row r="463" spans="1:14" x14ac:dyDescent="0.3">
      <c r="A463" t="s">
        <v>1797</v>
      </c>
      <c r="B463" s="8">
        <v>45451</v>
      </c>
      <c r="C463" t="s">
        <v>1798</v>
      </c>
      <c r="D463" t="s">
        <v>48</v>
      </c>
      <c r="E463">
        <v>1</v>
      </c>
      <c r="F463">
        <v>401.82</v>
      </c>
      <c r="G463" t="s">
        <v>988</v>
      </c>
      <c r="H463" t="s">
        <v>50</v>
      </c>
      <c r="I463" t="s">
        <v>35</v>
      </c>
      <c r="J463" t="s">
        <v>1799</v>
      </c>
      <c r="K463">
        <v>5</v>
      </c>
      <c r="L463" t="s">
        <v>53</v>
      </c>
      <c r="M463" t="s">
        <v>92</v>
      </c>
      <c r="N463">
        <v>401.82</v>
      </c>
    </row>
    <row r="464" spans="1:14" x14ac:dyDescent="0.3">
      <c r="A464" t="s">
        <v>1800</v>
      </c>
      <c r="B464" s="8">
        <v>45747</v>
      </c>
      <c r="C464" t="s">
        <v>1801</v>
      </c>
      <c r="D464" t="s">
        <v>41</v>
      </c>
      <c r="E464">
        <v>1</v>
      </c>
      <c r="F464">
        <v>252.68</v>
      </c>
      <c r="G464" t="s">
        <v>1802</v>
      </c>
      <c r="H464" t="s">
        <v>43</v>
      </c>
      <c r="I464" t="s">
        <v>51</v>
      </c>
      <c r="J464" t="s">
        <v>1803</v>
      </c>
      <c r="K464">
        <v>1</v>
      </c>
      <c r="M464" t="s">
        <v>45</v>
      </c>
      <c r="N464">
        <v>252.68</v>
      </c>
    </row>
    <row r="465" spans="1:14" x14ac:dyDescent="0.3">
      <c r="A465" t="s">
        <v>1804</v>
      </c>
      <c r="B465" s="8">
        <v>45072</v>
      </c>
      <c r="C465" t="s">
        <v>1805</v>
      </c>
      <c r="D465" t="s">
        <v>74</v>
      </c>
      <c r="E465">
        <v>5</v>
      </c>
      <c r="F465">
        <v>662.78</v>
      </c>
      <c r="G465" t="s">
        <v>1806</v>
      </c>
      <c r="H465" t="s">
        <v>34</v>
      </c>
      <c r="I465" t="s">
        <v>35</v>
      </c>
      <c r="J465" t="s">
        <v>1807</v>
      </c>
      <c r="K465">
        <v>9</v>
      </c>
      <c r="L465" t="s">
        <v>37</v>
      </c>
      <c r="M465" t="s">
        <v>38</v>
      </c>
      <c r="N465">
        <v>3313.9</v>
      </c>
    </row>
    <row r="466" spans="1:14" x14ac:dyDescent="0.3">
      <c r="A466" t="s">
        <v>1808</v>
      </c>
      <c r="B466" s="8">
        <v>44999</v>
      </c>
      <c r="C466" t="s">
        <v>1809</v>
      </c>
      <c r="D466" t="s">
        <v>48</v>
      </c>
      <c r="E466">
        <v>4</v>
      </c>
      <c r="F466">
        <v>434.42</v>
      </c>
      <c r="G466" t="s">
        <v>1810</v>
      </c>
      <c r="H466" t="s">
        <v>43</v>
      </c>
      <c r="I466" t="s">
        <v>51</v>
      </c>
      <c r="J466" t="s">
        <v>1811</v>
      </c>
      <c r="K466">
        <v>6</v>
      </c>
      <c r="L466" t="s">
        <v>53</v>
      </c>
      <c r="M466" t="s">
        <v>92</v>
      </c>
      <c r="N466">
        <v>1737.68</v>
      </c>
    </row>
    <row r="467" spans="1:14" x14ac:dyDescent="0.3">
      <c r="A467" t="s">
        <v>1812</v>
      </c>
      <c r="B467" s="8">
        <v>45348</v>
      </c>
      <c r="C467" t="s">
        <v>1813</v>
      </c>
      <c r="D467" t="s">
        <v>64</v>
      </c>
      <c r="E467">
        <v>5</v>
      </c>
      <c r="F467">
        <v>513.49</v>
      </c>
      <c r="G467" t="s">
        <v>1814</v>
      </c>
      <c r="H467" t="s">
        <v>76</v>
      </c>
      <c r="I467" t="s">
        <v>51</v>
      </c>
      <c r="J467" t="s">
        <v>1815</v>
      </c>
      <c r="K467">
        <v>8</v>
      </c>
      <c r="M467" t="s">
        <v>92</v>
      </c>
      <c r="N467">
        <v>2567.4499999999998</v>
      </c>
    </row>
    <row r="468" spans="1:14" x14ac:dyDescent="0.3">
      <c r="A468" t="s">
        <v>1816</v>
      </c>
      <c r="B468" s="8">
        <v>45125</v>
      </c>
      <c r="C468" t="s">
        <v>1817</v>
      </c>
      <c r="D468" t="s">
        <v>41</v>
      </c>
      <c r="E468">
        <v>1</v>
      </c>
      <c r="F468">
        <v>432.47</v>
      </c>
      <c r="G468" t="s">
        <v>177</v>
      </c>
      <c r="H468" t="s">
        <v>81</v>
      </c>
      <c r="I468" t="s">
        <v>66</v>
      </c>
      <c r="J468" t="s">
        <v>1818</v>
      </c>
      <c r="K468">
        <v>4</v>
      </c>
      <c r="L468" t="s">
        <v>53</v>
      </c>
      <c r="M468" t="s">
        <v>45</v>
      </c>
      <c r="N468">
        <v>432.47</v>
      </c>
    </row>
    <row r="469" spans="1:14" x14ac:dyDescent="0.3">
      <c r="A469" t="s">
        <v>1819</v>
      </c>
      <c r="B469" s="8">
        <v>45534</v>
      </c>
      <c r="C469" t="s">
        <v>1820</v>
      </c>
      <c r="D469" t="s">
        <v>89</v>
      </c>
      <c r="E469">
        <v>1</v>
      </c>
      <c r="F469">
        <v>45.94</v>
      </c>
      <c r="G469" t="s">
        <v>779</v>
      </c>
      <c r="H469" t="s">
        <v>81</v>
      </c>
      <c r="I469" t="s">
        <v>51</v>
      </c>
      <c r="J469" t="s">
        <v>1821</v>
      </c>
      <c r="K469">
        <v>2</v>
      </c>
      <c r="L469" t="s">
        <v>97</v>
      </c>
      <c r="M469" t="s">
        <v>54</v>
      </c>
      <c r="N469">
        <v>45.94</v>
      </c>
    </row>
    <row r="470" spans="1:14" x14ac:dyDescent="0.3">
      <c r="A470" t="s">
        <v>1822</v>
      </c>
      <c r="B470" s="8">
        <v>45829</v>
      </c>
      <c r="C470" t="s">
        <v>1823</v>
      </c>
      <c r="D470" t="s">
        <v>41</v>
      </c>
      <c r="E470">
        <v>1</v>
      </c>
      <c r="F470">
        <v>418.36</v>
      </c>
      <c r="G470" t="s">
        <v>1824</v>
      </c>
      <c r="H470" t="s">
        <v>50</v>
      </c>
      <c r="I470" t="s">
        <v>66</v>
      </c>
      <c r="J470" t="s">
        <v>1825</v>
      </c>
      <c r="K470">
        <v>5</v>
      </c>
      <c r="L470" t="s">
        <v>53</v>
      </c>
      <c r="M470" t="s">
        <v>54</v>
      </c>
      <c r="N470">
        <v>418.36</v>
      </c>
    </row>
    <row r="471" spans="1:14" x14ac:dyDescent="0.3">
      <c r="A471" t="s">
        <v>1826</v>
      </c>
      <c r="B471" s="8">
        <v>45256</v>
      </c>
      <c r="C471" t="s">
        <v>1827</v>
      </c>
      <c r="D471" t="s">
        <v>57</v>
      </c>
      <c r="E471">
        <v>5</v>
      </c>
      <c r="F471">
        <v>676.98</v>
      </c>
      <c r="G471" t="s">
        <v>634</v>
      </c>
      <c r="H471" t="s">
        <v>81</v>
      </c>
      <c r="I471" t="s">
        <v>51</v>
      </c>
      <c r="J471" t="s">
        <v>1828</v>
      </c>
      <c r="K471">
        <v>5</v>
      </c>
      <c r="M471" t="s">
        <v>61</v>
      </c>
      <c r="N471">
        <v>3384.9</v>
      </c>
    </row>
    <row r="472" spans="1:14" x14ac:dyDescent="0.3">
      <c r="A472" t="s">
        <v>1829</v>
      </c>
      <c r="B472" s="8">
        <v>45198</v>
      </c>
      <c r="C472" t="s">
        <v>1830</v>
      </c>
      <c r="D472" t="s">
        <v>48</v>
      </c>
      <c r="E472">
        <v>4</v>
      </c>
      <c r="F472">
        <v>263.62</v>
      </c>
      <c r="G472" t="s">
        <v>1831</v>
      </c>
      <c r="H472" t="s">
        <v>81</v>
      </c>
      <c r="I472" t="s">
        <v>35</v>
      </c>
      <c r="J472" t="s">
        <v>1832</v>
      </c>
      <c r="K472">
        <v>5</v>
      </c>
      <c r="L472" t="s">
        <v>37</v>
      </c>
      <c r="M472" t="s">
        <v>54</v>
      </c>
      <c r="N472">
        <v>1054.48</v>
      </c>
    </row>
    <row r="473" spans="1:14" x14ac:dyDescent="0.3">
      <c r="A473" t="s">
        <v>1833</v>
      </c>
      <c r="B473" s="8">
        <v>45766</v>
      </c>
      <c r="C473" t="s">
        <v>1834</v>
      </c>
      <c r="D473" t="s">
        <v>89</v>
      </c>
      <c r="E473">
        <v>5</v>
      </c>
      <c r="F473">
        <v>551.27</v>
      </c>
      <c r="G473" t="s">
        <v>1835</v>
      </c>
      <c r="H473" t="s">
        <v>43</v>
      </c>
      <c r="I473" t="s">
        <v>51</v>
      </c>
      <c r="J473" t="s">
        <v>1836</v>
      </c>
      <c r="K473">
        <v>7</v>
      </c>
      <c r="L473" t="s">
        <v>53</v>
      </c>
      <c r="M473" t="s">
        <v>45</v>
      </c>
      <c r="N473">
        <v>2756.35</v>
      </c>
    </row>
    <row r="474" spans="1:14" x14ac:dyDescent="0.3">
      <c r="A474" t="s">
        <v>1837</v>
      </c>
      <c r="B474" s="8">
        <v>44932</v>
      </c>
      <c r="C474" t="s">
        <v>1838</v>
      </c>
      <c r="D474" t="s">
        <v>57</v>
      </c>
      <c r="E474">
        <v>3</v>
      </c>
      <c r="F474">
        <v>508.12</v>
      </c>
      <c r="G474" t="s">
        <v>1839</v>
      </c>
      <c r="H474" t="s">
        <v>50</v>
      </c>
      <c r="I474" t="s">
        <v>51</v>
      </c>
      <c r="J474" t="s">
        <v>1840</v>
      </c>
      <c r="K474">
        <v>8</v>
      </c>
      <c r="L474" t="s">
        <v>53</v>
      </c>
      <c r="M474" t="s">
        <v>45</v>
      </c>
      <c r="N474">
        <v>1524.36</v>
      </c>
    </row>
    <row r="475" spans="1:14" x14ac:dyDescent="0.3">
      <c r="A475" t="s">
        <v>1841</v>
      </c>
      <c r="B475" s="8">
        <v>45713</v>
      </c>
      <c r="C475" t="s">
        <v>1842</v>
      </c>
      <c r="D475" t="s">
        <v>57</v>
      </c>
      <c r="E475">
        <v>2</v>
      </c>
      <c r="F475">
        <v>14.93</v>
      </c>
      <c r="G475" t="s">
        <v>1843</v>
      </c>
      <c r="H475" t="s">
        <v>43</v>
      </c>
      <c r="I475" t="s">
        <v>35</v>
      </c>
      <c r="J475" t="s">
        <v>1844</v>
      </c>
      <c r="K475">
        <v>4</v>
      </c>
      <c r="M475" t="s">
        <v>61</v>
      </c>
      <c r="N475">
        <v>29.86</v>
      </c>
    </row>
    <row r="476" spans="1:14" x14ac:dyDescent="0.3">
      <c r="A476" t="s">
        <v>1845</v>
      </c>
      <c r="B476" s="8">
        <v>45245</v>
      </c>
      <c r="C476" t="s">
        <v>1846</v>
      </c>
      <c r="D476" t="s">
        <v>64</v>
      </c>
      <c r="E476">
        <v>3</v>
      </c>
      <c r="F476">
        <v>229.34</v>
      </c>
      <c r="G476" t="s">
        <v>1356</v>
      </c>
      <c r="H476" t="s">
        <v>50</v>
      </c>
      <c r="I476" t="s">
        <v>35</v>
      </c>
      <c r="J476" t="s">
        <v>1847</v>
      </c>
      <c r="K476">
        <v>6</v>
      </c>
      <c r="L476" t="s">
        <v>37</v>
      </c>
      <c r="M476" t="s">
        <v>45</v>
      </c>
      <c r="N476">
        <v>688.02</v>
      </c>
    </row>
    <row r="477" spans="1:14" x14ac:dyDescent="0.3">
      <c r="A477" t="s">
        <v>1848</v>
      </c>
      <c r="B477" s="8">
        <v>45766</v>
      </c>
      <c r="C477" t="s">
        <v>1849</v>
      </c>
      <c r="D477" t="s">
        <v>48</v>
      </c>
      <c r="E477">
        <v>2</v>
      </c>
      <c r="F477">
        <v>438.62</v>
      </c>
      <c r="G477" t="s">
        <v>1850</v>
      </c>
      <c r="H477" t="s">
        <v>81</v>
      </c>
      <c r="I477" t="s">
        <v>51</v>
      </c>
      <c r="J477" t="s">
        <v>1851</v>
      </c>
      <c r="K477">
        <v>3</v>
      </c>
      <c r="L477" t="s">
        <v>37</v>
      </c>
      <c r="M477" t="s">
        <v>61</v>
      </c>
      <c r="N477">
        <v>877.24</v>
      </c>
    </row>
    <row r="478" spans="1:14" x14ac:dyDescent="0.3">
      <c r="A478" t="s">
        <v>1852</v>
      </c>
      <c r="B478" s="8">
        <v>45306</v>
      </c>
      <c r="C478" t="s">
        <v>1853</v>
      </c>
      <c r="D478" t="s">
        <v>41</v>
      </c>
      <c r="E478">
        <v>2</v>
      </c>
      <c r="F478">
        <v>513.59</v>
      </c>
      <c r="G478" t="s">
        <v>1854</v>
      </c>
      <c r="H478" t="s">
        <v>43</v>
      </c>
      <c r="I478" t="s">
        <v>59</v>
      </c>
      <c r="J478" t="s">
        <v>1855</v>
      </c>
      <c r="K478">
        <v>4</v>
      </c>
      <c r="L478" t="s">
        <v>53</v>
      </c>
      <c r="M478" t="s">
        <v>45</v>
      </c>
      <c r="N478">
        <v>1027.18</v>
      </c>
    </row>
    <row r="479" spans="1:14" x14ac:dyDescent="0.3">
      <c r="A479" t="s">
        <v>1856</v>
      </c>
      <c r="B479" s="8">
        <v>45721</v>
      </c>
      <c r="C479" t="s">
        <v>1857</v>
      </c>
      <c r="D479" t="s">
        <v>41</v>
      </c>
      <c r="E479">
        <v>2</v>
      </c>
      <c r="F479">
        <v>253.74</v>
      </c>
      <c r="G479" t="s">
        <v>1858</v>
      </c>
      <c r="H479" t="s">
        <v>43</v>
      </c>
      <c r="I479" t="s">
        <v>35</v>
      </c>
      <c r="J479" t="s">
        <v>1859</v>
      </c>
      <c r="K479">
        <v>5</v>
      </c>
      <c r="L479" t="s">
        <v>37</v>
      </c>
      <c r="M479" t="s">
        <v>92</v>
      </c>
      <c r="N479">
        <v>507.48</v>
      </c>
    </row>
    <row r="480" spans="1:14" x14ac:dyDescent="0.3">
      <c r="A480" t="s">
        <v>1860</v>
      </c>
      <c r="B480" s="8">
        <v>45597</v>
      </c>
      <c r="C480" t="s">
        <v>1861</v>
      </c>
      <c r="D480" t="s">
        <v>48</v>
      </c>
      <c r="E480">
        <v>3</v>
      </c>
      <c r="F480">
        <v>62.77</v>
      </c>
      <c r="G480" t="s">
        <v>121</v>
      </c>
      <c r="H480" t="s">
        <v>76</v>
      </c>
      <c r="I480" t="s">
        <v>35</v>
      </c>
      <c r="J480" t="s">
        <v>1862</v>
      </c>
      <c r="K480">
        <v>6</v>
      </c>
      <c r="L480" t="s">
        <v>53</v>
      </c>
      <c r="M480" t="s">
        <v>45</v>
      </c>
      <c r="N480">
        <v>188.31</v>
      </c>
    </row>
    <row r="481" spans="1:14" x14ac:dyDescent="0.3">
      <c r="A481" t="s">
        <v>1863</v>
      </c>
      <c r="B481" s="8">
        <v>44975</v>
      </c>
      <c r="C481" t="s">
        <v>1864</v>
      </c>
      <c r="D481" t="s">
        <v>32</v>
      </c>
      <c r="E481">
        <v>4</v>
      </c>
      <c r="F481">
        <v>25.29</v>
      </c>
      <c r="G481" t="s">
        <v>1865</v>
      </c>
      <c r="H481" t="s">
        <v>50</v>
      </c>
      <c r="I481" t="s">
        <v>105</v>
      </c>
      <c r="J481" t="s">
        <v>1866</v>
      </c>
      <c r="K481">
        <v>8</v>
      </c>
      <c r="M481" t="s">
        <v>92</v>
      </c>
      <c r="N481">
        <v>101.16</v>
      </c>
    </row>
    <row r="482" spans="1:14" x14ac:dyDescent="0.3">
      <c r="A482" t="s">
        <v>1867</v>
      </c>
      <c r="B482" s="8">
        <v>45093</v>
      </c>
      <c r="C482" t="s">
        <v>1868</v>
      </c>
      <c r="D482" t="s">
        <v>57</v>
      </c>
      <c r="E482">
        <v>1</v>
      </c>
      <c r="F482">
        <v>335.1</v>
      </c>
      <c r="G482" t="s">
        <v>474</v>
      </c>
      <c r="H482" t="s">
        <v>34</v>
      </c>
      <c r="I482" t="s">
        <v>105</v>
      </c>
      <c r="J482" t="s">
        <v>1869</v>
      </c>
      <c r="K482">
        <v>6</v>
      </c>
      <c r="L482" t="s">
        <v>53</v>
      </c>
      <c r="M482" t="s">
        <v>45</v>
      </c>
      <c r="N482">
        <v>335.1</v>
      </c>
    </row>
    <row r="483" spans="1:14" x14ac:dyDescent="0.3">
      <c r="A483" t="s">
        <v>1870</v>
      </c>
      <c r="B483" s="8">
        <v>45039</v>
      </c>
      <c r="C483" t="s">
        <v>1871</v>
      </c>
      <c r="D483" t="s">
        <v>74</v>
      </c>
      <c r="E483">
        <v>4</v>
      </c>
      <c r="F483">
        <v>484.85</v>
      </c>
      <c r="G483" t="s">
        <v>882</v>
      </c>
      <c r="H483" t="s">
        <v>34</v>
      </c>
      <c r="I483" t="s">
        <v>66</v>
      </c>
      <c r="J483" t="s">
        <v>1872</v>
      </c>
      <c r="K483">
        <v>5</v>
      </c>
      <c r="L483" t="s">
        <v>97</v>
      </c>
      <c r="M483" t="s">
        <v>45</v>
      </c>
      <c r="N483">
        <v>1939.4</v>
      </c>
    </row>
    <row r="484" spans="1:14" x14ac:dyDescent="0.3">
      <c r="A484" t="s">
        <v>1873</v>
      </c>
      <c r="B484" s="8">
        <v>45718</v>
      </c>
      <c r="C484" t="s">
        <v>1874</v>
      </c>
      <c r="D484" t="s">
        <v>32</v>
      </c>
      <c r="E484">
        <v>3</v>
      </c>
      <c r="F484">
        <v>381.41</v>
      </c>
      <c r="G484" t="s">
        <v>383</v>
      </c>
      <c r="H484" t="s">
        <v>43</v>
      </c>
      <c r="I484" t="s">
        <v>105</v>
      </c>
      <c r="J484" t="s">
        <v>1875</v>
      </c>
      <c r="K484">
        <v>6</v>
      </c>
      <c r="M484" t="s">
        <v>38</v>
      </c>
      <c r="N484">
        <v>1144.23</v>
      </c>
    </row>
    <row r="485" spans="1:14" x14ac:dyDescent="0.3">
      <c r="A485" t="s">
        <v>1876</v>
      </c>
      <c r="B485" s="8">
        <v>44944</v>
      </c>
      <c r="C485" t="s">
        <v>1877</v>
      </c>
      <c r="D485" t="s">
        <v>41</v>
      </c>
      <c r="E485">
        <v>5</v>
      </c>
      <c r="F485">
        <v>347.92</v>
      </c>
      <c r="G485" t="s">
        <v>1878</v>
      </c>
      <c r="H485" t="s">
        <v>81</v>
      </c>
      <c r="I485" t="s">
        <v>105</v>
      </c>
      <c r="J485" t="s">
        <v>1879</v>
      </c>
      <c r="K485">
        <v>6</v>
      </c>
      <c r="L485" t="s">
        <v>97</v>
      </c>
      <c r="M485" t="s">
        <v>92</v>
      </c>
      <c r="N485">
        <v>1739.6</v>
      </c>
    </row>
    <row r="486" spans="1:14" x14ac:dyDescent="0.3">
      <c r="A486" t="s">
        <v>1880</v>
      </c>
      <c r="B486" s="8">
        <v>45441</v>
      </c>
      <c r="C486" t="s">
        <v>1881</v>
      </c>
      <c r="D486" t="s">
        <v>57</v>
      </c>
      <c r="E486">
        <v>4</v>
      </c>
      <c r="F486">
        <v>15.01</v>
      </c>
      <c r="G486" t="s">
        <v>1610</v>
      </c>
      <c r="H486" t="s">
        <v>81</v>
      </c>
      <c r="I486" t="s">
        <v>51</v>
      </c>
      <c r="J486" t="s">
        <v>1882</v>
      </c>
      <c r="K486">
        <v>6</v>
      </c>
      <c r="M486" t="s">
        <v>61</v>
      </c>
      <c r="N486">
        <v>60.04</v>
      </c>
    </row>
    <row r="487" spans="1:14" x14ac:dyDescent="0.3">
      <c r="A487" t="s">
        <v>1883</v>
      </c>
      <c r="B487" s="8">
        <v>45139</v>
      </c>
      <c r="C487" t="s">
        <v>1884</v>
      </c>
      <c r="D487" t="s">
        <v>57</v>
      </c>
      <c r="E487">
        <v>3</v>
      </c>
      <c r="F487">
        <v>404.79</v>
      </c>
      <c r="G487" t="s">
        <v>1885</v>
      </c>
      <c r="H487" t="s">
        <v>81</v>
      </c>
      <c r="I487" t="s">
        <v>35</v>
      </c>
      <c r="J487" t="s">
        <v>1886</v>
      </c>
      <c r="K487">
        <v>6</v>
      </c>
      <c r="L487" t="s">
        <v>37</v>
      </c>
      <c r="M487" t="s">
        <v>38</v>
      </c>
      <c r="N487">
        <v>1214.3699999999999</v>
      </c>
    </row>
    <row r="488" spans="1:14" x14ac:dyDescent="0.3">
      <c r="A488" t="s">
        <v>1887</v>
      </c>
      <c r="B488" s="8">
        <v>44960</v>
      </c>
      <c r="C488" t="s">
        <v>1888</v>
      </c>
      <c r="D488" t="s">
        <v>64</v>
      </c>
      <c r="E488">
        <v>4</v>
      </c>
      <c r="F488">
        <v>611.26</v>
      </c>
      <c r="G488" t="s">
        <v>1541</v>
      </c>
      <c r="H488" t="s">
        <v>81</v>
      </c>
      <c r="I488" t="s">
        <v>35</v>
      </c>
      <c r="J488" t="s">
        <v>1889</v>
      </c>
      <c r="K488">
        <v>5</v>
      </c>
      <c r="L488" t="s">
        <v>37</v>
      </c>
      <c r="M488" t="s">
        <v>45</v>
      </c>
      <c r="N488">
        <v>2445.04</v>
      </c>
    </row>
    <row r="489" spans="1:14" x14ac:dyDescent="0.3">
      <c r="A489" t="s">
        <v>1890</v>
      </c>
      <c r="B489" s="8">
        <v>44994</v>
      </c>
      <c r="C489" t="s">
        <v>1891</v>
      </c>
      <c r="D489" t="s">
        <v>64</v>
      </c>
      <c r="E489">
        <v>3</v>
      </c>
      <c r="F489">
        <v>346.52</v>
      </c>
      <c r="G489" t="s">
        <v>1892</v>
      </c>
      <c r="H489" t="s">
        <v>50</v>
      </c>
      <c r="I489" t="s">
        <v>105</v>
      </c>
      <c r="J489" t="s">
        <v>1893</v>
      </c>
      <c r="K489">
        <v>3</v>
      </c>
      <c r="L489" t="s">
        <v>37</v>
      </c>
      <c r="M489" t="s">
        <v>92</v>
      </c>
      <c r="N489">
        <v>1039.56</v>
      </c>
    </row>
    <row r="490" spans="1:14" x14ac:dyDescent="0.3">
      <c r="A490" t="s">
        <v>1894</v>
      </c>
      <c r="B490" s="8">
        <v>45631</v>
      </c>
      <c r="C490" t="s">
        <v>1895</v>
      </c>
      <c r="D490" t="s">
        <v>57</v>
      </c>
      <c r="E490">
        <v>1</v>
      </c>
      <c r="F490">
        <v>36.65</v>
      </c>
      <c r="G490" t="s">
        <v>1896</v>
      </c>
      <c r="H490" t="s">
        <v>43</v>
      </c>
      <c r="I490" t="s">
        <v>51</v>
      </c>
      <c r="J490" t="s">
        <v>1897</v>
      </c>
      <c r="K490">
        <v>1</v>
      </c>
      <c r="L490" t="s">
        <v>97</v>
      </c>
      <c r="M490" t="s">
        <v>54</v>
      </c>
      <c r="N490">
        <v>36.65</v>
      </c>
    </row>
    <row r="491" spans="1:14" x14ac:dyDescent="0.3">
      <c r="A491" t="s">
        <v>1898</v>
      </c>
      <c r="B491" s="8">
        <v>45174</v>
      </c>
      <c r="C491" t="s">
        <v>1899</v>
      </c>
      <c r="D491" t="s">
        <v>48</v>
      </c>
      <c r="E491">
        <v>3</v>
      </c>
      <c r="F491">
        <v>149.34</v>
      </c>
      <c r="G491" t="s">
        <v>1082</v>
      </c>
      <c r="H491" t="s">
        <v>76</v>
      </c>
      <c r="I491" t="s">
        <v>51</v>
      </c>
      <c r="J491" t="s">
        <v>1900</v>
      </c>
      <c r="K491">
        <v>7</v>
      </c>
      <c r="L491" t="s">
        <v>97</v>
      </c>
      <c r="M491" t="s">
        <v>54</v>
      </c>
      <c r="N491">
        <v>448.02</v>
      </c>
    </row>
    <row r="492" spans="1:14" x14ac:dyDescent="0.3">
      <c r="A492" t="s">
        <v>1901</v>
      </c>
      <c r="B492" s="8">
        <v>45495</v>
      </c>
      <c r="C492" t="s">
        <v>1902</v>
      </c>
      <c r="D492" t="s">
        <v>57</v>
      </c>
      <c r="E492">
        <v>5</v>
      </c>
      <c r="F492">
        <v>467.81</v>
      </c>
      <c r="G492" t="s">
        <v>1903</v>
      </c>
      <c r="H492" t="s">
        <v>43</v>
      </c>
      <c r="I492" t="s">
        <v>51</v>
      </c>
      <c r="J492" t="s">
        <v>1904</v>
      </c>
      <c r="K492">
        <v>10</v>
      </c>
      <c r="M492" t="s">
        <v>61</v>
      </c>
      <c r="N492">
        <v>2339.0500000000002</v>
      </c>
    </row>
    <row r="493" spans="1:14" x14ac:dyDescent="0.3">
      <c r="A493" t="s">
        <v>1905</v>
      </c>
      <c r="B493" s="8">
        <v>44931</v>
      </c>
      <c r="C493" t="s">
        <v>1906</v>
      </c>
      <c r="D493" t="s">
        <v>41</v>
      </c>
      <c r="E493">
        <v>5</v>
      </c>
      <c r="F493">
        <v>420.7</v>
      </c>
      <c r="G493" t="s">
        <v>1858</v>
      </c>
      <c r="H493" t="s">
        <v>81</v>
      </c>
      <c r="I493" t="s">
        <v>105</v>
      </c>
      <c r="J493" t="s">
        <v>1907</v>
      </c>
      <c r="K493">
        <v>5</v>
      </c>
      <c r="L493" t="s">
        <v>97</v>
      </c>
      <c r="M493" t="s">
        <v>61</v>
      </c>
      <c r="N493">
        <v>2103.5</v>
      </c>
    </row>
    <row r="494" spans="1:14" x14ac:dyDescent="0.3">
      <c r="A494" t="s">
        <v>1908</v>
      </c>
      <c r="B494" s="8">
        <v>45224</v>
      </c>
      <c r="C494" t="s">
        <v>1909</v>
      </c>
      <c r="D494" t="s">
        <v>74</v>
      </c>
      <c r="E494">
        <v>5</v>
      </c>
      <c r="F494">
        <v>606.52</v>
      </c>
      <c r="G494" t="s">
        <v>367</v>
      </c>
      <c r="H494" t="s">
        <v>34</v>
      </c>
      <c r="I494" t="s">
        <v>35</v>
      </c>
      <c r="J494" t="s">
        <v>1910</v>
      </c>
      <c r="K494">
        <v>6</v>
      </c>
      <c r="L494" t="s">
        <v>37</v>
      </c>
      <c r="M494" t="s">
        <v>38</v>
      </c>
      <c r="N494">
        <v>3032.6</v>
      </c>
    </row>
    <row r="495" spans="1:14" x14ac:dyDescent="0.3">
      <c r="A495" t="s">
        <v>1911</v>
      </c>
      <c r="B495" s="8">
        <v>45685</v>
      </c>
      <c r="C495" t="s">
        <v>1912</v>
      </c>
      <c r="D495" t="s">
        <v>41</v>
      </c>
      <c r="E495">
        <v>1</v>
      </c>
      <c r="F495">
        <v>420.26</v>
      </c>
      <c r="G495" t="s">
        <v>1913</v>
      </c>
      <c r="H495" t="s">
        <v>50</v>
      </c>
      <c r="I495" t="s">
        <v>105</v>
      </c>
      <c r="J495" t="s">
        <v>1914</v>
      </c>
      <c r="K495">
        <v>4</v>
      </c>
      <c r="L495" t="s">
        <v>53</v>
      </c>
      <c r="M495" t="s">
        <v>61</v>
      </c>
      <c r="N495">
        <v>420.26</v>
      </c>
    </row>
    <row r="496" spans="1:14" x14ac:dyDescent="0.3">
      <c r="A496" t="s">
        <v>1915</v>
      </c>
      <c r="B496" s="8">
        <v>45126</v>
      </c>
      <c r="C496" t="s">
        <v>1916</v>
      </c>
      <c r="D496" t="s">
        <v>74</v>
      </c>
      <c r="E496">
        <v>3</v>
      </c>
      <c r="F496">
        <v>505.79</v>
      </c>
      <c r="G496" t="s">
        <v>1917</v>
      </c>
      <c r="H496" t="s">
        <v>34</v>
      </c>
      <c r="I496" t="s">
        <v>105</v>
      </c>
      <c r="J496" t="s">
        <v>1918</v>
      </c>
      <c r="K496">
        <v>3</v>
      </c>
      <c r="L496" t="s">
        <v>53</v>
      </c>
      <c r="M496" t="s">
        <v>45</v>
      </c>
      <c r="N496">
        <v>1517.37</v>
      </c>
    </row>
    <row r="497" spans="1:14" x14ac:dyDescent="0.3">
      <c r="A497" t="s">
        <v>1919</v>
      </c>
      <c r="B497" s="8">
        <v>45813</v>
      </c>
      <c r="C497" t="s">
        <v>1920</v>
      </c>
      <c r="D497" t="s">
        <v>41</v>
      </c>
      <c r="E497">
        <v>4</v>
      </c>
      <c r="F497">
        <v>493.73</v>
      </c>
      <c r="G497" t="s">
        <v>650</v>
      </c>
      <c r="H497" t="s">
        <v>34</v>
      </c>
      <c r="I497" t="s">
        <v>105</v>
      </c>
      <c r="J497" t="s">
        <v>1921</v>
      </c>
      <c r="K497">
        <v>6</v>
      </c>
      <c r="L497" t="s">
        <v>37</v>
      </c>
      <c r="M497" t="s">
        <v>61</v>
      </c>
      <c r="N497">
        <v>1974.92</v>
      </c>
    </row>
    <row r="498" spans="1:14" x14ac:dyDescent="0.3">
      <c r="A498" t="s">
        <v>1922</v>
      </c>
      <c r="B498" s="8">
        <v>45730</v>
      </c>
      <c r="C498" t="s">
        <v>1923</v>
      </c>
      <c r="D498" t="s">
        <v>64</v>
      </c>
      <c r="E498">
        <v>3</v>
      </c>
      <c r="F498">
        <v>201.21</v>
      </c>
      <c r="G498" t="s">
        <v>1924</v>
      </c>
      <c r="H498" t="s">
        <v>43</v>
      </c>
      <c r="I498" t="s">
        <v>51</v>
      </c>
      <c r="J498" t="s">
        <v>1925</v>
      </c>
      <c r="K498">
        <v>3</v>
      </c>
      <c r="L498" t="s">
        <v>37</v>
      </c>
      <c r="M498" t="s">
        <v>92</v>
      </c>
      <c r="N498">
        <v>603.63</v>
      </c>
    </row>
    <row r="499" spans="1:14" x14ac:dyDescent="0.3">
      <c r="A499" t="s">
        <v>1926</v>
      </c>
      <c r="B499" s="8">
        <v>45589</v>
      </c>
      <c r="C499" t="s">
        <v>1927</v>
      </c>
      <c r="D499" t="s">
        <v>64</v>
      </c>
      <c r="E499">
        <v>3</v>
      </c>
      <c r="F499">
        <v>112.29</v>
      </c>
      <c r="G499" t="s">
        <v>1928</v>
      </c>
      <c r="H499" t="s">
        <v>76</v>
      </c>
      <c r="I499" t="s">
        <v>35</v>
      </c>
      <c r="J499" t="s">
        <v>1929</v>
      </c>
      <c r="K499">
        <v>6</v>
      </c>
      <c r="M499" t="s">
        <v>92</v>
      </c>
      <c r="N499">
        <v>336.87</v>
      </c>
    </row>
    <row r="500" spans="1:14" x14ac:dyDescent="0.3">
      <c r="A500" t="s">
        <v>1930</v>
      </c>
      <c r="B500" s="8">
        <v>45119</v>
      </c>
      <c r="C500" t="s">
        <v>1931</v>
      </c>
      <c r="D500" t="s">
        <v>48</v>
      </c>
      <c r="E500">
        <v>4</v>
      </c>
      <c r="F500">
        <v>132.56</v>
      </c>
      <c r="G500" t="s">
        <v>1004</v>
      </c>
      <c r="H500" t="s">
        <v>81</v>
      </c>
      <c r="I500" t="s">
        <v>59</v>
      </c>
      <c r="J500" t="s">
        <v>1932</v>
      </c>
      <c r="K500">
        <v>8</v>
      </c>
      <c r="L500" t="s">
        <v>97</v>
      </c>
      <c r="M500" t="s">
        <v>38</v>
      </c>
      <c r="N500">
        <v>530.24</v>
      </c>
    </row>
    <row r="501" spans="1:14" x14ac:dyDescent="0.3">
      <c r="A501" t="s">
        <v>1933</v>
      </c>
      <c r="B501" s="8">
        <v>45022</v>
      </c>
      <c r="C501" t="s">
        <v>1934</v>
      </c>
      <c r="D501" t="s">
        <v>64</v>
      </c>
      <c r="E501">
        <v>3</v>
      </c>
      <c r="F501">
        <v>539.46</v>
      </c>
      <c r="G501" t="s">
        <v>1935</v>
      </c>
      <c r="H501" t="s">
        <v>50</v>
      </c>
      <c r="I501" t="s">
        <v>35</v>
      </c>
      <c r="J501" t="s">
        <v>1936</v>
      </c>
      <c r="K501">
        <v>4</v>
      </c>
      <c r="L501" t="s">
        <v>37</v>
      </c>
      <c r="M501" t="s">
        <v>61</v>
      </c>
      <c r="N501">
        <v>1618.38</v>
      </c>
    </row>
    <row r="502" spans="1:14" x14ac:dyDescent="0.3">
      <c r="A502" t="s">
        <v>1937</v>
      </c>
      <c r="B502" s="8">
        <v>45389</v>
      </c>
      <c r="C502" t="s">
        <v>1938</v>
      </c>
      <c r="D502" t="s">
        <v>74</v>
      </c>
      <c r="E502">
        <v>5</v>
      </c>
      <c r="F502">
        <v>508.59</v>
      </c>
      <c r="G502" t="s">
        <v>1939</v>
      </c>
      <c r="H502" t="s">
        <v>81</v>
      </c>
      <c r="I502" t="s">
        <v>59</v>
      </c>
      <c r="J502" t="s">
        <v>1940</v>
      </c>
      <c r="K502">
        <v>8</v>
      </c>
      <c r="L502" t="s">
        <v>97</v>
      </c>
      <c r="M502" t="s">
        <v>61</v>
      </c>
      <c r="N502">
        <v>2542.9499999999998</v>
      </c>
    </row>
    <row r="503" spans="1:14" x14ac:dyDescent="0.3">
      <c r="A503" t="s">
        <v>1941</v>
      </c>
      <c r="B503" s="8">
        <v>45326</v>
      </c>
      <c r="C503" t="s">
        <v>1942</v>
      </c>
      <c r="D503" t="s">
        <v>89</v>
      </c>
      <c r="E503">
        <v>4</v>
      </c>
      <c r="F503">
        <v>203.46</v>
      </c>
      <c r="G503" t="s">
        <v>701</v>
      </c>
      <c r="H503" t="s">
        <v>50</v>
      </c>
      <c r="I503" t="s">
        <v>105</v>
      </c>
      <c r="J503" t="s">
        <v>1943</v>
      </c>
      <c r="K503">
        <v>7</v>
      </c>
      <c r="L503" t="s">
        <v>37</v>
      </c>
      <c r="M503" t="s">
        <v>45</v>
      </c>
      <c r="N503">
        <v>813.84</v>
      </c>
    </row>
    <row r="504" spans="1:14" x14ac:dyDescent="0.3">
      <c r="A504" t="s">
        <v>1944</v>
      </c>
      <c r="B504" s="8">
        <v>45066</v>
      </c>
      <c r="C504" t="s">
        <v>1945</v>
      </c>
      <c r="D504" t="s">
        <v>32</v>
      </c>
      <c r="E504">
        <v>3</v>
      </c>
      <c r="F504">
        <v>565.25</v>
      </c>
      <c r="G504" t="s">
        <v>1946</v>
      </c>
      <c r="H504" t="s">
        <v>34</v>
      </c>
      <c r="I504" t="s">
        <v>59</v>
      </c>
      <c r="J504" t="s">
        <v>1947</v>
      </c>
      <c r="K504">
        <v>7</v>
      </c>
      <c r="L504" t="s">
        <v>37</v>
      </c>
      <c r="M504" t="s">
        <v>54</v>
      </c>
      <c r="N504">
        <v>1695.75</v>
      </c>
    </row>
    <row r="505" spans="1:14" x14ac:dyDescent="0.3">
      <c r="A505" t="s">
        <v>1948</v>
      </c>
      <c r="B505" s="8">
        <v>45169</v>
      </c>
      <c r="C505" t="s">
        <v>1949</v>
      </c>
      <c r="D505" t="s">
        <v>48</v>
      </c>
      <c r="E505">
        <v>3</v>
      </c>
      <c r="F505">
        <v>136.84</v>
      </c>
      <c r="G505" t="s">
        <v>1950</v>
      </c>
      <c r="H505" t="s">
        <v>43</v>
      </c>
      <c r="I505" t="s">
        <v>105</v>
      </c>
      <c r="J505" t="s">
        <v>1951</v>
      </c>
      <c r="K505">
        <v>4</v>
      </c>
      <c r="L505" t="s">
        <v>53</v>
      </c>
      <c r="M505" t="s">
        <v>61</v>
      </c>
      <c r="N505">
        <v>410.52</v>
      </c>
    </row>
    <row r="506" spans="1:14" x14ac:dyDescent="0.3">
      <c r="A506" t="s">
        <v>1952</v>
      </c>
      <c r="B506" s="8">
        <v>45819</v>
      </c>
      <c r="C506" t="s">
        <v>1953</v>
      </c>
      <c r="D506" t="s">
        <v>32</v>
      </c>
      <c r="E506">
        <v>2</v>
      </c>
      <c r="F506">
        <v>464.5</v>
      </c>
      <c r="G506" t="s">
        <v>1954</v>
      </c>
      <c r="H506" t="s">
        <v>43</v>
      </c>
      <c r="I506" t="s">
        <v>51</v>
      </c>
      <c r="J506" t="s">
        <v>1955</v>
      </c>
      <c r="K506">
        <v>2</v>
      </c>
      <c r="L506" t="s">
        <v>97</v>
      </c>
      <c r="M506" t="s">
        <v>38</v>
      </c>
      <c r="N506">
        <v>929</v>
      </c>
    </row>
    <row r="507" spans="1:14" x14ac:dyDescent="0.3">
      <c r="A507" t="s">
        <v>1956</v>
      </c>
      <c r="B507" s="8">
        <v>45088</v>
      </c>
      <c r="C507" t="s">
        <v>1957</v>
      </c>
      <c r="D507" t="s">
        <v>64</v>
      </c>
      <c r="E507">
        <v>2</v>
      </c>
      <c r="F507">
        <v>434.97</v>
      </c>
      <c r="G507" t="s">
        <v>1541</v>
      </c>
      <c r="H507" t="s">
        <v>43</v>
      </c>
      <c r="I507" t="s">
        <v>35</v>
      </c>
      <c r="J507" t="s">
        <v>1958</v>
      </c>
      <c r="K507">
        <v>7</v>
      </c>
      <c r="M507" t="s">
        <v>54</v>
      </c>
      <c r="N507">
        <v>869.94</v>
      </c>
    </row>
    <row r="508" spans="1:14" x14ac:dyDescent="0.3">
      <c r="A508" t="s">
        <v>1959</v>
      </c>
      <c r="B508" s="8">
        <v>45132</v>
      </c>
      <c r="C508" t="s">
        <v>1960</v>
      </c>
      <c r="D508" t="s">
        <v>32</v>
      </c>
      <c r="E508">
        <v>2</v>
      </c>
      <c r="F508">
        <v>43.67</v>
      </c>
      <c r="G508" t="s">
        <v>1961</v>
      </c>
      <c r="H508" t="s">
        <v>81</v>
      </c>
      <c r="I508" t="s">
        <v>59</v>
      </c>
      <c r="J508" t="s">
        <v>1962</v>
      </c>
      <c r="K508">
        <v>4</v>
      </c>
      <c r="L508" t="s">
        <v>97</v>
      </c>
      <c r="M508" t="s">
        <v>38</v>
      </c>
      <c r="N508">
        <v>87.34</v>
      </c>
    </row>
    <row r="509" spans="1:14" x14ac:dyDescent="0.3">
      <c r="A509" t="s">
        <v>1963</v>
      </c>
      <c r="B509" s="8">
        <v>45112</v>
      </c>
      <c r="C509" t="s">
        <v>1964</v>
      </c>
      <c r="D509" t="s">
        <v>41</v>
      </c>
      <c r="E509">
        <v>1</v>
      </c>
      <c r="F509">
        <v>171.59</v>
      </c>
      <c r="G509" t="s">
        <v>1315</v>
      </c>
      <c r="H509" t="s">
        <v>50</v>
      </c>
      <c r="I509" t="s">
        <v>105</v>
      </c>
      <c r="J509" t="s">
        <v>1965</v>
      </c>
      <c r="K509">
        <v>5</v>
      </c>
      <c r="L509" t="s">
        <v>97</v>
      </c>
      <c r="M509" t="s">
        <v>54</v>
      </c>
      <c r="N509">
        <v>171.59</v>
      </c>
    </row>
    <row r="510" spans="1:14" x14ac:dyDescent="0.3">
      <c r="A510" t="s">
        <v>1966</v>
      </c>
      <c r="B510" s="8">
        <v>45791</v>
      </c>
      <c r="C510" t="s">
        <v>1967</v>
      </c>
      <c r="D510" t="s">
        <v>41</v>
      </c>
      <c r="E510">
        <v>1</v>
      </c>
      <c r="F510">
        <v>558.27</v>
      </c>
      <c r="G510" t="s">
        <v>1968</v>
      </c>
      <c r="H510" t="s">
        <v>43</v>
      </c>
      <c r="I510" t="s">
        <v>66</v>
      </c>
      <c r="J510" t="s">
        <v>1969</v>
      </c>
      <c r="K510">
        <v>1</v>
      </c>
      <c r="M510" t="s">
        <v>45</v>
      </c>
      <c r="N510">
        <v>558.27</v>
      </c>
    </row>
    <row r="511" spans="1:14" x14ac:dyDescent="0.3">
      <c r="A511" t="s">
        <v>1970</v>
      </c>
      <c r="B511" s="8">
        <v>44972</v>
      </c>
      <c r="C511" t="s">
        <v>1971</v>
      </c>
      <c r="D511" t="s">
        <v>74</v>
      </c>
      <c r="E511">
        <v>2</v>
      </c>
      <c r="F511">
        <v>425.03</v>
      </c>
      <c r="G511" t="s">
        <v>1972</v>
      </c>
      <c r="H511" t="s">
        <v>81</v>
      </c>
      <c r="I511" t="s">
        <v>59</v>
      </c>
      <c r="J511" t="s">
        <v>1973</v>
      </c>
      <c r="K511">
        <v>2</v>
      </c>
      <c r="L511" t="s">
        <v>97</v>
      </c>
      <c r="M511" t="s">
        <v>92</v>
      </c>
      <c r="N511">
        <v>850.06</v>
      </c>
    </row>
    <row r="512" spans="1:14" x14ac:dyDescent="0.3">
      <c r="A512" t="s">
        <v>1974</v>
      </c>
      <c r="B512" s="8">
        <v>45642</v>
      </c>
      <c r="C512" t="s">
        <v>1975</v>
      </c>
      <c r="D512" t="s">
        <v>64</v>
      </c>
      <c r="E512">
        <v>1</v>
      </c>
      <c r="F512">
        <v>376.76</v>
      </c>
      <c r="G512" t="s">
        <v>1976</v>
      </c>
      <c r="H512" t="s">
        <v>34</v>
      </c>
      <c r="I512" t="s">
        <v>66</v>
      </c>
      <c r="J512" t="s">
        <v>1977</v>
      </c>
      <c r="K512">
        <v>5</v>
      </c>
      <c r="L512" t="s">
        <v>37</v>
      </c>
      <c r="M512" t="s">
        <v>54</v>
      </c>
      <c r="N512">
        <v>376.76</v>
      </c>
    </row>
    <row r="513" spans="1:14" x14ac:dyDescent="0.3">
      <c r="A513" t="s">
        <v>1978</v>
      </c>
      <c r="B513" s="8">
        <v>45366</v>
      </c>
      <c r="C513" t="s">
        <v>1979</v>
      </c>
      <c r="D513" t="s">
        <v>32</v>
      </c>
      <c r="E513">
        <v>5</v>
      </c>
      <c r="F513">
        <v>575.24</v>
      </c>
      <c r="G513" t="s">
        <v>217</v>
      </c>
      <c r="H513" t="s">
        <v>81</v>
      </c>
      <c r="I513" t="s">
        <v>66</v>
      </c>
      <c r="J513" t="s">
        <v>1980</v>
      </c>
      <c r="K513">
        <v>7</v>
      </c>
      <c r="L513" t="s">
        <v>97</v>
      </c>
      <c r="M513" t="s">
        <v>54</v>
      </c>
      <c r="N513">
        <v>2876.2</v>
      </c>
    </row>
    <row r="514" spans="1:14" x14ac:dyDescent="0.3">
      <c r="A514" t="s">
        <v>1981</v>
      </c>
      <c r="B514" s="8">
        <v>45562</v>
      </c>
      <c r="C514" t="s">
        <v>1982</v>
      </c>
      <c r="D514" t="s">
        <v>89</v>
      </c>
      <c r="E514">
        <v>3</v>
      </c>
      <c r="F514">
        <v>568.02</v>
      </c>
      <c r="G514" t="s">
        <v>1206</v>
      </c>
      <c r="H514" t="s">
        <v>43</v>
      </c>
      <c r="I514" t="s">
        <v>105</v>
      </c>
      <c r="J514" t="s">
        <v>1983</v>
      </c>
      <c r="K514">
        <v>3</v>
      </c>
      <c r="L514" t="s">
        <v>53</v>
      </c>
      <c r="M514" t="s">
        <v>38</v>
      </c>
      <c r="N514">
        <v>1704.06</v>
      </c>
    </row>
    <row r="515" spans="1:14" x14ac:dyDescent="0.3">
      <c r="A515" t="s">
        <v>1984</v>
      </c>
      <c r="B515" s="8">
        <v>45697</v>
      </c>
      <c r="C515" t="s">
        <v>1985</v>
      </c>
      <c r="D515" t="s">
        <v>48</v>
      </c>
      <c r="E515">
        <v>3</v>
      </c>
      <c r="F515">
        <v>94.88</v>
      </c>
      <c r="G515" t="s">
        <v>442</v>
      </c>
      <c r="H515" t="s">
        <v>76</v>
      </c>
      <c r="I515" t="s">
        <v>35</v>
      </c>
      <c r="J515" t="s">
        <v>1986</v>
      </c>
      <c r="K515">
        <v>8</v>
      </c>
      <c r="M515" t="s">
        <v>45</v>
      </c>
      <c r="N515">
        <v>284.64</v>
      </c>
    </row>
    <row r="516" spans="1:14" x14ac:dyDescent="0.3">
      <c r="A516" t="s">
        <v>1987</v>
      </c>
      <c r="B516" s="8">
        <v>45032</v>
      </c>
      <c r="C516" t="s">
        <v>1988</v>
      </c>
      <c r="D516" t="s">
        <v>64</v>
      </c>
      <c r="E516">
        <v>3</v>
      </c>
      <c r="F516">
        <v>304.14999999999998</v>
      </c>
      <c r="G516" t="s">
        <v>1770</v>
      </c>
      <c r="H516" t="s">
        <v>76</v>
      </c>
      <c r="I516" t="s">
        <v>35</v>
      </c>
      <c r="J516" t="s">
        <v>1989</v>
      </c>
      <c r="K516">
        <v>3</v>
      </c>
      <c r="L516" t="s">
        <v>97</v>
      </c>
      <c r="M516" t="s">
        <v>38</v>
      </c>
      <c r="N516">
        <v>912.45</v>
      </c>
    </row>
    <row r="517" spans="1:14" x14ac:dyDescent="0.3">
      <c r="A517" t="s">
        <v>1990</v>
      </c>
      <c r="B517" s="8">
        <v>44999</v>
      </c>
      <c r="C517" t="s">
        <v>1991</v>
      </c>
      <c r="D517" t="s">
        <v>41</v>
      </c>
      <c r="E517">
        <v>3</v>
      </c>
      <c r="F517">
        <v>553.52</v>
      </c>
      <c r="G517" t="s">
        <v>1759</v>
      </c>
      <c r="H517" t="s">
        <v>76</v>
      </c>
      <c r="I517" t="s">
        <v>35</v>
      </c>
      <c r="J517" t="s">
        <v>1992</v>
      </c>
      <c r="K517">
        <v>4</v>
      </c>
      <c r="L517" t="s">
        <v>53</v>
      </c>
      <c r="M517" t="s">
        <v>61</v>
      </c>
      <c r="N517">
        <v>1660.56</v>
      </c>
    </row>
    <row r="518" spans="1:14" x14ac:dyDescent="0.3">
      <c r="A518" t="s">
        <v>1993</v>
      </c>
      <c r="B518" s="8">
        <v>45389</v>
      </c>
      <c r="C518" t="s">
        <v>1994</v>
      </c>
      <c r="D518" t="s">
        <v>32</v>
      </c>
      <c r="E518">
        <v>3</v>
      </c>
      <c r="F518">
        <v>166.99</v>
      </c>
      <c r="G518" t="s">
        <v>1188</v>
      </c>
      <c r="H518" t="s">
        <v>81</v>
      </c>
      <c r="I518" t="s">
        <v>59</v>
      </c>
      <c r="J518" t="s">
        <v>1995</v>
      </c>
      <c r="K518">
        <v>8</v>
      </c>
      <c r="M518" t="s">
        <v>61</v>
      </c>
      <c r="N518">
        <v>500.97</v>
      </c>
    </row>
    <row r="519" spans="1:14" x14ac:dyDescent="0.3">
      <c r="A519" t="s">
        <v>1996</v>
      </c>
      <c r="B519" s="8">
        <v>45391</v>
      </c>
      <c r="C519" t="s">
        <v>1997</v>
      </c>
      <c r="D519" t="s">
        <v>48</v>
      </c>
      <c r="E519">
        <v>4</v>
      </c>
      <c r="F519">
        <v>198.35</v>
      </c>
      <c r="G519" t="s">
        <v>1865</v>
      </c>
      <c r="H519" t="s">
        <v>81</v>
      </c>
      <c r="I519" t="s">
        <v>51</v>
      </c>
      <c r="J519" t="s">
        <v>1998</v>
      </c>
      <c r="K519">
        <v>7</v>
      </c>
      <c r="L519" t="s">
        <v>53</v>
      </c>
      <c r="M519" t="s">
        <v>92</v>
      </c>
      <c r="N519">
        <v>793.4</v>
      </c>
    </row>
    <row r="520" spans="1:14" x14ac:dyDescent="0.3">
      <c r="A520" t="s">
        <v>1999</v>
      </c>
      <c r="B520" s="8">
        <v>45821</v>
      </c>
      <c r="C520" t="s">
        <v>2000</v>
      </c>
      <c r="D520" t="s">
        <v>64</v>
      </c>
      <c r="E520">
        <v>4</v>
      </c>
      <c r="F520">
        <v>403.58</v>
      </c>
      <c r="G520" t="s">
        <v>1576</v>
      </c>
      <c r="H520" t="s">
        <v>43</v>
      </c>
      <c r="I520" t="s">
        <v>105</v>
      </c>
      <c r="J520" t="s">
        <v>2001</v>
      </c>
      <c r="K520">
        <v>9</v>
      </c>
      <c r="L520" t="s">
        <v>37</v>
      </c>
      <c r="M520" t="s">
        <v>45</v>
      </c>
      <c r="N520">
        <v>1614.32</v>
      </c>
    </row>
    <row r="521" spans="1:14" x14ac:dyDescent="0.3">
      <c r="A521" t="s">
        <v>2002</v>
      </c>
      <c r="B521" s="8">
        <v>45787</v>
      </c>
      <c r="C521" t="s">
        <v>2003</v>
      </c>
      <c r="D521" t="s">
        <v>74</v>
      </c>
      <c r="E521">
        <v>4</v>
      </c>
      <c r="F521">
        <v>464.29</v>
      </c>
      <c r="G521" t="s">
        <v>2004</v>
      </c>
      <c r="H521" t="s">
        <v>34</v>
      </c>
      <c r="I521" t="s">
        <v>59</v>
      </c>
      <c r="J521" t="s">
        <v>2005</v>
      </c>
      <c r="K521">
        <v>5</v>
      </c>
      <c r="L521" t="s">
        <v>37</v>
      </c>
      <c r="M521" t="s">
        <v>54</v>
      </c>
      <c r="N521">
        <v>1857.16</v>
      </c>
    </row>
    <row r="522" spans="1:14" x14ac:dyDescent="0.3">
      <c r="A522" t="s">
        <v>2006</v>
      </c>
      <c r="B522" s="8">
        <v>44995</v>
      </c>
      <c r="C522" t="s">
        <v>2007</v>
      </c>
      <c r="D522" t="s">
        <v>32</v>
      </c>
      <c r="E522">
        <v>3</v>
      </c>
      <c r="F522">
        <v>635.98</v>
      </c>
      <c r="G522" t="s">
        <v>2008</v>
      </c>
      <c r="H522" t="s">
        <v>81</v>
      </c>
      <c r="I522" t="s">
        <v>59</v>
      </c>
      <c r="J522" t="s">
        <v>2009</v>
      </c>
      <c r="K522">
        <v>5</v>
      </c>
      <c r="M522" t="s">
        <v>45</v>
      </c>
      <c r="N522">
        <v>1907.94</v>
      </c>
    </row>
    <row r="523" spans="1:14" x14ac:dyDescent="0.3">
      <c r="A523" t="s">
        <v>2010</v>
      </c>
      <c r="B523" s="8">
        <v>45347</v>
      </c>
      <c r="C523" t="s">
        <v>2011</v>
      </c>
      <c r="D523" t="s">
        <v>41</v>
      </c>
      <c r="E523">
        <v>1</v>
      </c>
      <c r="F523">
        <v>528.05999999999995</v>
      </c>
      <c r="G523" t="s">
        <v>2012</v>
      </c>
      <c r="H523" t="s">
        <v>50</v>
      </c>
      <c r="I523" t="s">
        <v>35</v>
      </c>
      <c r="J523" t="s">
        <v>2013</v>
      </c>
      <c r="K523">
        <v>2</v>
      </c>
      <c r="M523" t="s">
        <v>61</v>
      </c>
      <c r="N523">
        <v>528.05999999999995</v>
      </c>
    </row>
    <row r="524" spans="1:14" x14ac:dyDescent="0.3">
      <c r="A524" t="s">
        <v>2014</v>
      </c>
      <c r="B524" s="8">
        <v>45402</v>
      </c>
      <c r="C524" t="s">
        <v>2015</v>
      </c>
      <c r="D524" t="s">
        <v>57</v>
      </c>
      <c r="E524">
        <v>1</v>
      </c>
      <c r="F524">
        <v>515.32000000000005</v>
      </c>
      <c r="G524" t="s">
        <v>1137</v>
      </c>
      <c r="H524" t="s">
        <v>76</v>
      </c>
      <c r="I524" t="s">
        <v>51</v>
      </c>
      <c r="J524" t="s">
        <v>2016</v>
      </c>
      <c r="K524">
        <v>1</v>
      </c>
      <c r="L524" t="s">
        <v>53</v>
      </c>
      <c r="M524" t="s">
        <v>54</v>
      </c>
      <c r="N524">
        <v>515.32000000000005</v>
      </c>
    </row>
    <row r="525" spans="1:14" x14ac:dyDescent="0.3">
      <c r="A525" t="s">
        <v>2017</v>
      </c>
      <c r="B525" s="8">
        <v>45706</v>
      </c>
      <c r="C525" t="s">
        <v>2018</v>
      </c>
      <c r="D525" t="s">
        <v>89</v>
      </c>
      <c r="E525">
        <v>4</v>
      </c>
      <c r="F525">
        <v>657.79</v>
      </c>
      <c r="G525" t="s">
        <v>1636</v>
      </c>
      <c r="H525" t="s">
        <v>50</v>
      </c>
      <c r="I525" t="s">
        <v>59</v>
      </c>
      <c r="J525" t="s">
        <v>2019</v>
      </c>
      <c r="K525">
        <v>6</v>
      </c>
      <c r="L525" t="s">
        <v>97</v>
      </c>
      <c r="M525" t="s">
        <v>92</v>
      </c>
      <c r="N525">
        <v>2631.16</v>
      </c>
    </row>
    <row r="526" spans="1:14" x14ac:dyDescent="0.3">
      <c r="A526" t="s">
        <v>2020</v>
      </c>
      <c r="B526" s="8">
        <v>45224</v>
      </c>
      <c r="C526" t="s">
        <v>2021</v>
      </c>
      <c r="D526" t="s">
        <v>41</v>
      </c>
      <c r="E526">
        <v>1</v>
      </c>
      <c r="F526">
        <v>153</v>
      </c>
      <c r="G526" t="s">
        <v>367</v>
      </c>
      <c r="H526" t="s">
        <v>50</v>
      </c>
      <c r="I526" t="s">
        <v>59</v>
      </c>
      <c r="J526" t="s">
        <v>2022</v>
      </c>
      <c r="K526">
        <v>4</v>
      </c>
      <c r="M526" t="s">
        <v>45</v>
      </c>
      <c r="N526">
        <v>153</v>
      </c>
    </row>
    <row r="527" spans="1:14" x14ac:dyDescent="0.3">
      <c r="A527" t="s">
        <v>2023</v>
      </c>
      <c r="B527" s="8">
        <v>45263</v>
      </c>
      <c r="C527" t="s">
        <v>2024</v>
      </c>
      <c r="D527" t="s">
        <v>32</v>
      </c>
      <c r="E527">
        <v>1</v>
      </c>
      <c r="F527">
        <v>668.48</v>
      </c>
      <c r="G527" t="s">
        <v>1759</v>
      </c>
      <c r="H527" t="s">
        <v>34</v>
      </c>
      <c r="I527" t="s">
        <v>35</v>
      </c>
      <c r="J527" t="s">
        <v>2025</v>
      </c>
      <c r="K527">
        <v>1</v>
      </c>
      <c r="L527" t="s">
        <v>37</v>
      </c>
      <c r="M527" t="s">
        <v>54</v>
      </c>
      <c r="N527">
        <v>668.48</v>
      </c>
    </row>
    <row r="528" spans="1:14" x14ac:dyDescent="0.3">
      <c r="A528" t="s">
        <v>2026</v>
      </c>
      <c r="B528" s="8">
        <v>45351</v>
      </c>
      <c r="C528" t="s">
        <v>2027</v>
      </c>
      <c r="D528" t="s">
        <v>89</v>
      </c>
      <c r="E528">
        <v>2</v>
      </c>
      <c r="F528">
        <v>46.5</v>
      </c>
      <c r="G528" t="s">
        <v>423</v>
      </c>
      <c r="H528" t="s">
        <v>81</v>
      </c>
      <c r="I528" t="s">
        <v>59</v>
      </c>
      <c r="J528" t="s">
        <v>2028</v>
      </c>
      <c r="K528">
        <v>7</v>
      </c>
      <c r="L528" t="s">
        <v>97</v>
      </c>
      <c r="M528" t="s">
        <v>92</v>
      </c>
      <c r="N528">
        <v>93</v>
      </c>
    </row>
    <row r="529" spans="1:14" x14ac:dyDescent="0.3">
      <c r="A529" t="s">
        <v>2029</v>
      </c>
      <c r="B529" s="8">
        <v>45523</v>
      </c>
      <c r="C529" t="s">
        <v>2030</v>
      </c>
      <c r="D529" t="s">
        <v>57</v>
      </c>
      <c r="E529">
        <v>5</v>
      </c>
      <c r="F529">
        <v>653.47</v>
      </c>
      <c r="G529" t="s">
        <v>387</v>
      </c>
      <c r="H529" t="s">
        <v>50</v>
      </c>
      <c r="I529" t="s">
        <v>51</v>
      </c>
      <c r="J529" t="s">
        <v>2031</v>
      </c>
      <c r="K529">
        <v>10</v>
      </c>
      <c r="L529" t="s">
        <v>37</v>
      </c>
      <c r="M529" t="s">
        <v>45</v>
      </c>
      <c r="N529">
        <v>3267.35</v>
      </c>
    </row>
    <row r="530" spans="1:14" x14ac:dyDescent="0.3">
      <c r="A530" t="s">
        <v>2032</v>
      </c>
      <c r="B530" s="8">
        <v>45714</v>
      </c>
      <c r="C530" t="s">
        <v>2033</v>
      </c>
      <c r="D530" t="s">
        <v>57</v>
      </c>
      <c r="E530">
        <v>1</v>
      </c>
      <c r="F530">
        <v>628.89</v>
      </c>
      <c r="G530" t="s">
        <v>1774</v>
      </c>
      <c r="H530" t="s">
        <v>50</v>
      </c>
      <c r="I530" t="s">
        <v>59</v>
      </c>
      <c r="J530" t="s">
        <v>2034</v>
      </c>
      <c r="K530">
        <v>2</v>
      </c>
      <c r="L530" t="s">
        <v>37</v>
      </c>
      <c r="M530" t="s">
        <v>45</v>
      </c>
      <c r="N530">
        <v>628.89</v>
      </c>
    </row>
    <row r="531" spans="1:14" x14ac:dyDescent="0.3">
      <c r="A531" t="s">
        <v>2035</v>
      </c>
      <c r="B531" s="8">
        <v>45389</v>
      </c>
      <c r="C531" t="s">
        <v>2036</v>
      </c>
      <c r="D531" t="s">
        <v>48</v>
      </c>
      <c r="E531">
        <v>2</v>
      </c>
      <c r="F531">
        <v>675.1</v>
      </c>
      <c r="G531" t="s">
        <v>2037</v>
      </c>
      <c r="H531" t="s">
        <v>81</v>
      </c>
      <c r="I531" t="s">
        <v>105</v>
      </c>
      <c r="J531" t="s">
        <v>2038</v>
      </c>
      <c r="K531">
        <v>4</v>
      </c>
      <c r="L531" t="s">
        <v>53</v>
      </c>
      <c r="M531" t="s">
        <v>92</v>
      </c>
      <c r="N531">
        <v>1350.2</v>
      </c>
    </row>
    <row r="532" spans="1:14" x14ac:dyDescent="0.3">
      <c r="A532" t="s">
        <v>2039</v>
      </c>
      <c r="B532" s="8">
        <v>45491</v>
      </c>
      <c r="C532" t="s">
        <v>2040</v>
      </c>
      <c r="D532" t="s">
        <v>57</v>
      </c>
      <c r="E532">
        <v>4</v>
      </c>
      <c r="F532">
        <v>89.41</v>
      </c>
      <c r="G532" t="s">
        <v>2041</v>
      </c>
      <c r="H532" t="s">
        <v>43</v>
      </c>
      <c r="I532" t="s">
        <v>105</v>
      </c>
      <c r="J532" t="s">
        <v>2042</v>
      </c>
      <c r="K532">
        <v>9</v>
      </c>
      <c r="M532" t="s">
        <v>92</v>
      </c>
      <c r="N532">
        <v>357.64</v>
      </c>
    </row>
    <row r="533" spans="1:14" x14ac:dyDescent="0.3">
      <c r="A533" t="s">
        <v>2043</v>
      </c>
      <c r="B533" s="8">
        <v>45475</v>
      </c>
      <c r="C533" t="s">
        <v>2044</v>
      </c>
      <c r="D533" t="s">
        <v>89</v>
      </c>
      <c r="E533">
        <v>5</v>
      </c>
      <c r="F533">
        <v>320.01</v>
      </c>
      <c r="G533" t="s">
        <v>2045</v>
      </c>
      <c r="H533" t="s">
        <v>76</v>
      </c>
      <c r="I533" t="s">
        <v>66</v>
      </c>
      <c r="J533" t="s">
        <v>2046</v>
      </c>
      <c r="K533">
        <v>6</v>
      </c>
      <c r="M533" t="s">
        <v>45</v>
      </c>
      <c r="N533">
        <v>1600.05</v>
      </c>
    </row>
    <row r="534" spans="1:14" x14ac:dyDescent="0.3">
      <c r="A534" t="s">
        <v>2047</v>
      </c>
      <c r="B534" s="8">
        <v>45780</v>
      </c>
      <c r="C534" t="s">
        <v>2048</v>
      </c>
      <c r="D534" t="s">
        <v>74</v>
      </c>
      <c r="E534">
        <v>2</v>
      </c>
      <c r="F534">
        <v>41</v>
      </c>
      <c r="G534" t="s">
        <v>2049</v>
      </c>
      <c r="H534" t="s">
        <v>43</v>
      </c>
      <c r="I534" t="s">
        <v>66</v>
      </c>
      <c r="J534" t="s">
        <v>2050</v>
      </c>
      <c r="K534">
        <v>7</v>
      </c>
      <c r="M534" t="s">
        <v>54</v>
      </c>
      <c r="N534">
        <v>82</v>
      </c>
    </row>
    <row r="535" spans="1:14" x14ac:dyDescent="0.3">
      <c r="A535" t="s">
        <v>2051</v>
      </c>
      <c r="B535" s="8">
        <v>44990</v>
      </c>
      <c r="C535" t="s">
        <v>2052</v>
      </c>
      <c r="D535" t="s">
        <v>89</v>
      </c>
      <c r="E535">
        <v>1</v>
      </c>
      <c r="F535">
        <v>565.85</v>
      </c>
      <c r="G535" t="s">
        <v>317</v>
      </c>
      <c r="H535" t="s">
        <v>76</v>
      </c>
      <c r="I535" t="s">
        <v>59</v>
      </c>
      <c r="J535" t="s">
        <v>2053</v>
      </c>
      <c r="K535">
        <v>1</v>
      </c>
      <c r="L535" t="s">
        <v>53</v>
      </c>
      <c r="M535" t="s">
        <v>61</v>
      </c>
      <c r="N535">
        <v>565.85</v>
      </c>
    </row>
    <row r="536" spans="1:14" x14ac:dyDescent="0.3">
      <c r="A536" t="s">
        <v>2054</v>
      </c>
      <c r="B536" s="8">
        <v>45449</v>
      </c>
      <c r="C536" t="s">
        <v>2055</v>
      </c>
      <c r="D536" t="s">
        <v>57</v>
      </c>
      <c r="E536">
        <v>3</v>
      </c>
      <c r="F536">
        <v>648.59</v>
      </c>
      <c r="G536" t="s">
        <v>2056</v>
      </c>
      <c r="H536" t="s">
        <v>34</v>
      </c>
      <c r="I536" t="s">
        <v>51</v>
      </c>
      <c r="J536" t="s">
        <v>2057</v>
      </c>
      <c r="K536">
        <v>4</v>
      </c>
      <c r="L536" t="s">
        <v>37</v>
      </c>
      <c r="M536" t="s">
        <v>54</v>
      </c>
      <c r="N536">
        <v>1945.77</v>
      </c>
    </row>
    <row r="537" spans="1:14" x14ac:dyDescent="0.3">
      <c r="A537" t="s">
        <v>2058</v>
      </c>
      <c r="B537" s="8">
        <v>45497</v>
      </c>
      <c r="C537" t="s">
        <v>2059</v>
      </c>
      <c r="D537" t="s">
        <v>32</v>
      </c>
      <c r="E537">
        <v>3</v>
      </c>
      <c r="F537">
        <v>68.12</v>
      </c>
      <c r="G537" t="s">
        <v>739</v>
      </c>
      <c r="H537" t="s">
        <v>43</v>
      </c>
      <c r="I537" t="s">
        <v>51</v>
      </c>
      <c r="J537" t="s">
        <v>2060</v>
      </c>
      <c r="K537">
        <v>3</v>
      </c>
      <c r="L537" t="s">
        <v>53</v>
      </c>
      <c r="M537" t="s">
        <v>54</v>
      </c>
      <c r="N537">
        <v>204.36</v>
      </c>
    </row>
    <row r="538" spans="1:14" x14ac:dyDescent="0.3">
      <c r="A538" t="s">
        <v>2061</v>
      </c>
      <c r="B538" s="8">
        <v>45452</v>
      </c>
      <c r="C538" t="s">
        <v>2062</v>
      </c>
      <c r="D538" t="s">
        <v>57</v>
      </c>
      <c r="E538">
        <v>1</v>
      </c>
      <c r="F538">
        <v>616.1</v>
      </c>
      <c r="G538" t="s">
        <v>2063</v>
      </c>
      <c r="H538" t="s">
        <v>81</v>
      </c>
      <c r="I538" t="s">
        <v>59</v>
      </c>
      <c r="J538" t="s">
        <v>2064</v>
      </c>
      <c r="K538">
        <v>6</v>
      </c>
      <c r="M538" t="s">
        <v>54</v>
      </c>
      <c r="N538">
        <v>616.1</v>
      </c>
    </row>
    <row r="539" spans="1:14" x14ac:dyDescent="0.3">
      <c r="A539" t="s">
        <v>2065</v>
      </c>
      <c r="B539" s="8">
        <v>45739</v>
      </c>
      <c r="C539" t="s">
        <v>2066</v>
      </c>
      <c r="D539" t="s">
        <v>48</v>
      </c>
      <c r="E539">
        <v>3</v>
      </c>
      <c r="F539">
        <v>247.47</v>
      </c>
      <c r="G539" t="s">
        <v>313</v>
      </c>
      <c r="H539" t="s">
        <v>43</v>
      </c>
      <c r="I539" t="s">
        <v>66</v>
      </c>
      <c r="J539" t="s">
        <v>2067</v>
      </c>
      <c r="K539">
        <v>4</v>
      </c>
      <c r="L539" t="s">
        <v>37</v>
      </c>
      <c r="M539" t="s">
        <v>61</v>
      </c>
      <c r="N539">
        <v>742.41</v>
      </c>
    </row>
    <row r="540" spans="1:14" x14ac:dyDescent="0.3">
      <c r="A540" t="s">
        <v>2068</v>
      </c>
      <c r="B540" s="8">
        <v>45436</v>
      </c>
      <c r="C540" t="s">
        <v>2069</v>
      </c>
      <c r="D540" t="s">
        <v>41</v>
      </c>
      <c r="E540">
        <v>3</v>
      </c>
      <c r="F540">
        <v>490.74</v>
      </c>
      <c r="G540" t="s">
        <v>2070</v>
      </c>
      <c r="H540" t="s">
        <v>81</v>
      </c>
      <c r="I540" t="s">
        <v>35</v>
      </c>
      <c r="J540" t="s">
        <v>2071</v>
      </c>
      <c r="K540">
        <v>3</v>
      </c>
      <c r="L540" t="s">
        <v>97</v>
      </c>
      <c r="M540" t="s">
        <v>54</v>
      </c>
      <c r="N540">
        <v>1472.22</v>
      </c>
    </row>
    <row r="541" spans="1:14" x14ac:dyDescent="0.3">
      <c r="A541" t="s">
        <v>2072</v>
      </c>
      <c r="B541" s="8">
        <v>45706</v>
      </c>
      <c r="C541" t="s">
        <v>2073</v>
      </c>
      <c r="D541" t="s">
        <v>89</v>
      </c>
      <c r="E541">
        <v>3</v>
      </c>
      <c r="F541">
        <v>531.72</v>
      </c>
      <c r="G541" t="s">
        <v>2074</v>
      </c>
      <c r="H541" t="s">
        <v>76</v>
      </c>
      <c r="I541" t="s">
        <v>66</v>
      </c>
      <c r="J541" t="s">
        <v>2075</v>
      </c>
      <c r="K541">
        <v>7</v>
      </c>
      <c r="L541" t="s">
        <v>37</v>
      </c>
      <c r="M541" t="s">
        <v>92</v>
      </c>
      <c r="N541">
        <v>1595.16</v>
      </c>
    </row>
    <row r="542" spans="1:14" x14ac:dyDescent="0.3">
      <c r="A542" t="s">
        <v>2076</v>
      </c>
      <c r="B542" s="8">
        <v>45320</v>
      </c>
      <c r="C542" t="s">
        <v>2077</v>
      </c>
      <c r="D542" t="s">
        <v>74</v>
      </c>
      <c r="E542">
        <v>5</v>
      </c>
      <c r="F542">
        <v>648.65</v>
      </c>
      <c r="G542" t="s">
        <v>2078</v>
      </c>
      <c r="H542" t="s">
        <v>43</v>
      </c>
      <c r="I542" t="s">
        <v>105</v>
      </c>
      <c r="J542" t="s">
        <v>2079</v>
      </c>
      <c r="K542">
        <v>7</v>
      </c>
      <c r="M542" t="s">
        <v>45</v>
      </c>
      <c r="N542">
        <v>3243.25</v>
      </c>
    </row>
    <row r="543" spans="1:14" x14ac:dyDescent="0.3">
      <c r="A543" t="s">
        <v>2080</v>
      </c>
      <c r="B543" s="8">
        <v>45145</v>
      </c>
      <c r="C543" t="s">
        <v>2081</v>
      </c>
      <c r="D543" t="s">
        <v>64</v>
      </c>
      <c r="E543">
        <v>5</v>
      </c>
      <c r="F543">
        <v>456.06</v>
      </c>
      <c r="G543" t="s">
        <v>2082</v>
      </c>
      <c r="H543" t="s">
        <v>81</v>
      </c>
      <c r="I543" t="s">
        <v>105</v>
      </c>
      <c r="J543" t="s">
        <v>2083</v>
      </c>
      <c r="K543">
        <v>10</v>
      </c>
      <c r="M543" t="s">
        <v>38</v>
      </c>
      <c r="N543">
        <v>2280.3000000000002</v>
      </c>
    </row>
    <row r="544" spans="1:14" x14ac:dyDescent="0.3">
      <c r="A544" t="s">
        <v>2084</v>
      </c>
      <c r="B544" s="8">
        <v>45244</v>
      </c>
      <c r="C544" t="s">
        <v>2085</v>
      </c>
      <c r="D544" t="s">
        <v>48</v>
      </c>
      <c r="E544">
        <v>1</v>
      </c>
      <c r="F544">
        <v>17.98</v>
      </c>
      <c r="G544" t="s">
        <v>70</v>
      </c>
      <c r="H544" t="s">
        <v>81</v>
      </c>
      <c r="I544" t="s">
        <v>51</v>
      </c>
      <c r="J544" t="s">
        <v>2086</v>
      </c>
      <c r="K544">
        <v>6</v>
      </c>
      <c r="L544" t="s">
        <v>53</v>
      </c>
      <c r="M544" t="s">
        <v>54</v>
      </c>
      <c r="N544">
        <v>17.98</v>
      </c>
    </row>
    <row r="545" spans="1:14" x14ac:dyDescent="0.3">
      <c r="A545" t="s">
        <v>2087</v>
      </c>
      <c r="B545" s="8">
        <v>45360</v>
      </c>
      <c r="C545" t="s">
        <v>2088</v>
      </c>
      <c r="D545" t="s">
        <v>89</v>
      </c>
      <c r="E545">
        <v>5</v>
      </c>
      <c r="F545">
        <v>269.86</v>
      </c>
      <c r="G545" t="s">
        <v>747</v>
      </c>
      <c r="H545" t="s">
        <v>81</v>
      </c>
      <c r="I545" t="s">
        <v>35</v>
      </c>
      <c r="J545" t="s">
        <v>2089</v>
      </c>
      <c r="K545">
        <v>6</v>
      </c>
      <c r="L545" t="s">
        <v>97</v>
      </c>
      <c r="M545" t="s">
        <v>61</v>
      </c>
      <c r="N545">
        <v>1349.3</v>
      </c>
    </row>
    <row r="546" spans="1:14" x14ac:dyDescent="0.3">
      <c r="A546" t="s">
        <v>2090</v>
      </c>
      <c r="B546" s="8">
        <v>45361</v>
      </c>
      <c r="C546" t="s">
        <v>2091</v>
      </c>
      <c r="D546" t="s">
        <v>64</v>
      </c>
      <c r="E546">
        <v>5</v>
      </c>
      <c r="F546">
        <v>31.96</v>
      </c>
      <c r="G546" t="s">
        <v>1531</v>
      </c>
      <c r="H546" t="s">
        <v>50</v>
      </c>
      <c r="I546" t="s">
        <v>59</v>
      </c>
      <c r="J546" t="s">
        <v>2092</v>
      </c>
      <c r="K546">
        <v>5</v>
      </c>
      <c r="L546" t="s">
        <v>53</v>
      </c>
      <c r="M546" t="s">
        <v>45</v>
      </c>
      <c r="N546">
        <v>159.80000000000001</v>
      </c>
    </row>
    <row r="547" spans="1:14" x14ac:dyDescent="0.3">
      <c r="A547" t="s">
        <v>2093</v>
      </c>
      <c r="B547" s="8">
        <v>45279</v>
      </c>
      <c r="C547" t="s">
        <v>2094</v>
      </c>
      <c r="D547" t="s">
        <v>32</v>
      </c>
      <c r="E547">
        <v>2</v>
      </c>
      <c r="F547">
        <v>98.47</v>
      </c>
      <c r="G547" t="s">
        <v>2095</v>
      </c>
      <c r="H547" t="s">
        <v>81</v>
      </c>
      <c r="I547" t="s">
        <v>59</v>
      </c>
      <c r="J547" t="s">
        <v>2096</v>
      </c>
      <c r="K547">
        <v>3</v>
      </c>
      <c r="M547" t="s">
        <v>38</v>
      </c>
      <c r="N547">
        <v>196.94</v>
      </c>
    </row>
    <row r="548" spans="1:14" x14ac:dyDescent="0.3">
      <c r="A548" t="s">
        <v>2097</v>
      </c>
      <c r="B548" s="8">
        <v>45352</v>
      </c>
      <c r="C548" t="s">
        <v>2098</v>
      </c>
      <c r="D548" t="s">
        <v>32</v>
      </c>
      <c r="E548">
        <v>1</v>
      </c>
      <c r="F548">
        <v>158.68</v>
      </c>
      <c r="G548" t="s">
        <v>33</v>
      </c>
      <c r="H548" t="s">
        <v>50</v>
      </c>
      <c r="I548" t="s">
        <v>59</v>
      </c>
      <c r="J548" t="s">
        <v>2099</v>
      </c>
      <c r="K548">
        <v>6</v>
      </c>
      <c r="L548" t="s">
        <v>97</v>
      </c>
      <c r="M548" t="s">
        <v>38</v>
      </c>
      <c r="N548">
        <v>158.68</v>
      </c>
    </row>
    <row r="549" spans="1:14" x14ac:dyDescent="0.3">
      <c r="A549" t="s">
        <v>2100</v>
      </c>
      <c r="B549" s="8">
        <v>45158</v>
      </c>
      <c r="C549" t="s">
        <v>2101</v>
      </c>
      <c r="D549" t="s">
        <v>41</v>
      </c>
      <c r="E549">
        <v>1</v>
      </c>
      <c r="F549">
        <v>613.98</v>
      </c>
      <c r="G549" t="s">
        <v>2102</v>
      </c>
      <c r="H549" t="s">
        <v>43</v>
      </c>
      <c r="I549" t="s">
        <v>66</v>
      </c>
      <c r="J549" t="s">
        <v>2103</v>
      </c>
      <c r="K549">
        <v>4</v>
      </c>
      <c r="L549" t="s">
        <v>53</v>
      </c>
      <c r="M549" t="s">
        <v>61</v>
      </c>
      <c r="N549">
        <v>613.98</v>
      </c>
    </row>
    <row r="550" spans="1:14" x14ac:dyDescent="0.3">
      <c r="A550" t="s">
        <v>2104</v>
      </c>
      <c r="B550" s="8">
        <v>45296</v>
      </c>
      <c r="C550" t="s">
        <v>2105</v>
      </c>
      <c r="D550" t="s">
        <v>64</v>
      </c>
      <c r="E550">
        <v>3</v>
      </c>
      <c r="F550">
        <v>426.12</v>
      </c>
      <c r="G550" t="s">
        <v>438</v>
      </c>
      <c r="H550" t="s">
        <v>43</v>
      </c>
      <c r="I550" t="s">
        <v>66</v>
      </c>
      <c r="J550" t="s">
        <v>2106</v>
      </c>
      <c r="K550">
        <v>5</v>
      </c>
      <c r="L550" t="s">
        <v>97</v>
      </c>
      <c r="M550" t="s">
        <v>38</v>
      </c>
      <c r="N550">
        <v>1278.3599999999999</v>
      </c>
    </row>
    <row r="551" spans="1:14" x14ac:dyDescent="0.3">
      <c r="A551" t="s">
        <v>2107</v>
      </c>
      <c r="B551" s="8">
        <v>45713</v>
      </c>
      <c r="C551" t="s">
        <v>2108</v>
      </c>
      <c r="D551" t="s">
        <v>32</v>
      </c>
      <c r="E551">
        <v>4</v>
      </c>
      <c r="F551">
        <v>629.88</v>
      </c>
      <c r="G551" t="s">
        <v>2109</v>
      </c>
      <c r="H551" t="s">
        <v>34</v>
      </c>
      <c r="I551" t="s">
        <v>51</v>
      </c>
      <c r="J551" t="s">
        <v>2110</v>
      </c>
      <c r="K551">
        <v>8</v>
      </c>
      <c r="L551" t="s">
        <v>97</v>
      </c>
      <c r="M551" t="s">
        <v>38</v>
      </c>
      <c r="N551">
        <v>2519.52</v>
      </c>
    </row>
    <row r="552" spans="1:14" x14ac:dyDescent="0.3">
      <c r="A552" t="s">
        <v>2111</v>
      </c>
      <c r="B552" s="8">
        <v>45228</v>
      </c>
      <c r="C552" t="s">
        <v>2112</v>
      </c>
      <c r="D552" t="s">
        <v>74</v>
      </c>
      <c r="E552">
        <v>4</v>
      </c>
      <c r="F552">
        <v>228.91</v>
      </c>
      <c r="G552" t="s">
        <v>615</v>
      </c>
      <c r="H552" t="s">
        <v>81</v>
      </c>
      <c r="I552" t="s">
        <v>35</v>
      </c>
      <c r="J552" t="s">
        <v>2113</v>
      </c>
      <c r="K552">
        <v>4</v>
      </c>
      <c r="L552" t="s">
        <v>53</v>
      </c>
      <c r="M552" t="s">
        <v>92</v>
      </c>
      <c r="N552">
        <v>915.64</v>
      </c>
    </row>
    <row r="553" spans="1:14" x14ac:dyDescent="0.3">
      <c r="A553" t="s">
        <v>2114</v>
      </c>
      <c r="B553" s="8">
        <v>45064</v>
      </c>
      <c r="C553" t="s">
        <v>2115</v>
      </c>
      <c r="D553" t="s">
        <v>74</v>
      </c>
      <c r="E553">
        <v>1</v>
      </c>
      <c r="F553">
        <v>120.98</v>
      </c>
      <c r="G553" t="s">
        <v>553</v>
      </c>
      <c r="H553" t="s">
        <v>34</v>
      </c>
      <c r="I553" t="s">
        <v>66</v>
      </c>
      <c r="J553" t="s">
        <v>2116</v>
      </c>
      <c r="K553">
        <v>6</v>
      </c>
      <c r="L553" t="s">
        <v>97</v>
      </c>
      <c r="M553" t="s">
        <v>54</v>
      </c>
      <c r="N553">
        <v>120.98</v>
      </c>
    </row>
    <row r="554" spans="1:14" x14ac:dyDescent="0.3">
      <c r="A554" t="s">
        <v>2117</v>
      </c>
      <c r="B554" s="8">
        <v>45199</v>
      </c>
      <c r="C554" t="s">
        <v>2118</v>
      </c>
      <c r="D554" t="s">
        <v>57</v>
      </c>
      <c r="E554">
        <v>4</v>
      </c>
      <c r="F554">
        <v>425.18</v>
      </c>
      <c r="G554" t="s">
        <v>1972</v>
      </c>
      <c r="H554" t="s">
        <v>43</v>
      </c>
      <c r="I554" t="s">
        <v>59</v>
      </c>
      <c r="J554" t="s">
        <v>2119</v>
      </c>
      <c r="K554">
        <v>8</v>
      </c>
      <c r="L554" t="s">
        <v>97</v>
      </c>
      <c r="M554" t="s">
        <v>61</v>
      </c>
      <c r="N554">
        <v>1700.72</v>
      </c>
    </row>
    <row r="555" spans="1:14" x14ac:dyDescent="0.3">
      <c r="A555" t="s">
        <v>2120</v>
      </c>
      <c r="B555" s="8">
        <v>45161</v>
      </c>
      <c r="C555" t="s">
        <v>2121</v>
      </c>
      <c r="D555" t="s">
        <v>41</v>
      </c>
      <c r="E555">
        <v>2</v>
      </c>
      <c r="F555">
        <v>333.83</v>
      </c>
      <c r="G555" t="s">
        <v>2122</v>
      </c>
      <c r="H555" t="s">
        <v>76</v>
      </c>
      <c r="I555" t="s">
        <v>51</v>
      </c>
      <c r="J555" t="s">
        <v>2123</v>
      </c>
      <c r="K555">
        <v>4</v>
      </c>
      <c r="L555" t="s">
        <v>53</v>
      </c>
      <c r="M555" t="s">
        <v>45</v>
      </c>
      <c r="N555">
        <v>667.66</v>
      </c>
    </row>
    <row r="556" spans="1:14" x14ac:dyDescent="0.3">
      <c r="A556" t="s">
        <v>2124</v>
      </c>
      <c r="B556" s="8">
        <v>45807</v>
      </c>
      <c r="C556" t="s">
        <v>2125</v>
      </c>
      <c r="D556" t="s">
        <v>74</v>
      </c>
      <c r="E556">
        <v>2</v>
      </c>
      <c r="F556">
        <v>492.9</v>
      </c>
      <c r="G556" t="s">
        <v>953</v>
      </c>
      <c r="H556" t="s">
        <v>81</v>
      </c>
      <c r="I556" t="s">
        <v>59</v>
      </c>
      <c r="J556" t="s">
        <v>2126</v>
      </c>
      <c r="K556">
        <v>5</v>
      </c>
      <c r="L556" t="s">
        <v>53</v>
      </c>
      <c r="M556" t="s">
        <v>38</v>
      </c>
      <c r="N556">
        <v>985.8</v>
      </c>
    </row>
    <row r="557" spans="1:14" x14ac:dyDescent="0.3">
      <c r="A557" t="s">
        <v>2127</v>
      </c>
      <c r="B557" s="8">
        <v>44933</v>
      </c>
      <c r="C557" t="s">
        <v>2128</v>
      </c>
      <c r="D557" t="s">
        <v>48</v>
      </c>
      <c r="E557">
        <v>1</v>
      </c>
      <c r="F557">
        <v>92.04</v>
      </c>
      <c r="G557" t="s">
        <v>95</v>
      </c>
      <c r="H557" t="s">
        <v>81</v>
      </c>
      <c r="I557" t="s">
        <v>35</v>
      </c>
      <c r="J557" t="s">
        <v>2129</v>
      </c>
      <c r="K557">
        <v>2</v>
      </c>
      <c r="M557" t="s">
        <v>61</v>
      </c>
      <c r="N557">
        <v>92.04</v>
      </c>
    </row>
    <row r="558" spans="1:14" x14ac:dyDescent="0.3">
      <c r="A558" t="s">
        <v>2130</v>
      </c>
      <c r="B558" s="8">
        <v>44954</v>
      </c>
      <c r="C558" t="s">
        <v>2131</v>
      </c>
      <c r="D558" t="s">
        <v>74</v>
      </c>
      <c r="E558">
        <v>1</v>
      </c>
      <c r="F558">
        <v>654.27</v>
      </c>
      <c r="G558" t="s">
        <v>2132</v>
      </c>
      <c r="H558" t="s">
        <v>76</v>
      </c>
      <c r="I558" t="s">
        <v>105</v>
      </c>
      <c r="J558" t="s">
        <v>2133</v>
      </c>
      <c r="K558">
        <v>2</v>
      </c>
      <c r="L558" t="s">
        <v>37</v>
      </c>
      <c r="M558" t="s">
        <v>61</v>
      </c>
      <c r="N558">
        <v>654.27</v>
      </c>
    </row>
    <row r="559" spans="1:14" x14ac:dyDescent="0.3">
      <c r="A559" t="s">
        <v>2134</v>
      </c>
      <c r="B559" s="8">
        <v>45106</v>
      </c>
      <c r="C559" t="s">
        <v>2135</v>
      </c>
      <c r="D559" t="s">
        <v>48</v>
      </c>
      <c r="E559">
        <v>1</v>
      </c>
      <c r="F559">
        <v>56.2</v>
      </c>
      <c r="G559" t="s">
        <v>2136</v>
      </c>
      <c r="H559" t="s">
        <v>34</v>
      </c>
      <c r="I559" t="s">
        <v>105</v>
      </c>
      <c r="J559" t="s">
        <v>2137</v>
      </c>
      <c r="K559">
        <v>1</v>
      </c>
      <c r="L559" t="s">
        <v>97</v>
      </c>
      <c r="M559" t="s">
        <v>61</v>
      </c>
      <c r="N559">
        <v>56.2</v>
      </c>
    </row>
    <row r="560" spans="1:14" x14ac:dyDescent="0.3">
      <c r="A560" t="s">
        <v>2138</v>
      </c>
      <c r="B560" s="8">
        <v>45489</v>
      </c>
      <c r="C560" t="s">
        <v>2139</v>
      </c>
      <c r="D560" t="s">
        <v>41</v>
      </c>
      <c r="E560">
        <v>4</v>
      </c>
      <c r="F560">
        <v>628.12</v>
      </c>
      <c r="G560" t="s">
        <v>2140</v>
      </c>
      <c r="H560" t="s">
        <v>43</v>
      </c>
      <c r="I560" t="s">
        <v>66</v>
      </c>
      <c r="J560" t="s">
        <v>2141</v>
      </c>
      <c r="K560">
        <v>6</v>
      </c>
      <c r="L560" t="s">
        <v>97</v>
      </c>
      <c r="M560" t="s">
        <v>38</v>
      </c>
      <c r="N560">
        <v>2512.48</v>
      </c>
    </row>
    <row r="561" spans="1:14" x14ac:dyDescent="0.3">
      <c r="A561" t="s">
        <v>2142</v>
      </c>
      <c r="B561" s="8">
        <v>45397</v>
      </c>
      <c r="C561" t="s">
        <v>2143</v>
      </c>
      <c r="D561" t="s">
        <v>89</v>
      </c>
      <c r="E561">
        <v>3</v>
      </c>
      <c r="F561">
        <v>157.4</v>
      </c>
      <c r="G561" t="s">
        <v>1928</v>
      </c>
      <c r="H561" t="s">
        <v>34</v>
      </c>
      <c r="I561" t="s">
        <v>51</v>
      </c>
      <c r="J561" t="s">
        <v>2144</v>
      </c>
      <c r="K561">
        <v>7</v>
      </c>
      <c r="L561" t="s">
        <v>97</v>
      </c>
      <c r="M561" t="s">
        <v>54</v>
      </c>
      <c r="N561">
        <v>472.2</v>
      </c>
    </row>
    <row r="562" spans="1:14" x14ac:dyDescent="0.3">
      <c r="A562" t="s">
        <v>2145</v>
      </c>
      <c r="B562" s="8">
        <v>44957</v>
      </c>
      <c r="C562" t="s">
        <v>2146</v>
      </c>
      <c r="D562" t="s">
        <v>32</v>
      </c>
      <c r="E562">
        <v>4</v>
      </c>
      <c r="F562">
        <v>588.85</v>
      </c>
      <c r="G562" t="s">
        <v>2147</v>
      </c>
      <c r="H562" t="s">
        <v>76</v>
      </c>
      <c r="I562" t="s">
        <v>105</v>
      </c>
      <c r="J562" t="s">
        <v>2148</v>
      </c>
      <c r="K562">
        <v>7</v>
      </c>
      <c r="M562" t="s">
        <v>54</v>
      </c>
      <c r="N562">
        <v>2355.4</v>
      </c>
    </row>
    <row r="563" spans="1:14" x14ac:dyDescent="0.3">
      <c r="A563" t="s">
        <v>2149</v>
      </c>
      <c r="B563" s="8">
        <v>44957</v>
      </c>
      <c r="C563" t="s">
        <v>2150</v>
      </c>
      <c r="D563" t="s">
        <v>64</v>
      </c>
      <c r="E563">
        <v>2</v>
      </c>
      <c r="F563">
        <v>494.78</v>
      </c>
      <c r="G563" t="s">
        <v>2151</v>
      </c>
      <c r="H563" t="s">
        <v>43</v>
      </c>
      <c r="I563" t="s">
        <v>35</v>
      </c>
      <c r="J563" t="s">
        <v>2152</v>
      </c>
      <c r="K563">
        <v>2</v>
      </c>
      <c r="M563" t="s">
        <v>92</v>
      </c>
      <c r="N563">
        <v>989.56</v>
      </c>
    </row>
    <row r="564" spans="1:14" x14ac:dyDescent="0.3">
      <c r="A564" t="s">
        <v>2153</v>
      </c>
      <c r="B564" s="8">
        <v>45205</v>
      </c>
      <c r="C564" t="s">
        <v>2154</v>
      </c>
      <c r="D564" t="s">
        <v>74</v>
      </c>
      <c r="E564">
        <v>3</v>
      </c>
      <c r="F564">
        <v>663.93</v>
      </c>
      <c r="G564" t="s">
        <v>438</v>
      </c>
      <c r="H564" t="s">
        <v>76</v>
      </c>
      <c r="I564" t="s">
        <v>59</v>
      </c>
      <c r="J564" t="s">
        <v>2155</v>
      </c>
      <c r="K564">
        <v>6</v>
      </c>
      <c r="L564" t="s">
        <v>53</v>
      </c>
      <c r="M564" t="s">
        <v>54</v>
      </c>
      <c r="N564">
        <v>1991.79</v>
      </c>
    </row>
    <row r="565" spans="1:14" x14ac:dyDescent="0.3">
      <c r="A565" t="s">
        <v>2156</v>
      </c>
      <c r="B565" s="8">
        <v>45272</v>
      </c>
      <c r="C565" t="s">
        <v>2157</v>
      </c>
      <c r="D565" t="s">
        <v>74</v>
      </c>
      <c r="E565">
        <v>1</v>
      </c>
      <c r="F565">
        <v>132.68</v>
      </c>
      <c r="G565" t="s">
        <v>2158</v>
      </c>
      <c r="H565" t="s">
        <v>34</v>
      </c>
      <c r="I565" t="s">
        <v>59</v>
      </c>
      <c r="J565" t="s">
        <v>2159</v>
      </c>
      <c r="K565">
        <v>1</v>
      </c>
      <c r="L565" t="s">
        <v>37</v>
      </c>
      <c r="M565" t="s">
        <v>45</v>
      </c>
      <c r="N565">
        <v>132.68</v>
      </c>
    </row>
    <row r="566" spans="1:14" x14ac:dyDescent="0.3">
      <c r="A566" t="s">
        <v>2160</v>
      </c>
      <c r="B566" s="8">
        <v>45755</v>
      </c>
      <c r="C566" t="s">
        <v>2161</v>
      </c>
      <c r="D566" t="s">
        <v>89</v>
      </c>
      <c r="E566">
        <v>5</v>
      </c>
      <c r="F566">
        <v>364.28</v>
      </c>
      <c r="G566" t="s">
        <v>2162</v>
      </c>
      <c r="H566" t="s">
        <v>50</v>
      </c>
      <c r="I566" t="s">
        <v>51</v>
      </c>
      <c r="J566" t="s">
        <v>2163</v>
      </c>
      <c r="K566">
        <v>5</v>
      </c>
      <c r="L566" t="s">
        <v>97</v>
      </c>
      <c r="M566" t="s">
        <v>92</v>
      </c>
      <c r="N566">
        <v>1821.4</v>
      </c>
    </row>
    <row r="567" spans="1:14" x14ac:dyDescent="0.3">
      <c r="A567" t="s">
        <v>2164</v>
      </c>
      <c r="B567" s="8">
        <v>45060</v>
      </c>
      <c r="C567" t="s">
        <v>2165</v>
      </c>
      <c r="D567" t="s">
        <v>48</v>
      </c>
      <c r="E567">
        <v>5</v>
      </c>
      <c r="F567">
        <v>307.98</v>
      </c>
      <c r="G567" t="s">
        <v>1806</v>
      </c>
      <c r="H567" t="s">
        <v>43</v>
      </c>
      <c r="I567" t="s">
        <v>105</v>
      </c>
      <c r="J567" t="s">
        <v>2166</v>
      </c>
      <c r="K567">
        <v>10</v>
      </c>
      <c r="M567" t="s">
        <v>61</v>
      </c>
      <c r="N567">
        <v>1539.9</v>
      </c>
    </row>
    <row r="568" spans="1:14" x14ac:dyDescent="0.3">
      <c r="A568" t="s">
        <v>2167</v>
      </c>
      <c r="B568" s="8">
        <v>45400</v>
      </c>
      <c r="C568" t="s">
        <v>2168</v>
      </c>
      <c r="D568" t="s">
        <v>41</v>
      </c>
      <c r="E568">
        <v>4</v>
      </c>
      <c r="F568">
        <v>162.71</v>
      </c>
      <c r="G568" t="s">
        <v>2169</v>
      </c>
      <c r="H568" t="s">
        <v>81</v>
      </c>
      <c r="I568" t="s">
        <v>51</v>
      </c>
      <c r="J568" t="s">
        <v>2170</v>
      </c>
      <c r="K568">
        <v>7</v>
      </c>
      <c r="L568" t="s">
        <v>53</v>
      </c>
      <c r="M568" t="s">
        <v>54</v>
      </c>
      <c r="N568">
        <v>650.84</v>
      </c>
    </row>
    <row r="569" spans="1:14" x14ac:dyDescent="0.3">
      <c r="A569" t="s">
        <v>2171</v>
      </c>
      <c r="B569" s="8">
        <v>45565</v>
      </c>
      <c r="C569" t="s">
        <v>2172</v>
      </c>
      <c r="D569" t="s">
        <v>57</v>
      </c>
      <c r="E569">
        <v>5</v>
      </c>
      <c r="F569">
        <v>492.94</v>
      </c>
      <c r="G569" t="s">
        <v>1059</v>
      </c>
      <c r="H569" t="s">
        <v>81</v>
      </c>
      <c r="I569" t="s">
        <v>35</v>
      </c>
      <c r="J569" t="s">
        <v>2173</v>
      </c>
      <c r="K569">
        <v>10</v>
      </c>
      <c r="L569" t="s">
        <v>53</v>
      </c>
      <c r="M569" t="s">
        <v>54</v>
      </c>
      <c r="N569">
        <v>2464.6999999999998</v>
      </c>
    </row>
    <row r="570" spans="1:14" x14ac:dyDescent="0.3">
      <c r="A570" t="s">
        <v>2174</v>
      </c>
      <c r="B570" s="8">
        <v>44995</v>
      </c>
      <c r="C570" t="s">
        <v>2175</v>
      </c>
      <c r="D570" t="s">
        <v>74</v>
      </c>
      <c r="E570">
        <v>2</v>
      </c>
      <c r="F570">
        <v>343.99</v>
      </c>
      <c r="G570" t="s">
        <v>1447</v>
      </c>
      <c r="H570" t="s">
        <v>43</v>
      </c>
      <c r="I570" t="s">
        <v>66</v>
      </c>
      <c r="J570" t="s">
        <v>2176</v>
      </c>
      <c r="K570">
        <v>4</v>
      </c>
      <c r="M570" t="s">
        <v>92</v>
      </c>
      <c r="N570">
        <v>687.98</v>
      </c>
    </row>
    <row r="571" spans="1:14" x14ac:dyDescent="0.3">
      <c r="A571" t="s">
        <v>2177</v>
      </c>
      <c r="B571" s="8">
        <v>45738</v>
      </c>
      <c r="C571" t="s">
        <v>2178</v>
      </c>
      <c r="D571" t="s">
        <v>89</v>
      </c>
      <c r="E571">
        <v>5</v>
      </c>
      <c r="F571">
        <v>250.68</v>
      </c>
      <c r="G571" t="s">
        <v>1831</v>
      </c>
      <c r="H571" t="s">
        <v>81</v>
      </c>
      <c r="I571" t="s">
        <v>35</v>
      </c>
      <c r="J571" t="s">
        <v>2179</v>
      </c>
      <c r="K571">
        <v>8</v>
      </c>
      <c r="L571" t="s">
        <v>37</v>
      </c>
      <c r="M571" t="s">
        <v>38</v>
      </c>
      <c r="N571">
        <v>1253.4000000000001</v>
      </c>
    </row>
    <row r="572" spans="1:14" x14ac:dyDescent="0.3">
      <c r="A572" t="s">
        <v>2180</v>
      </c>
      <c r="B572" s="8">
        <v>45653</v>
      </c>
      <c r="C572" t="s">
        <v>2181</v>
      </c>
      <c r="D572" t="s">
        <v>89</v>
      </c>
      <c r="E572">
        <v>2</v>
      </c>
      <c r="F572">
        <v>362.14</v>
      </c>
      <c r="G572" t="s">
        <v>510</v>
      </c>
      <c r="H572" t="s">
        <v>34</v>
      </c>
      <c r="I572" t="s">
        <v>105</v>
      </c>
      <c r="J572" t="s">
        <v>2182</v>
      </c>
      <c r="K572">
        <v>2</v>
      </c>
      <c r="L572" t="s">
        <v>37</v>
      </c>
      <c r="M572" t="s">
        <v>38</v>
      </c>
      <c r="N572">
        <v>724.28</v>
      </c>
    </row>
    <row r="573" spans="1:14" x14ac:dyDescent="0.3">
      <c r="A573" t="s">
        <v>2183</v>
      </c>
      <c r="B573" s="8">
        <v>45619</v>
      </c>
      <c r="C573" t="s">
        <v>2184</v>
      </c>
      <c r="D573" t="s">
        <v>48</v>
      </c>
      <c r="E573">
        <v>1</v>
      </c>
      <c r="F573">
        <v>214.08</v>
      </c>
      <c r="G573" t="s">
        <v>1854</v>
      </c>
      <c r="H573" t="s">
        <v>76</v>
      </c>
      <c r="I573" t="s">
        <v>59</v>
      </c>
      <c r="J573" t="s">
        <v>2185</v>
      </c>
      <c r="K573">
        <v>2</v>
      </c>
      <c r="L573" t="s">
        <v>97</v>
      </c>
      <c r="M573" t="s">
        <v>92</v>
      </c>
      <c r="N573">
        <v>214.08</v>
      </c>
    </row>
    <row r="574" spans="1:14" x14ac:dyDescent="0.3">
      <c r="A574" t="s">
        <v>2186</v>
      </c>
      <c r="B574" s="8">
        <v>45241</v>
      </c>
      <c r="C574" t="s">
        <v>2187</v>
      </c>
      <c r="D574" t="s">
        <v>64</v>
      </c>
      <c r="E574">
        <v>1</v>
      </c>
      <c r="F574">
        <v>70.319999999999993</v>
      </c>
      <c r="G574" t="s">
        <v>1497</v>
      </c>
      <c r="H574" t="s">
        <v>81</v>
      </c>
      <c r="I574" t="s">
        <v>59</v>
      </c>
      <c r="J574" t="s">
        <v>2188</v>
      </c>
      <c r="K574">
        <v>4</v>
      </c>
      <c r="L574" t="s">
        <v>97</v>
      </c>
      <c r="M574" t="s">
        <v>61</v>
      </c>
      <c r="N574">
        <v>70.319999999999993</v>
      </c>
    </row>
    <row r="575" spans="1:14" x14ac:dyDescent="0.3">
      <c r="A575" t="s">
        <v>2189</v>
      </c>
      <c r="B575" s="8">
        <v>44951</v>
      </c>
      <c r="C575" t="s">
        <v>2190</v>
      </c>
      <c r="D575" t="s">
        <v>57</v>
      </c>
      <c r="E575">
        <v>5</v>
      </c>
      <c r="F575">
        <v>421.42</v>
      </c>
      <c r="G575" t="s">
        <v>482</v>
      </c>
      <c r="H575" t="s">
        <v>34</v>
      </c>
      <c r="I575" t="s">
        <v>51</v>
      </c>
      <c r="J575" t="s">
        <v>2191</v>
      </c>
      <c r="K575">
        <v>7</v>
      </c>
      <c r="M575" t="s">
        <v>38</v>
      </c>
      <c r="N575">
        <v>2107.1</v>
      </c>
    </row>
    <row r="576" spans="1:14" x14ac:dyDescent="0.3">
      <c r="A576" t="s">
        <v>2192</v>
      </c>
      <c r="B576" s="8">
        <v>45315</v>
      </c>
      <c r="C576" t="s">
        <v>2193</v>
      </c>
      <c r="D576" t="s">
        <v>57</v>
      </c>
      <c r="E576">
        <v>5</v>
      </c>
      <c r="F576">
        <v>384.69</v>
      </c>
      <c r="G576" t="s">
        <v>58</v>
      </c>
      <c r="H576" t="s">
        <v>50</v>
      </c>
      <c r="I576" t="s">
        <v>105</v>
      </c>
      <c r="J576" t="s">
        <v>2194</v>
      </c>
      <c r="K576">
        <v>6</v>
      </c>
      <c r="L576" t="s">
        <v>53</v>
      </c>
      <c r="M576" t="s">
        <v>54</v>
      </c>
      <c r="N576">
        <v>1923.45</v>
      </c>
    </row>
    <row r="577" spans="1:14" x14ac:dyDescent="0.3">
      <c r="A577" t="s">
        <v>2195</v>
      </c>
      <c r="B577" s="8">
        <v>45084</v>
      </c>
      <c r="C577" t="s">
        <v>2196</v>
      </c>
      <c r="D577" t="s">
        <v>57</v>
      </c>
      <c r="E577">
        <v>5</v>
      </c>
      <c r="F577">
        <v>448.15</v>
      </c>
      <c r="G577" t="s">
        <v>2197</v>
      </c>
      <c r="H577" t="s">
        <v>76</v>
      </c>
      <c r="I577" t="s">
        <v>59</v>
      </c>
      <c r="J577" t="s">
        <v>2198</v>
      </c>
      <c r="K577">
        <v>7</v>
      </c>
      <c r="L577" t="s">
        <v>37</v>
      </c>
      <c r="M577" t="s">
        <v>92</v>
      </c>
      <c r="N577">
        <v>2240.75</v>
      </c>
    </row>
    <row r="578" spans="1:14" x14ac:dyDescent="0.3">
      <c r="A578" t="s">
        <v>2199</v>
      </c>
      <c r="B578" s="8">
        <v>45441</v>
      </c>
      <c r="C578" t="s">
        <v>2200</v>
      </c>
      <c r="D578" t="s">
        <v>74</v>
      </c>
      <c r="E578">
        <v>5</v>
      </c>
      <c r="F578">
        <v>79.08</v>
      </c>
      <c r="G578" t="s">
        <v>1431</v>
      </c>
      <c r="H578" t="s">
        <v>81</v>
      </c>
      <c r="I578" t="s">
        <v>105</v>
      </c>
      <c r="J578" t="s">
        <v>2201</v>
      </c>
      <c r="K578">
        <v>8</v>
      </c>
      <c r="M578" t="s">
        <v>61</v>
      </c>
      <c r="N578">
        <v>395.4</v>
      </c>
    </row>
    <row r="579" spans="1:14" x14ac:dyDescent="0.3">
      <c r="A579" t="s">
        <v>2202</v>
      </c>
      <c r="B579" s="8">
        <v>44948</v>
      </c>
      <c r="C579" t="s">
        <v>2203</v>
      </c>
      <c r="D579" t="s">
        <v>48</v>
      </c>
      <c r="E579">
        <v>4</v>
      </c>
      <c r="F579">
        <v>185.41</v>
      </c>
      <c r="G579" t="s">
        <v>387</v>
      </c>
      <c r="H579" t="s">
        <v>43</v>
      </c>
      <c r="I579" t="s">
        <v>59</v>
      </c>
      <c r="J579" t="s">
        <v>2204</v>
      </c>
      <c r="K579">
        <v>9</v>
      </c>
      <c r="L579" t="s">
        <v>97</v>
      </c>
      <c r="M579" t="s">
        <v>92</v>
      </c>
      <c r="N579">
        <v>741.64</v>
      </c>
    </row>
    <row r="580" spans="1:14" x14ac:dyDescent="0.3">
      <c r="A580" t="s">
        <v>2205</v>
      </c>
      <c r="B580" s="8">
        <v>45575</v>
      </c>
      <c r="C580" t="s">
        <v>2206</v>
      </c>
      <c r="D580" t="s">
        <v>32</v>
      </c>
      <c r="E580">
        <v>5</v>
      </c>
      <c r="F580">
        <v>566.07000000000005</v>
      </c>
      <c r="G580" t="s">
        <v>137</v>
      </c>
      <c r="H580" t="s">
        <v>50</v>
      </c>
      <c r="I580" t="s">
        <v>66</v>
      </c>
      <c r="J580" t="s">
        <v>2207</v>
      </c>
      <c r="K580">
        <v>6</v>
      </c>
      <c r="L580" t="s">
        <v>37</v>
      </c>
      <c r="M580" t="s">
        <v>38</v>
      </c>
      <c r="N580">
        <v>2830.35</v>
      </c>
    </row>
    <row r="581" spans="1:14" x14ac:dyDescent="0.3">
      <c r="A581" t="s">
        <v>2208</v>
      </c>
      <c r="B581" s="8">
        <v>45081</v>
      </c>
      <c r="C581" t="s">
        <v>2209</v>
      </c>
      <c r="D581" t="s">
        <v>48</v>
      </c>
      <c r="E581">
        <v>2</v>
      </c>
      <c r="F581">
        <v>187.88</v>
      </c>
      <c r="G581" t="s">
        <v>1283</v>
      </c>
      <c r="H581" t="s">
        <v>43</v>
      </c>
      <c r="I581" t="s">
        <v>35</v>
      </c>
      <c r="J581" t="s">
        <v>2210</v>
      </c>
      <c r="K581">
        <v>4</v>
      </c>
      <c r="L581" t="s">
        <v>97</v>
      </c>
      <c r="M581" t="s">
        <v>61</v>
      </c>
      <c r="N581">
        <v>375.76</v>
      </c>
    </row>
    <row r="582" spans="1:14" x14ac:dyDescent="0.3">
      <c r="A582" t="s">
        <v>2211</v>
      </c>
      <c r="B582" s="8">
        <v>45244</v>
      </c>
      <c r="C582" t="s">
        <v>2212</v>
      </c>
      <c r="D582" t="s">
        <v>32</v>
      </c>
      <c r="E582">
        <v>2</v>
      </c>
      <c r="F582">
        <v>255.99</v>
      </c>
      <c r="G582" t="s">
        <v>2213</v>
      </c>
      <c r="H582" t="s">
        <v>50</v>
      </c>
      <c r="I582" t="s">
        <v>66</v>
      </c>
      <c r="J582" t="s">
        <v>2214</v>
      </c>
      <c r="K582">
        <v>4</v>
      </c>
      <c r="L582" t="s">
        <v>37</v>
      </c>
      <c r="M582" t="s">
        <v>38</v>
      </c>
      <c r="N582">
        <v>511.98</v>
      </c>
    </row>
    <row r="583" spans="1:14" x14ac:dyDescent="0.3">
      <c r="A583" t="s">
        <v>2215</v>
      </c>
      <c r="B583" s="8">
        <v>45607</v>
      </c>
      <c r="C583" t="s">
        <v>2216</v>
      </c>
      <c r="D583" t="s">
        <v>74</v>
      </c>
      <c r="E583">
        <v>1</v>
      </c>
      <c r="F583">
        <v>627.34</v>
      </c>
      <c r="G583" t="s">
        <v>117</v>
      </c>
      <c r="H583" t="s">
        <v>43</v>
      </c>
      <c r="I583" t="s">
        <v>66</v>
      </c>
      <c r="J583" t="s">
        <v>2217</v>
      </c>
      <c r="K583">
        <v>1</v>
      </c>
      <c r="M583" t="s">
        <v>45</v>
      </c>
      <c r="N583">
        <v>627.34</v>
      </c>
    </row>
    <row r="584" spans="1:14" x14ac:dyDescent="0.3">
      <c r="A584" t="s">
        <v>2218</v>
      </c>
      <c r="B584" s="8">
        <v>45341</v>
      </c>
      <c r="C584" t="s">
        <v>2219</v>
      </c>
      <c r="D584" t="s">
        <v>48</v>
      </c>
      <c r="E584">
        <v>3</v>
      </c>
      <c r="F584">
        <v>474.14</v>
      </c>
      <c r="G584" t="s">
        <v>1541</v>
      </c>
      <c r="H584" t="s">
        <v>76</v>
      </c>
      <c r="I584" t="s">
        <v>35</v>
      </c>
      <c r="J584" t="s">
        <v>2220</v>
      </c>
      <c r="K584">
        <v>8</v>
      </c>
      <c r="L584" t="s">
        <v>97</v>
      </c>
      <c r="M584" t="s">
        <v>92</v>
      </c>
      <c r="N584">
        <v>1422.42</v>
      </c>
    </row>
    <row r="585" spans="1:14" x14ac:dyDescent="0.3">
      <c r="A585" t="s">
        <v>2221</v>
      </c>
      <c r="B585" s="8">
        <v>45823</v>
      </c>
      <c r="C585" t="s">
        <v>2222</v>
      </c>
      <c r="D585" t="s">
        <v>57</v>
      </c>
      <c r="E585">
        <v>3</v>
      </c>
      <c r="F585">
        <v>154.37</v>
      </c>
      <c r="G585" t="s">
        <v>181</v>
      </c>
      <c r="H585" t="s">
        <v>76</v>
      </c>
      <c r="I585" t="s">
        <v>66</v>
      </c>
      <c r="J585" t="s">
        <v>2223</v>
      </c>
      <c r="K585">
        <v>4</v>
      </c>
      <c r="M585" t="s">
        <v>38</v>
      </c>
      <c r="N585">
        <v>463.11</v>
      </c>
    </row>
    <row r="586" spans="1:14" x14ac:dyDescent="0.3">
      <c r="A586" t="s">
        <v>2224</v>
      </c>
      <c r="B586" s="8">
        <v>45737</v>
      </c>
      <c r="C586" t="s">
        <v>2225</v>
      </c>
      <c r="D586" t="s">
        <v>57</v>
      </c>
      <c r="E586">
        <v>4</v>
      </c>
      <c r="F586">
        <v>145.05000000000001</v>
      </c>
      <c r="G586" t="s">
        <v>2226</v>
      </c>
      <c r="H586" t="s">
        <v>43</v>
      </c>
      <c r="I586" t="s">
        <v>66</v>
      </c>
      <c r="J586" t="s">
        <v>2227</v>
      </c>
      <c r="K586">
        <v>6</v>
      </c>
      <c r="L586" t="s">
        <v>37</v>
      </c>
      <c r="M586" t="s">
        <v>92</v>
      </c>
      <c r="N586">
        <v>580.20000000000005</v>
      </c>
    </row>
    <row r="587" spans="1:14" x14ac:dyDescent="0.3">
      <c r="A587" t="s">
        <v>2228</v>
      </c>
      <c r="B587" s="8">
        <v>45158</v>
      </c>
      <c r="C587" t="s">
        <v>2229</v>
      </c>
      <c r="D587" t="s">
        <v>48</v>
      </c>
      <c r="E587">
        <v>4</v>
      </c>
      <c r="F587">
        <v>67.08</v>
      </c>
      <c r="G587" t="s">
        <v>1424</v>
      </c>
      <c r="H587" t="s">
        <v>81</v>
      </c>
      <c r="I587" t="s">
        <v>59</v>
      </c>
      <c r="J587" t="s">
        <v>2230</v>
      </c>
      <c r="K587">
        <v>8</v>
      </c>
      <c r="L587" t="s">
        <v>97</v>
      </c>
      <c r="M587" t="s">
        <v>92</v>
      </c>
      <c r="N587">
        <v>268.32</v>
      </c>
    </row>
    <row r="588" spans="1:14" x14ac:dyDescent="0.3">
      <c r="A588" t="s">
        <v>2231</v>
      </c>
      <c r="B588" s="8">
        <v>45606</v>
      </c>
      <c r="C588" t="s">
        <v>2232</v>
      </c>
      <c r="D588" t="s">
        <v>32</v>
      </c>
      <c r="E588">
        <v>1</v>
      </c>
      <c r="F588">
        <v>522.08000000000004</v>
      </c>
      <c r="G588" t="s">
        <v>2233</v>
      </c>
      <c r="H588" t="s">
        <v>76</v>
      </c>
      <c r="I588" t="s">
        <v>59</v>
      </c>
      <c r="J588" t="s">
        <v>2234</v>
      </c>
      <c r="K588">
        <v>5</v>
      </c>
      <c r="L588" t="s">
        <v>53</v>
      </c>
      <c r="M588" t="s">
        <v>45</v>
      </c>
      <c r="N588">
        <v>522.08000000000004</v>
      </c>
    </row>
    <row r="589" spans="1:14" x14ac:dyDescent="0.3">
      <c r="A589" t="s">
        <v>2235</v>
      </c>
      <c r="B589" s="8">
        <v>45089</v>
      </c>
      <c r="C589" t="s">
        <v>2236</v>
      </c>
      <c r="D589" t="s">
        <v>32</v>
      </c>
      <c r="E589">
        <v>5</v>
      </c>
      <c r="F589">
        <v>514.6</v>
      </c>
      <c r="G589" t="s">
        <v>2237</v>
      </c>
      <c r="H589" t="s">
        <v>76</v>
      </c>
      <c r="I589" t="s">
        <v>66</v>
      </c>
      <c r="J589" t="s">
        <v>2238</v>
      </c>
      <c r="K589">
        <v>10</v>
      </c>
      <c r="L589" t="s">
        <v>53</v>
      </c>
      <c r="M589" t="s">
        <v>38</v>
      </c>
      <c r="N589">
        <v>2573</v>
      </c>
    </row>
    <row r="590" spans="1:14" x14ac:dyDescent="0.3">
      <c r="A590" t="s">
        <v>2239</v>
      </c>
      <c r="B590" s="8">
        <v>45636</v>
      </c>
      <c r="C590" t="s">
        <v>2240</v>
      </c>
      <c r="D590" t="s">
        <v>32</v>
      </c>
      <c r="E590">
        <v>4</v>
      </c>
      <c r="F590">
        <v>577.82000000000005</v>
      </c>
      <c r="G590" t="s">
        <v>289</v>
      </c>
      <c r="H590" t="s">
        <v>50</v>
      </c>
      <c r="I590" t="s">
        <v>66</v>
      </c>
      <c r="J590" t="s">
        <v>2241</v>
      </c>
      <c r="K590">
        <v>9</v>
      </c>
      <c r="M590" t="s">
        <v>92</v>
      </c>
      <c r="N590">
        <v>2311.2800000000002</v>
      </c>
    </row>
    <row r="591" spans="1:14" x14ac:dyDescent="0.3">
      <c r="A591" t="s">
        <v>2242</v>
      </c>
      <c r="B591" s="8">
        <v>45698</v>
      </c>
      <c r="C591" t="s">
        <v>2243</v>
      </c>
      <c r="D591" t="s">
        <v>74</v>
      </c>
      <c r="E591">
        <v>2</v>
      </c>
      <c r="F591">
        <v>500.8</v>
      </c>
      <c r="G591" t="s">
        <v>2244</v>
      </c>
      <c r="H591" t="s">
        <v>81</v>
      </c>
      <c r="I591" t="s">
        <v>66</v>
      </c>
      <c r="J591" t="s">
        <v>2245</v>
      </c>
      <c r="K591">
        <v>3</v>
      </c>
      <c r="L591" t="s">
        <v>53</v>
      </c>
      <c r="M591" t="s">
        <v>45</v>
      </c>
      <c r="N591">
        <v>1001.6</v>
      </c>
    </row>
    <row r="592" spans="1:14" x14ac:dyDescent="0.3">
      <c r="A592" t="s">
        <v>2246</v>
      </c>
      <c r="B592" s="8">
        <v>45179</v>
      </c>
      <c r="C592" t="s">
        <v>2247</v>
      </c>
      <c r="D592" t="s">
        <v>64</v>
      </c>
      <c r="E592">
        <v>2</v>
      </c>
      <c r="F592">
        <v>461.13</v>
      </c>
      <c r="G592" t="s">
        <v>2248</v>
      </c>
      <c r="H592" t="s">
        <v>76</v>
      </c>
      <c r="I592" t="s">
        <v>59</v>
      </c>
      <c r="J592" t="s">
        <v>2249</v>
      </c>
      <c r="K592">
        <v>4</v>
      </c>
      <c r="M592" t="s">
        <v>54</v>
      </c>
      <c r="N592">
        <v>922.26</v>
      </c>
    </row>
    <row r="593" spans="1:14" x14ac:dyDescent="0.3">
      <c r="A593" t="s">
        <v>2250</v>
      </c>
      <c r="B593" s="8">
        <v>45614</v>
      </c>
      <c r="C593" t="s">
        <v>2251</v>
      </c>
      <c r="D593" t="s">
        <v>74</v>
      </c>
      <c r="E593">
        <v>1</v>
      </c>
      <c r="F593">
        <v>605.28</v>
      </c>
      <c r="G593" t="s">
        <v>2252</v>
      </c>
      <c r="H593" t="s">
        <v>76</v>
      </c>
      <c r="I593" t="s">
        <v>35</v>
      </c>
      <c r="J593" t="s">
        <v>2253</v>
      </c>
      <c r="K593">
        <v>3</v>
      </c>
      <c r="L593" t="s">
        <v>53</v>
      </c>
      <c r="M593" t="s">
        <v>45</v>
      </c>
      <c r="N593">
        <v>605.28</v>
      </c>
    </row>
    <row r="594" spans="1:14" x14ac:dyDescent="0.3">
      <c r="A594" t="s">
        <v>2254</v>
      </c>
      <c r="B594" s="8">
        <v>45405</v>
      </c>
      <c r="C594" t="s">
        <v>2255</v>
      </c>
      <c r="D594" t="s">
        <v>41</v>
      </c>
      <c r="E594">
        <v>3</v>
      </c>
      <c r="F594">
        <v>204.27</v>
      </c>
      <c r="G594" t="s">
        <v>2037</v>
      </c>
      <c r="H594" t="s">
        <v>43</v>
      </c>
      <c r="I594" t="s">
        <v>59</v>
      </c>
      <c r="J594" t="s">
        <v>2256</v>
      </c>
      <c r="K594">
        <v>4</v>
      </c>
      <c r="M594" t="s">
        <v>92</v>
      </c>
      <c r="N594">
        <v>612.80999999999995</v>
      </c>
    </row>
    <row r="595" spans="1:14" x14ac:dyDescent="0.3">
      <c r="A595" t="s">
        <v>2257</v>
      </c>
      <c r="B595" s="8">
        <v>45140</v>
      </c>
      <c r="C595" t="s">
        <v>2258</v>
      </c>
      <c r="D595" t="s">
        <v>32</v>
      </c>
      <c r="E595">
        <v>1</v>
      </c>
      <c r="F595">
        <v>489.8</v>
      </c>
      <c r="G595" t="s">
        <v>581</v>
      </c>
      <c r="H595" t="s">
        <v>76</v>
      </c>
      <c r="I595" t="s">
        <v>35</v>
      </c>
      <c r="J595" t="s">
        <v>2259</v>
      </c>
      <c r="K595">
        <v>4</v>
      </c>
      <c r="L595" t="s">
        <v>53</v>
      </c>
      <c r="M595" t="s">
        <v>61</v>
      </c>
      <c r="N595">
        <v>489.8</v>
      </c>
    </row>
    <row r="596" spans="1:14" x14ac:dyDescent="0.3">
      <c r="A596" t="s">
        <v>2260</v>
      </c>
      <c r="B596" s="8">
        <v>45343</v>
      </c>
      <c r="C596" t="s">
        <v>2261</v>
      </c>
      <c r="D596" t="s">
        <v>41</v>
      </c>
      <c r="E596">
        <v>5</v>
      </c>
      <c r="F596">
        <v>72.64</v>
      </c>
      <c r="G596" t="s">
        <v>596</v>
      </c>
      <c r="H596" t="s">
        <v>50</v>
      </c>
      <c r="I596" t="s">
        <v>51</v>
      </c>
      <c r="J596" t="s">
        <v>2262</v>
      </c>
      <c r="K596">
        <v>7</v>
      </c>
      <c r="M596" t="s">
        <v>54</v>
      </c>
      <c r="N596">
        <v>363.2</v>
      </c>
    </row>
    <row r="597" spans="1:14" x14ac:dyDescent="0.3">
      <c r="A597" t="s">
        <v>2263</v>
      </c>
      <c r="B597" s="8">
        <v>45667</v>
      </c>
      <c r="C597" t="s">
        <v>2264</v>
      </c>
      <c r="D597" t="s">
        <v>64</v>
      </c>
      <c r="E597">
        <v>2</v>
      </c>
      <c r="F597">
        <v>385.16</v>
      </c>
      <c r="G597" t="s">
        <v>2265</v>
      </c>
      <c r="H597" t="s">
        <v>43</v>
      </c>
      <c r="I597" t="s">
        <v>105</v>
      </c>
      <c r="J597" t="s">
        <v>2266</v>
      </c>
      <c r="K597">
        <v>7</v>
      </c>
      <c r="L597" t="s">
        <v>37</v>
      </c>
      <c r="M597" t="s">
        <v>54</v>
      </c>
      <c r="N597">
        <v>770.32</v>
      </c>
    </row>
    <row r="598" spans="1:14" x14ac:dyDescent="0.3">
      <c r="A598" t="s">
        <v>2267</v>
      </c>
      <c r="B598" s="8">
        <v>45089</v>
      </c>
      <c r="C598" t="s">
        <v>2268</v>
      </c>
      <c r="D598" t="s">
        <v>89</v>
      </c>
      <c r="E598">
        <v>3</v>
      </c>
      <c r="F598">
        <v>606.41</v>
      </c>
      <c r="G598" t="s">
        <v>2269</v>
      </c>
      <c r="H598" t="s">
        <v>34</v>
      </c>
      <c r="I598" t="s">
        <v>59</v>
      </c>
      <c r="J598" t="s">
        <v>2270</v>
      </c>
      <c r="K598">
        <v>7</v>
      </c>
      <c r="L598" t="s">
        <v>53</v>
      </c>
      <c r="M598" t="s">
        <v>61</v>
      </c>
      <c r="N598">
        <v>1819.23</v>
      </c>
    </row>
    <row r="599" spans="1:14" x14ac:dyDescent="0.3">
      <c r="A599" t="s">
        <v>2271</v>
      </c>
      <c r="B599" s="8">
        <v>45621</v>
      </c>
      <c r="C599" t="s">
        <v>2272</v>
      </c>
      <c r="D599" t="s">
        <v>89</v>
      </c>
      <c r="E599">
        <v>2</v>
      </c>
      <c r="F599">
        <v>211.82</v>
      </c>
      <c r="G599" t="s">
        <v>2273</v>
      </c>
      <c r="H599" t="s">
        <v>76</v>
      </c>
      <c r="I599" t="s">
        <v>51</v>
      </c>
      <c r="J599" t="s">
        <v>2274</v>
      </c>
      <c r="K599">
        <v>4</v>
      </c>
      <c r="L599" t="s">
        <v>97</v>
      </c>
      <c r="M599" t="s">
        <v>54</v>
      </c>
      <c r="N599">
        <v>423.64</v>
      </c>
    </row>
    <row r="600" spans="1:14" x14ac:dyDescent="0.3">
      <c r="A600" t="s">
        <v>2275</v>
      </c>
      <c r="B600" s="8">
        <v>45408</v>
      </c>
      <c r="C600" t="s">
        <v>2276</v>
      </c>
      <c r="D600" t="s">
        <v>89</v>
      </c>
      <c r="E600">
        <v>5</v>
      </c>
      <c r="F600">
        <v>495.35</v>
      </c>
      <c r="G600" t="s">
        <v>1360</v>
      </c>
      <c r="H600" t="s">
        <v>50</v>
      </c>
      <c r="I600" t="s">
        <v>105</v>
      </c>
      <c r="J600" t="s">
        <v>2277</v>
      </c>
      <c r="K600">
        <v>5</v>
      </c>
      <c r="M600" t="s">
        <v>61</v>
      </c>
      <c r="N600">
        <v>2476.75</v>
      </c>
    </row>
    <row r="601" spans="1:14" x14ac:dyDescent="0.3">
      <c r="A601" t="s">
        <v>2278</v>
      </c>
      <c r="B601" s="8">
        <v>45107</v>
      </c>
      <c r="C601" t="s">
        <v>2279</v>
      </c>
      <c r="D601" t="s">
        <v>57</v>
      </c>
      <c r="E601">
        <v>3</v>
      </c>
      <c r="F601">
        <v>556.99</v>
      </c>
      <c r="G601" t="s">
        <v>1625</v>
      </c>
      <c r="H601" t="s">
        <v>43</v>
      </c>
      <c r="I601" t="s">
        <v>51</v>
      </c>
      <c r="J601" t="s">
        <v>2280</v>
      </c>
      <c r="K601">
        <v>4</v>
      </c>
      <c r="L601" t="s">
        <v>53</v>
      </c>
      <c r="M601" t="s">
        <v>61</v>
      </c>
      <c r="N601">
        <v>1670.97</v>
      </c>
    </row>
    <row r="602" spans="1:14" x14ac:dyDescent="0.3">
      <c r="A602" t="s">
        <v>2281</v>
      </c>
      <c r="B602" s="8">
        <v>45072</v>
      </c>
      <c r="C602" t="s">
        <v>2282</v>
      </c>
      <c r="D602" t="s">
        <v>64</v>
      </c>
      <c r="E602">
        <v>1</v>
      </c>
      <c r="F602">
        <v>72.31</v>
      </c>
      <c r="G602" t="s">
        <v>1063</v>
      </c>
      <c r="H602" t="s">
        <v>76</v>
      </c>
      <c r="I602" t="s">
        <v>51</v>
      </c>
      <c r="J602" t="s">
        <v>2283</v>
      </c>
      <c r="K602">
        <v>1</v>
      </c>
      <c r="L602" t="s">
        <v>53</v>
      </c>
      <c r="M602" t="s">
        <v>61</v>
      </c>
      <c r="N602">
        <v>72.31</v>
      </c>
    </row>
    <row r="603" spans="1:14" x14ac:dyDescent="0.3">
      <c r="A603" t="s">
        <v>2284</v>
      </c>
      <c r="B603" s="8">
        <v>45201</v>
      </c>
      <c r="C603" t="s">
        <v>2285</v>
      </c>
      <c r="D603" t="s">
        <v>32</v>
      </c>
      <c r="E603">
        <v>5</v>
      </c>
      <c r="F603">
        <v>24.82</v>
      </c>
      <c r="G603" t="s">
        <v>2286</v>
      </c>
      <c r="H603" t="s">
        <v>50</v>
      </c>
      <c r="I603" t="s">
        <v>35</v>
      </c>
      <c r="J603" t="s">
        <v>2287</v>
      </c>
      <c r="K603">
        <v>10</v>
      </c>
      <c r="M603" t="s">
        <v>45</v>
      </c>
      <c r="N603">
        <v>124.1</v>
      </c>
    </row>
    <row r="604" spans="1:14" x14ac:dyDescent="0.3">
      <c r="A604" t="s">
        <v>2288</v>
      </c>
      <c r="B604" s="8">
        <v>45356</v>
      </c>
      <c r="C604" t="s">
        <v>1874</v>
      </c>
      <c r="D604" t="s">
        <v>48</v>
      </c>
      <c r="E604">
        <v>4</v>
      </c>
      <c r="F604">
        <v>26.04</v>
      </c>
      <c r="G604" t="s">
        <v>1878</v>
      </c>
      <c r="H604" t="s">
        <v>43</v>
      </c>
      <c r="I604" t="s">
        <v>105</v>
      </c>
      <c r="J604" t="s">
        <v>2289</v>
      </c>
      <c r="K604">
        <v>5</v>
      </c>
      <c r="L604" t="s">
        <v>37</v>
      </c>
      <c r="M604" t="s">
        <v>38</v>
      </c>
      <c r="N604">
        <v>104.16</v>
      </c>
    </row>
    <row r="605" spans="1:14" x14ac:dyDescent="0.3">
      <c r="A605" t="s">
        <v>2290</v>
      </c>
      <c r="B605" s="8">
        <v>45569</v>
      </c>
      <c r="C605" t="s">
        <v>2291</v>
      </c>
      <c r="D605" t="s">
        <v>48</v>
      </c>
      <c r="E605">
        <v>1</v>
      </c>
      <c r="F605">
        <v>657.07</v>
      </c>
      <c r="G605" t="s">
        <v>2292</v>
      </c>
      <c r="H605" t="s">
        <v>81</v>
      </c>
      <c r="I605" t="s">
        <v>105</v>
      </c>
      <c r="J605" t="s">
        <v>2293</v>
      </c>
      <c r="K605">
        <v>4</v>
      </c>
      <c r="L605" t="s">
        <v>37</v>
      </c>
      <c r="M605" t="s">
        <v>92</v>
      </c>
      <c r="N605">
        <v>657.07</v>
      </c>
    </row>
    <row r="606" spans="1:14" x14ac:dyDescent="0.3">
      <c r="A606" t="s">
        <v>2294</v>
      </c>
      <c r="B606" s="8">
        <v>45830</v>
      </c>
      <c r="C606" t="s">
        <v>2295</v>
      </c>
      <c r="D606" t="s">
        <v>57</v>
      </c>
      <c r="E606">
        <v>3</v>
      </c>
      <c r="F606">
        <v>32.619999999999997</v>
      </c>
      <c r="G606" t="s">
        <v>1199</v>
      </c>
      <c r="H606" t="s">
        <v>34</v>
      </c>
      <c r="I606" t="s">
        <v>66</v>
      </c>
      <c r="J606" t="s">
        <v>2296</v>
      </c>
      <c r="K606">
        <v>6</v>
      </c>
      <c r="M606" t="s">
        <v>61</v>
      </c>
      <c r="N606">
        <v>97.86</v>
      </c>
    </row>
    <row r="607" spans="1:14" x14ac:dyDescent="0.3">
      <c r="A607" t="s">
        <v>2297</v>
      </c>
      <c r="B607" s="8">
        <v>45422</v>
      </c>
      <c r="C607" t="s">
        <v>2298</v>
      </c>
      <c r="D607" t="s">
        <v>32</v>
      </c>
      <c r="E607">
        <v>2</v>
      </c>
      <c r="F607">
        <v>228.91</v>
      </c>
      <c r="G607" t="s">
        <v>2299</v>
      </c>
      <c r="H607" t="s">
        <v>34</v>
      </c>
      <c r="I607" t="s">
        <v>35</v>
      </c>
      <c r="J607" t="s">
        <v>2300</v>
      </c>
      <c r="K607">
        <v>4</v>
      </c>
      <c r="L607" t="s">
        <v>37</v>
      </c>
      <c r="M607" t="s">
        <v>45</v>
      </c>
      <c r="N607">
        <v>457.82</v>
      </c>
    </row>
    <row r="608" spans="1:14" x14ac:dyDescent="0.3">
      <c r="A608" t="s">
        <v>2301</v>
      </c>
      <c r="B608" s="8">
        <v>45602</v>
      </c>
      <c r="C608" t="s">
        <v>2302</v>
      </c>
      <c r="D608" t="s">
        <v>74</v>
      </c>
      <c r="E608">
        <v>3</v>
      </c>
      <c r="F608">
        <v>274.75</v>
      </c>
      <c r="G608" t="s">
        <v>972</v>
      </c>
      <c r="H608" t="s">
        <v>81</v>
      </c>
      <c r="I608" t="s">
        <v>51</v>
      </c>
      <c r="J608" t="s">
        <v>2303</v>
      </c>
      <c r="K608">
        <v>3</v>
      </c>
      <c r="L608" t="s">
        <v>37</v>
      </c>
      <c r="M608" t="s">
        <v>92</v>
      </c>
      <c r="N608">
        <v>824.25</v>
      </c>
    </row>
    <row r="609" spans="1:14" x14ac:dyDescent="0.3">
      <c r="A609" t="s">
        <v>2304</v>
      </c>
      <c r="B609" s="8">
        <v>45808</v>
      </c>
      <c r="C609" t="s">
        <v>2305</v>
      </c>
      <c r="D609" t="s">
        <v>64</v>
      </c>
      <c r="E609">
        <v>4</v>
      </c>
      <c r="F609">
        <v>634.04999999999995</v>
      </c>
      <c r="G609" t="s">
        <v>2306</v>
      </c>
      <c r="H609" t="s">
        <v>81</v>
      </c>
      <c r="I609" t="s">
        <v>35</v>
      </c>
      <c r="J609" t="s">
        <v>2307</v>
      </c>
      <c r="K609">
        <v>6</v>
      </c>
      <c r="L609" t="s">
        <v>37</v>
      </c>
      <c r="M609" t="s">
        <v>92</v>
      </c>
      <c r="N609">
        <v>2536.1999999999998</v>
      </c>
    </row>
    <row r="610" spans="1:14" x14ac:dyDescent="0.3">
      <c r="A610" t="s">
        <v>2308</v>
      </c>
      <c r="B610" s="8">
        <v>45497</v>
      </c>
      <c r="C610" t="s">
        <v>2309</v>
      </c>
      <c r="D610" t="s">
        <v>74</v>
      </c>
      <c r="E610">
        <v>5</v>
      </c>
      <c r="F610">
        <v>543.16</v>
      </c>
      <c r="G610" t="s">
        <v>2310</v>
      </c>
      <c r="H610" t="s">
        <v>43</v>
      </c>
      <c r="I610" t="s">
        <v>51</v>
      </c>
      <c r="J610" t="s">
        <v>2311</v>
      </c>
      <c r="K610">
        <v>6</v>
      </c>
      <c r="L610" t="s">
        <v>37</v>
      </c>
      <c r="M610" t="s">
        <v>38</v>
      </c>
      <c r="N610">
        <v>2715.8</v>
      </c>
    </row>
    <row r="611" spans="1:14" x14ac:dyDescent="0.3">
      <c r="A611" t="s">
        <v>2312</v>
      </c>
      <c r="B611" s="8">
        <v>45684</v>
      </c>
      <c r="C611" t="s">
        <v>2313</v>
      </c>
      <c r="D611" t="s">
        <v>57</v>
      </c>
      <c r="E611">
        <v>3</v>
      </c>
      <c r="F611">
        <v>449.13</v>
      </c>
      <c r="G611" t="s">
        <v>2314</v>
      </c>
      <c r="H611" t="s">
        <v>81</v>
      </c>
      <c r="I611" t="s">
        <v>59</v>
      </c>
      <c r="J611" t="s">
        <v>2315</v>
      </c>
      <c r="K611">
        <v>5</v>
      </c>
      <c r="L611" t="s">
        <v>97</v>
      </c>
      <c r="M611" t="s">
        <v>45</v>
      </c>
      <c r="N611">
        <v>1347.39</v>
      </c>
    </row>
    <row r="612" spans="1:14" x14ac:dyDescent="0.3">
      <c r="A612" t="s">
        <v>2316</v>
      </c>
      <c r="B612" s="8">
        <v>45459</v>
      </c>
      <c r="C612" t="s">
        <v>2317</v>
      </c>
      <c r="D612" t="s">
        <v>89</v>
      </c>
      <c r="E612">
        <v>5</v>
      </c>
      <c r="F612">
        <v>389.62</v>
      </c>
      <c r="G612" t="s">
        <v>269</v>
      </c>
      <c r="H612" t="s">
        <v>81</v>
      </c>
      <c r="I612" t="s">
        <v>59</v>
      </c>
      <c r="J612" t="s">
        <v>2318</v>
      </c>
      <c r="K612">
        <v>7</v>
      </c>
      <c r="L612" t="s">
        <v>53</v>
      </c>
      <c r="M612" t="s">
        <v>61</v>
      </c>
      <c r="N612">
        <v>1948.1</v>
      </c>
    </row>
    <row r="613" spans="1:14" x14ac:dyDescent="0.3">
      <c r="A613" t="s">
        <v>2319</v>
      </c>
      <c r="B613" s="8">
        <v>45037</v>
      </c>
      <c r="C613" t="s">
        <v>2320</v>
      </c>
      <c r="D613" t="s">
        <v>89</v>
      </c>
      <c r="E613">
        <v>1</v>
      </c>
      <c r="F613">
        <v>305.17</v>
      </c>
      <c r="G613" t="s">
        <v>2273</v>
      </c>
      <c r="H613" t="s">
        <v>76</v>
      </c>
      <c r="I613" t="s">
        <v>59</v>
      </c>
      <c r="J613" t="s">
        <v>2321</v>
      </c>
      <c r="K613">
        <v>3</v>
      </c>
      <c r="L613" t="s">
        <v>97</v>
      </c>
      <c r="M613" t="s">
        <v>45</v>
      </c>
      <c r="N613">
        <v>305.17</v>
      </c>
    </row>
    <row r="614" spans="1:14" x14ac:dyDescent="0.3">
      <c r="A614" t="s">
        <v>2322</v>
      </c>
      <c r="B614" s="8">
        <v>45079</v>
      </c>
      <c r="C614" t="s">
        <v>2323</v>
      </c>
      <c r="D614" t="s">
        <v>57</v>
      </c>
      <c r="E614">
        <v>3</v>
      </c>
      <c r="F614">
        <v>445.12</v>
      </c>
      <c r="G614" t="s">
        <v>1276</v>
      </c>
      <c r="H614" t="s">
        <v>76</v>
      </c>
      <c r="I614" t="s">
        <v>51</v>
      </c>
      <c r="J614" t="s">
        <v>2324</v>
      </c>
      <c r="K614">
        <v>8</v>
      </c>
      <c r="M614" t="s">
        <v>92</v>
      </c>
      <c r="N614">
        <v>1335.36</v>
      </c>
    </row>
    <row r="615" spans="1:14" x14ac:dyDescent="0.3">
      <c r="A615" t="s">
        <v>2325</v>
      </c>
      <c r="B615" s="8">
        <v>45645</v>
      </c>
      <c r="C615" t="s">
        <v>2326</v>
      </c>
      <c r="D615" t="s">
        <v>74</v>
      </c>
      <c r="E615">
        <v>2</v>
      </c>
      <c r="F615">
        <v>230.36</v>
      </c>
      <c r="G615" t="s">
        <v>2327</v>
      </c>
      <c r="H615" t="s">
        <v>43</v>
      </c>
      <c r="I615" t="s">
        <v>59</v>
      </c>
      <c r="J615" t="s">
        <v>2328</v>
      </c>
      <c r="K615">
        <v>4</v>
      </c>
      <c r="L615" t="s">
        <v>97</v>
      </c>
      <c r="M615" t="s">
        <v>54</v>
      </c>
      <c r="N615">
        <v>460.72</v>
      </c>
    </row>
    <row r="616" spans="1:14" x14ac:dyDescent="0.3">
      <c r="A616" t="s">
        <v>2329</v>
      </c>
      <c r="B616" s="8">
        <v>45359</v>
      </c>
      <c r="C616" t="s">
        <v>2330</v>
      </c>
      <c r="D616" t="s">
        <v>41</v>
      </c>
      <c r="E616">
        <v>1</v>
      </c>
      <c r="F616">
        <v>96.81</v>
      </c>
      <c r="G616" t="s">
        <v>522</v>
      </c>
      <c r="H616" t="s">
        <v>76</v>
      </c>
      <c r="I616" t="s">
        <v>51</v>
      </c>
      <c r="J616" t="s">
        <v>2331</v>
      </c>
      <c r="K616">
        <v>3</v>
      </c>
      <c r="M616" t="s">
        <v>45</v>
      </c>
      <c r="N616">
        <v>96.81</v>
      </c>
    </row>
    <row r="617" spans="1:14" x14ac:dyDescent="0.3">
      <c r="A617" t="s">
        <v>2332</v>
      </c>
      <c r="B617" s="8">
        <v>45723</v>
      </c>
      <c r="C617" t="s">
        <v>2333</v>
      </c>
      <c r="D617" t="s">
        <v>32</v>
      </c>
      <c r="E617">
        <v>5</v>
      </c>
      <c r="F617">
        <v>460.14</v>
      </c>
      <c r="G617" t="s">
        <v>1199</v>
      </c>
      <c r="H617" t="s">
        <v>50</v>
      </c>
      <c r="I617" t="s">
        <v>59</v>
      </c>
      <c r="J617" t="s">
        <v>2334</v>
      </c>
      <c r="K617">
        <v>10</v>
      </c>
      <c r="L617" t="s">
        <v>97</v>
      </c>
      <c r="M617" t="s">
        <v>61</v>
      </c>
      <c r="N617">
        <v>2300.6999999999998</v>
      </c>
    </row>
    <row r="618" spans="1:14" x14ac:dyDescent="0.3">
      <c r="A618" t="s">
        <v>2335</v>
      </c>
      <c r="B618" s="8">
        <v>45582</v>
      </c>
      <c r="C618" t="s">
        <v>2336</v>
      </c>
      <c r="D618" t="s">
        <v>48</v>
      </c>
      <c r="E618">
        <v>3</v>
      </c>
      <c r="F618">
        <v>601.6</v>
      </c>
      <c r="G618" t="s">
        <v>2337</v>
      </c>
      <c r="H618" t="s">
        <v>50</v>
      </c>
      <c r="I618" t="s">
        <v>51</v>
      </c>
      <c r="J618" t="s">
        <v>2338</v>
      </c>
      <c r="K618">
        <v>7</v>
      </c>
      <c r="L618" t="s">
        <v>37</v>
      </c>
      <c r="M618" t="s">
        <v>61</v>
      </c>
      <c r="N618">
        <v>1804.8</v>
      </c>
    </row>
    <row r="619" spans="1:14" x14ac:dyDescent="0.3">
      <c r="A619" t="s">
        <v>2339</v>
      </c>
      <c r="B619" s="8">
        <v>45330</v>
      </c>
      <c r="C619" t="s">
        <v>2340</v>
      </c>
      <c r="D619" t="s">
        <v>48</v>
      </c>
      <c r="E619">
        <v>3</v>
      </c>
      <c r="F619">
        <v>184.47</v>
      </c>
      <c r="G619" t="s">
        <v>2341</v>
      </c>
      <c r="H619" t="s">
        <v>43</v>
      </c>
      <c r="I619" t="s">
        <v>51</v>
      </c>
      <c r="J619" t="s">
        <v>2342</v>
      </c>
      <c r="K619">
        <v>4</v>
      </c>
      <c r="M619" t="s">
        <v>45</v>
      </c>
      <c r="N619">
        <v>553.41</v>
      </c>
    </row>
    <row r="620" spans="1:14" x14ac:dyDescent="0.3">
      <c r="A620" t="s">
        <v>2343</v>
      </c>
      <c r="B620" s="8">
        <v>45538</v>
      </c>
      <c r="C620" t="s">
        <v>2344</v>
      </c>
      <c r="D620" t="s">
        <v>48</v>
      </c>
      <c r="E620">
        <v>1</v>
      </c>
      <c r="F620">
        <v>411.34</v>
      </c>
      <c r="G620" t="s">
        <v>2345</v>
      </c>
      <c r="H620" t="s">
        <v>34</v>
      </c>
      <c r="I620" t="s">
        <v>59</v>
      </c>
      <c r="J620" t="s">
        <v>2346</v>
      </c>
      <c r="K620">
        <v>5</v>
      </c>
      <c r="M620" t="s">
        <v>38</v>
      </c>
      <c r="N620">
        <v>411.34</v>
      </c>
    </row>
    <row r="621" spans="1:14" x14ac:dyDescent="0.3">
      <c r="A621" t="s">
        <v>2347</v>
      </c>
      <c r="B621" s="8">
        <v>45489</v>
      </c>
      <c r="C621" t="s">
        <v>2348</v>
      </c>
      <c r="D621" t="s">
        <v>74</v>
      </c>
      <c r="E621">
        <v>1</v>
      </c>
      <c r="F621">
        <v>532.89</v>
      </c>
      <c r="G621" t="s">
        <v>1885</v>
      </c>
      <c r="H621" t="s">
        <v>76</v>
      </c>
      <c r="I621" t="s">
        <v>105</v>
      </c>
      <c r="J621" t="s">
        <v>2349</v>
      </c>
      <c r="K621">
        <v>2</v>
      </c>
      <c r="M621" t="s">
        <v>45</v>
      </c>
      <c r="N621">
        <v>532.89</v>
      </c>
    </row>
    <row r="622" spans="1:14" x14ac:dyDescent="0.3">
      <c r="A622" t="s">
        <v>2350</v>
      </c>
      <c r="B622" s="8">
        <v>45378</v>
      </c>
      <c r="C622" t="s">
        <v>2351</v>
      </c>
      <c r="D622" t="s">
        <v>48</v>
      </c>
      <c r="E622">
        <v>3</v>
      </c>
      <c r="F622">
        <v>136.34</v>
      </c>
      <c r="G622" t="s">
        <v>2352</v>
      </c>
      <c r="H622" t="s">
        <v>34</v>
      </c>
      <c r="I622" t="s">
        <v>59</v>
      </c>
      <c r="J622" t="s">
        <v>2353</v>
      </c>
      <c r="K622">
        <v>8</v>
      </c>
      <c r="L622" t="s">
        <v>37</v>
      </c>
      <c r="M622" t="s">
        <v>45</v>
      </c>
      <c r="N622">
        <v>409.02</v>
      </c>
    </row>
    <row r="623" spans="1:14" x14ac:dyDescent="0.3">
      <c r="A623" t="s">
        <v>2354</v>
      </c>
      <c r="B623" s="8">
        <v>45221</v>
      </c>
      <c r="C623" t="s">
        <v>2355</v>
      </c>
      <c r="D623" t="s">
        <v>41</v>
      </c>
      <c r="E623">
        <v>5</v>
      </c>
      <c r="F623">
        <v>476.01</v>
      </c>
      <c r="G623" t="s">
        <v>363</v>
      </c>
      <c r="H623" t="s">
        <v>50</v>
      </c>
      <c r="I623" t="s">
        <v>66</v>
      </c>
      <c r="J623" t="s">
        <v>2356</v>
      </c>
      <c r="K623">
        <v>7</v>
      </c>
      <c r="L623" t="s">
        <v>97</v>
      </c>
      <c r="M623" t="s">
        <v>92</v>
      </c>
      <c r="N623">
        <v>2380.0500000000002</v>
      </c>
    </row>
    <row r="624" spans="1:14" x14ac:dyDescent="0.3">
      <c r="A624" t="s">
        <v>2357</v>
      </c>
      <c r="B624" s="8">
        <v>45598</v>
      </c>
      <c r="C624" t="s">
        <v>2358</v>
      </c>
      <c r="D624" t="s">
        <v>89</v>
      </c>
      <c r="E624">
        <v>5</v>
      </c>
      <c r="F624">
        <v>236.38</v>
      </c>
      <c r="G624" t="s">
        <v>197</v>
      </c>
      <c r="H624" t="s">
        <v>50</v>
      </c>
      <c r="I624" t="s">
        <v>59</v>
      </c>
      <c r="J624" t="s">
        <v>2359</v>
      </c>
      <c r="K624">
        <v>7</v>
      </c>
      <c r="M624" t="s">
        <v>61</v>
      </c>
      <c r="N624">
        <v>1181.9000000000001</v>
      </c>
    </row>
    <row r="625" spans="1:14" x14ac:dyDescent="0.3">
      <c r="A625" t="s">
        <v>2360</v>
      </c>
      <c r="B625" s="8">
        <v>45093</v>
      </c>
      <c r="C625" t="s">
        <v>2361</v>
      </c>
      <c r="D625" t="s">
        <v>64</v>
      </c>
      <c r="E625">
        <v>3</v>
      </c>
      <c r="F625">
        <v>396</v>
      </c>
      <c r="G625" t="s">
        <v>2362</v>
      </c>
      <c r="H625" t="s">
        <v>76</v>
      </c>
      <c r="I625" t="s">
        <v>51</v>
      </c>
      <c r="J625" t="s">
        <v>2363</v>
      </c>
      <c r="K625">
        <v>4</v>
      </c>
      <c r="L625" t="s">
        <v>53</v>
      </c>
      <c r="M625" t="s">
        <v>38</v>
      </c>
      <c r="N625">
        <v>1188</v>
      </c>
    </row>
    <row r="626" spans="1:14" x14ac:dyDescent="0.3">
      <c r="A626" t="s">
        <v>2364</v>
      </c>
      <c r="B626" s="8">
        <v>45307</v>
      </c>
      <c r="C626" t="s">
        <v>2365</v>
      </c>
      <c r="D626" t="s">
        <v>48</v>
      </c>
      <c r="E626">
        <v>5</v>
      </c>
      <c r="F626">
        <v>341.96</v>
      </c>
      <c r="G626" t="s">
        <v>1431</v>
      </c>
      <c r="H626" t="s">
        <v>34</v>
      </c>
      <c r="I626" t="s">
        <v>66</v>
      </c>
      <c r="J626" t="s">
        <v>2366</v>
      </c>
      <c r="K626">
        <v>6</v>
      </c>
      <c r="M626" t="s">
        <v>54</v>
      </c>
      <c r="N626">
        <v>1709.8</v>
      </c>
    </row>
    <row r="627" spans="1:14" x14ac:dyDescent="0.3">
      <c r="A627" t="s">
        <v>2367</v>
      </c>
      <c r="B627" s="8">
        <v>45193</v>
      </c>
      <c r="C627" t="s">
        <v>2368</v>
      </c>
      <c r="D627" t="s">
        <v>48</v>
      </c>
      <c r="E627">
        <v>1</v>
      </c>
      <c r="F627">
        <v>672.89</v>
      </c>
      <c r="G627" t="s">
        <v>2369</v>
      </c>
      <c r="H627" t="s">
        <v>50</v>
      </c>
      <c r="I627" t="s">
        <v>105</v>
      </c>
      <c r="J627" t="s">
        <v>2370</v>
      </c>
      <c r="K627">
        <v>1</v>
      </c>
      <c r="L627" t="s">
        <v>97</v>
      </c>
      <c r="M627" t="s">
        <v>54</v>
      </c>
      <c r="N627">
        <v>672.89</v>
      </c>
    </row>
    <row r="628" spans="1:14" x14ac:dyDescent="0.3">
      <c r="A628" t="s">
        <v>2371</v>
      </c>
      <c r="B628" s="8">
        <v>45352</v>
      </c>
      <c r="C628" t="s">
        <v>2372</v>
      </c>
      <c r="D628" t="s">
        <v>48</v>
      </c>
      <c r="E628">
        <v>2</v>
      </c>
      <c r="F628">
        <v>657.48</v>
      </c>
      <c r="G628" t="s">
        <v>1655</v>
      </c>
      <c r="H628" t="s">
        <v>43</v>
      </c>
      <c r="I628" t="s">
        <v>35</v>
      </c>
      <c r="J628" t="s">
        <v>2373</v>
      </c>
      <c r="K628">
        <v>5</v>
      </c>
      <c r="L628" t="s">
        <v>37</v>
      </c>
      <c r="M628" t="s">
        <v>45</v>
      </c>
      <c r="N628">
        <v>1314.96</v>
      </c>
    </row>
    <row r="629" spans="1:14" x14ac:dyDescent="0.3">
      <c r="A629" t="s">
        <v>2374</v>
      </c>
      <c r="B629" s="8">
        <v>45144</v>
      </c>
      <c r="C629" t="s">
        <v>2375</v>
      </c>
      <c r="D629" t="s">
        <v>57</v>
      </c>
      <c r="E629">
        <v>3</v>
      </c>
      <c r="F629">
        <v>498.68</v>
      </c>
      <c r="G629" t="s">
        <v>2082</v>
      </c>
      <c r="H629" t="s">
        <v>43</v>
      </c>
      <c r="I629" t="s">
        <v>59</v>
      </c>
      <c r="J629" t="s">
        <v>2376</v>
      </c>
      <c r="K629">
        <v>4</v>
      </c>
      <c r="L629" t="s">
        <v>53</v>
      </c>
      <c r="M629" t="s">
        <v>54</v>
      </c>
      <c r="N629">
        <v>1496.04</v>
      </c>
    </row>
    <row r="630" spans="1:14" x14ac:dyDescent="0.3">
      <c r="A630" t="s">
        <v>2377</v>
      </c>
      <c r="B630" s="8">
        <v>45011</v>
      </c>
      <c r="C630" t="s">
        <v>2378</v>
      </c>
      <c r="D630" t="s">
        <v>64</v>
      </c>
      <c r="E630">
        <v>5</v>
      </c>
      <c r="F630">
        <v>558.63</v>
      </c>
      <c r="G630" t="s">
        <v>2379</v>
      </c>
      <c r="H630" t="s">
        <v>81</v>
      </c>
      <c r="I630" t="s">
        <v>105</v>
      </c>
      <c r="J630" t="s">
        <v>2380</v>
      </c>
      <c r="K630">
        <v>8</v>
      </c>
      <c r="L630" t="s">
        <v>53</v>
      </c>
      <c r="M630" t="s">
        <v>45</v>
      </c>
      <c r="N630">
        <v>2793.15</v>
      </c>
    </row>
    <row r="631" spans="1:14" x14ac:dyDescent="0.3">
      <c r="A631" t="s">
        <v>2381</v>
      </c>
      <c r="B631" s="8">
        <v>45114</v>
      </c>
      <c r="C631" t="s">
        <v>2382</v>
      </c>
      <c r="D631" t="s">
        <v>41</v>
      </c>
      <c r="E631">
        <v>3</v>
      </c>
      <c r="F631">
        <v>19.73</v>
      </c>
      <c r="G631" t="s">
        <v>2383</v>
      </c>
      <c r="H631" t="s">
        <v>43</v>
      </c>
      <c r="I631" t="s">
        <v>105</v>
      </c>
      <c r="J631" t="s">
        <v>2384</v>
      </c>
      <c r="K631">
        <v>3</v>
      </c>
      <c r="M631" t="s">
        <v>45</v>
      </c>
      <c r="N631">
        <v>59.19</v>
      </c>
    </row>
    <row r="632" spans="1:14" x14ac:dyDescent="0.3">
      <c r="A632" t="s">
        <v>2385</v>
      </c>
      <c r="B632" s="8">
        <v>45100</v>
      </c>
      <c r="C632" t="s">
        <v>2386</v>
      </c>
      <c r="D632" t="s">
        <v>32</v>
      </c>
      <c r="E632">
        <v>5</v>
      </c>
      <c r="F632">
        <v>248.84</v>
      </c>
      <c r="G632" t="s">
        <v>2387</v>
      </c>
      <c r="H632" t="s">
        <v>34</v>
      </c>
      <c r="I632" t="s">
        <v>51</v>
      </c>
      <c r="J632" t="s">
        <v>2388</v>
      </c>
      <c r="K632">
        <v>10</v>
      </c>
      <c r="M632" t="s">
        <v>38</v>
      </c>
      <c r="N632">
        <v>1244.2</v>
      </c>
    </row>
    <row r="633" spans="1:14" x14ac:dyDescent="0.3">
      <c r="A633" t="s">
        <v>2389</v>
      </c>
      <c r="B633" s="8">
        <v>45535</v>
      </c>
      <c r="C633" t="s">
        <v>2390</v>
      </c>
      <c r="D633" t="s">
        <v>57</v>
      </c>
      <c r="E633">
        <v>3</v>
      </c>
      <c r="F633">
        <v>46.11</v>
      </c>
      <c r="G633" t="s">
        <v>1117</v>
      </c>
      <c r="H633" t="s">
        <v>76</v>
      </c>
      <c r="I633" t="s">
        <v>59</v>
      </c>
      <c r="J633" t="s">
        <v>2391</v>
      </c>
      <c r="K633">
        <v>5</v>
      </c>
      <c r="L633" t="s">
        <v>97</v>
      </c>
      <c r="M633" t="s">
        <v>45</v>
      </c>
      <c r="N633">
        <v>138.33000000000001</v>
      </c>
    </row>
    <row r="634" spans="1:14" x14ac:dyDescent="0.3">
      <c r="A634" t="s">
        <v>2392</v>
      </c>
      <c r="B634" s="8">
        <v>45048</v>
      </c>
      <c r="C634" t="s">
        <v>2393</v>
      </c>
      <c r="D634" t="s">
        <v>74</v>
      </c>
      <c r="E634">
        <v>5</v>
      </c>
      <c r="F634">
        <v>678.16</v>
      </c>
      <c r="G634" t="s">
        <v>1044</v>
      </c>
      <c r="H634" t="s">
        <v>76</v>
      </c>
      <c r="I634" t="s">
        <v>66</v>
      </c>
      <c r="J634" t="s">
        <v>2394</v>
      </c>
      <c r="K634">
        <v>7</v>
      </c>
      <c r="L634" t="s">
        <v>97</v>
      </c>
      <c r="M634" t="s">
        <v>61</v>
      </c>
      <c r="N634">
        <v>3390.8</v>
      </c>
    </row>
    <row r="635" spans="1:14" x14ac:dyDescent="0.3">
      <c r="A635" t="s">
        <v>2395</v>
      </c>
      <c r="B635" s="8">
        <v>45392</v>
      </c>
      <c r="C635" t="s">
        <v>2396</v>
      </c>
      <c r="D635" t="s">
        <v>74</v>
      </c>
      <c r="E635">
        <v>5</v>
      </c>
      <c r="F635">
        <v>601.72</v>
      </c>
      <c r="G635" t="s">
        <v>1554</v>
      </c>
      <c r="H635" t="s">
        <v>76</v>
      </c>
      <c r="I635" t="s">
        <v>51</v>
      </c>
      <c r="J635" t="s">
        <v>2397</v>
      </c>
      <c r="K635">
        <v>5</v>
      </c>
      <c r="L635" t="s">
        <v>97</v>
      </c>
      <c r="M635" t="s">
        <v>38</v>
      </c>
      <c r="N635">
        <v>3008.6</v>
      </c>
    </row>
    <row r="636" spans="1:14" x14ac:dyDescent="0.3">
      <c r="A636" t="s">
        <v>2398</v>
      </c>
      <c r="B636" s="8">
        <v>45407</v>
      </c>
      <c r="C636" t="s">
        <v>2399</v>
      </c>
      <c r="D636" t="s">
        <v>64</v>
      </c>
      <c r="E636">
        <v>2</v>
      </c>
      <c r="F636">
        <v>259.32</v>
      </c>
      <c r="G636" t="s">
        <v>2400</v>
      </c>
      <c r="H636" t="s">
        <v>76</v>
      </c>
      <c r="I636" t="s">
        <v>66</v>
      </c>
      <c r="J636" t="s">
        <v>2401</v>
      </c>
      <c r="K636">
        <v>2</v>
      </c>
      <c r="L636" t="s">
        <v>97</v>
      </c>
      <c r="M636" t="s">
        <v>45</v>
      </c>
      <c r="N636">
        <v>518.64</v>
      </c>
    </row>
    <row r="637" spans="1:14" x14ac:dyDescent="0.3">
      <c r="A637" t="s">
        <v>2402</v>
      </c>
      <c r="B637" s="8">
        <v>45273</v>
      </c>
      <c r="C637" t="s">
        <v>2403</v>
      </c>
      <c r="D637" t="s">
        <v>57</v>
      </c>
      <c r="E637">
        <v>3</v>
      </c>
      <c r="F637">
        <v>63.68</v>
      </c>
      <c r="G637" t="s">
        <v>258</v>
      </c>
      <c r="H637" t="s">
        <v>81</v>
      </c>
      <c r="I637" t="s">
        <v>59</v>
      </c>
      <c r="J637" t="s">
        <v>2404</v>
      </c>
      <c r="K637">
        <v>6</v>
      </c>
      <c r="M637" t="s">
        <v>61</v>
      </c>
      <c r="N637">
        <v>191.04</v>
      </c>
    </row>
    <row r="638" spans="1:14" x14ac:dyDescent="0.3">
      <c r="A638" t="s">
        <v>2405</v>
      </c>
      <c r="B638" s="8">
        <v>45204</v>
      </c>
      <c r="C638" t="s">
        <v>2406</v>
      </c>
      <c r="D638" t="s">
        <v>74</v>
      </c>
      <c r="E638">
        <v>4</v>
      </c>
      <c r="F638">
        <v>371.07</v>
      </c>
      <c r="G638" t="s">
        <v>724</v>
      </c>
      <c r="H638" t="s">
        <v>81</v>
      </c>
      <c r="I638" t="s">
        <v>51</v>
      </c>
      <c r="J638" t="s">
        <v>2407</v>
      </c>
      <c r="K638">
        <v>7</v>
      </c>
      <c r="L638" t="s">
        <v>97</v>
      </c>
      <c r="M638" t="s">
        <v>61</v>
      </c>
      <c r="N638">
        <v>1484.28</v>
      </c>
    </row>
    <row r="639" spans="1:14" x14ac:dyDescent="0.3">
      <c r="A639" t="s">
        <v>2408</v>
      </c>
      <c r="B639" s="8">
        <v>45564</v>
      </c>
      <c r="C639" t="s">
        <v>2409</v>
      </c>
      <c r="D639" t="s">
        <v>57</v>
      </c>
      <c r="E639">
        <v>4</v>
      </c>
      <c r="F639">
        <v>306.35000000000002</v>
      </c>
      <c r="G639" t="s">
        <v>2410</v>
      </c>
      <c r="H639" t="s">
        <v>76</v>
      </c>
      <c r="I639" t="s">
        <v>35</v>
      </c>
      <c r="J639" t="s">
        <v>2411</v>
      </c>
      <c r="K639">
        <v>7</v>
      </c>
      <c r="L639" t="s">
        <v>97</v>
      </c>
      <c r="M639" t="s">
        <v>45</v>
      </c>
      <c r="N639">
        <v>1225.4000000000001</v>
      </c>
    </row>
    <row r="640" spans="1:14" x14ac:dyDescent="0.3">
      <c r="A640" t="s">
        <v>2412</v>
      </c>
      <c r="B640" s="8">
        <v>45214</v>
      </c>
      <c r="C640" t="s">
        <v>2413</v>
      </c>
      <c r="D640" t="s">
        <v>48</v>
      </c>
      <c r="E640">
        <v>4</v>
      </c>
      <c r="F640">
        <v>578.27</v>
      </c>
      <c r="G640" t="s">
        <v>2414</v>
      </c>
      <c r="H640" t="s">
        <v>43</v>
      </c>
      <c r="I640" t="s">
        <v>66</v>
      </c>
      <c r="J640" t="s">
        <v>2415</v>
      </c>
      <c r="K640">
        <v>9</v>
      </c>
      <c r="L640" t="s">
        <v>97</v>
      </c>
      <c r="M640" t="s">
        <v>54</v>
      </c>
      <c r="N640">
        <v>2313.08</v>
      </c>
    </row>
    <row r="641" spans="1:14" x14ac:dyDescent="0.3">
      <c r="A641" t="s">
        <v>2416</v>
      </c>
      <c r="B641" s="8">
        <v>44946</v>
      </c>
      <c r="C641" t="s">
        <v>2417</v>
      </c>
      <c r="D641" t="s">
        <v>57</v>
      </c>
      <c r="E641">
        <v>1</v>
      </c>
      <c r="F641">
        <v>529.19000000000005</v>
      </c>
      <c r="G641" t="s">
        <v>1814</v>
      </c>
      <c r="H641" t="s">
        <v>81</v>
      </c>
      <c r="I641" t="s">
        <v>51</v>
      </c>
      <c r="J641" t="s">
        <v>2418</v>
      </c>
      <c r="K641">
        <v>5</v>
      </c>
      <c r="M641" t="s">
        <v>45</v>
      </c>
      <c r="N641">
        <v>529.19000000000005</v>
      </c>
    </row>
    <row r="642" spans="1:14" x14ac:dyDescent="0.3">
      <c r="A642" t="s">
        <v>2419</v>
      </c>
      <c r="B642" s="8">
        <v>45349</v>
      </c>
      <c r="C642" t="s">
        <v>2420</v>
      </c>
      <c r="D642" t="s">
        <v>57</v>
      </c>
      <c r="E642">
        <v>2</v>
      </c>
      <c r="F642">
        <v>587.49</v>
      </c>
      <c r="G642" t="s">
        <v>466</v>
      </c>
      <c r="H642" t="s">
        <v>76</v>
      </c>
      <c r="I642" t="s">
        <v>59</v>
      </c>
      <c r="J642" t="s">
        <v>2421</v>
      </c>
      <c r="K642">
        <v>6</v>
      </c>
      <c r="L642" t="s">
        <v>37</v>
      </c>
      <c r="M642" t="s">
        <v>45</v>
      </c>
      <c r="N642">
        <v>1174.98</v>
      </c>
    </row>
    <row r="643" spans="1:14" x14ac:dyDescent="0.3">
      <c r="A643" t="s">
        <v>2422</v>
      </c>
      <c r="B643" s="8">
        <v>45473</v>
      </c>
      <c r="C643" t="s">
        <v>2423</v>
      </c>
      <c r="D643" t="s">
        <v>64</v>
      </c>
      <c r="E643">
        <v>4</v>
      </c>
      <c r="F643">
        <v>567.57000000000005</v>
      </c>
      <c r="G643" t="s">
        <v>1027</v>
      </c>
      <c r="H643" t="s">
        <v>34</v>
      </c>
      <c r="I643" t="s">
        <v>105</v>
      </c>
      <c r="J643" t="s">
        <v>2424</v>
      </c>
      <c r="K643">
        <v>9</v>
      </c>
      <c r="L643" t="s">
        <v>97</v>
      </c>
      <c r="M643" t="s">
        <v>92</v>
      </c>
      <c r="N643">
        <v>2270.2800000000002</v>
      </c>
    </row>
    <row r="644" spans="1:14" x14ac:dyDescent="0.3">
      <c r="A644" t="s">
        <v>2425</v>
      </c>
      <c r="B644" s="8">
        <v>45411</v>
      </c>
      <c r="C644" t="s">
        <v>2426</v>
      </c>
      <c r="D644" t="s">
        <v>57</v>
      </c>
      <c r="E644">
        <v>5</v>
      </c>
      <c r="F644">
        <v>85.22</v>
      </c>
      <c r="G644" t="s">
        <v>2427</v>
      </c>
      <c r="H644" t="s">
        <v>50</v>
      </c>
      <c r="I644" t="s">
        <v>51</v>
      </c>
      <c r="J644" t="s">
        <v>2428</v>
      </c>
      <c r="K644">
        <v>7</v>
      </c>
      <c r="L644" t="s">
        <v>53</v>
      </c>
      <c r="M644" t="s">
        <v>54</v>
      </c>
      <c r="N644">
        <v>426.1</v>
      </c>
    </row>
    <row r="645" spans="1:14" x14ac:dyDescent="0.3">
      <c r="A645" t="s">
        <v>2429</v>
      </c>
      <c r="B645" s="8">
        <v>45530</v>
      </c>
      <c r="C645" t="s">
        <v>2430</v>
      </c>
      <c r="D645" t="s">
        <v>74</v>
      </c>
      <c r="E645">
        <v>1</v>
      </c>
      <c r="F645">
        <v>438.37</v>
      </c>
      <c r="G645" t="s">
        <v>466</v>
      </c>
      <c r="H645" t="s">
        <v>81</v>
      </c>
      <c r="I645" t="s">
        <v>51</v>
      </c>
      <c r="J645" t="s">
        <v>2431</v>
      </c>
      <c r="K645">
        <v>4</v>
      </c>
      <c r="L645" t="s">
        <v>37</v>
      </c>
      <c r="M645" t="s">
        <v>45</v>
      </c>
      <c r="N645">
        <v>438.37</v>
      </c>
    </row>
    <row r="646" spans="1:14" x14ac:dyDescent="0.3">
      <c r="A646" t="s">
        <v>2432</v>
      </c>
      <c r="B646" s="8">
        <v>45245</v>
      </c>
      <c r="C646" t="s">
        <v>2433</v>
      </c>
      <c r="D646" t="s">
        <v>57</v>
      </c>
      <c r="E646">
        <v>2</v>
      </c>
      <c r="F646">
        <v>366.23</v>
      </c>
      <c r="G646" t="s">
        <v>2434</v>
      </c>
      <c r="H646" t="s">
        <v>81</v>
      </c>
      <c r="I646" t="s">
        <v>35</v>
      </c>
      <c r="J646" t="s">
        <v>2435</v>
      </c>
      <c r="K646">
        <v>2</v>
      </c>
      <c r="L646" t="s">
        <v>97</v>
      </c>
      <c r="M646" t="s">
        <v>54</v>
      </c>
      <c r="N646">
        <v>732.46</v>
      </c>
    </row>
    <row r="647" spans="1:14" x14ac:dyDescent="0.3">
      <c r="A647" t="s">
        <v>2436</v>
      </c>
      <c r="B647" s="8">
        <v>44928</v>
      </c>
      <c r="C647" t="s">
        <v>2437</v>
      </c>
      <c r="D647" t="s">
        <v>74</v>
      </c>
      <c r="E647">
        <v>2</v>
      </c>
      <c r="F647">
        <v>150.05000000000001</v>
      </c>
      <c r="G647" t="s">
        <v>541</v>
      </c>
      <c r="H647" t="s">
        <v>50</v>
      </c>
      <c r="I647" t="s">
        <v>51</v>
      </c>
      <c r="J647" t="s">
        <v>2438</v>
      </c>
      <c r="K647">
        <v>4</v>
      </c>
      <c r="L647" t="s">
        <v>37</v>
      </c>
      <c r="M647" t="s">
        <v>61</v>
      </c>
      <c r="N647">
        <v>300.10000000000002</v>
      </c>
    </row>
    <row r="648" spans="1:14" x14ac:dyDescent="0.3">
      <c r="A648" t="s">
        <v>2439</v>
      </c>
      <c r="B648" s="8">
        <v>45226</v>
      </c>
      <c r="C648" t="s">
        <v>2440</v>
      </c>
      <c r="D648" t="s">
        <v>57</v>
      </c>
      <c r="E648">
        <v>4</v>
      </c>
      <c r="F648">
        <v>498.51</v>
      </c>
      <c r="G648" t="s">
        <v>2441</v>
      </c>
      <c r="H648" t="s">
        <v>34</v>
      </c>
      <c r="I648" t="s">
        <v>35</v>
      </c>
      <c r="J648" t="s">
        <v>2442</v>
      </c>
      <c r="K648">
        <v>4</v>
      </c>
      <c r="L648" t="s">
        <v>37</v>
      </c>
      <c r="M648" t="s">
        <v>92</v>
      </c>
      <c r="N648">
        <v>1994.04</v>
      </c>
    </row>
    <row r="649" spans="1:14" x14ac:dyDescent="0.3">
      <c r="A649" t="s">
        <v>2443</v>
      </c>
      <c r="B649" s="8">
        <v>45771</v>
      </c>
      <c r="C649" t="s">
        <v>2444</v>
      </c>
      <c r="D649" t="s">
        <v>89</v>
      </c>
      <c r="E649">
        <v>3</v>
      </c>
      <c r="F649">
        <v>339.39</v>
      </c>
      <c r="G649" t="s">
        <v>697</v>
      </c>
      <c r="H649" t="s">
        <v>81</v>
      </c>
      <c r="I649" t="s">
        <v>59</v>
      </c>
      <c r="J649" t="s">
        <v>2445</v>
      </c>
      <c r="K649">
        <v>7</v>
      </c>
      <c r="L649" t="s">
        <v>53</v>
      </c>
      <c r="M649" t="s">
        <v>92</v>
      </c>
      <c r="N649">
        <v>1018.17</v>
      </c>
    </row>
    <row r="650" spans="1:14" x14ac:dyDescent="0.3">
      <c r="A650" t="s">
        <v>2446</v>
      </c>
      <c r="B650" s="8">
        <v>45675</v>
      </c>
      <c r="C650" t="s">
        <v>2447</v>
      </c>
      <c r="D650" t="s">
        <v>32</v>
      </c>
      <c r="E650">
        <v>2</v>
      </c>
      <c r="F650">
        <v>575.83000000000004</v>
      </c>
      <c r="G650" t="s">
        <v>2448</v>
      </c>
      <c r="H650" t="s">
        <v>43</v>
      </c>
      <c r="I650" t="s">
        <v>66</v>
      </c>
      <c r="J650" t="s">
        <v>2449</v>
      </c>
      <c r="K650">
        <v>3</v>
      </c>
      <c r="L650" t="s">
        <v>97</v>
      </c>
      <c r="M650" t="s">
        <v>45</v>
      </c>
      <c r="N650">
        <v>1151.6600000000001</v>
      </c>
    </row>
    <row r="651" spans="1:14" x14ac:dyDescent="0.3">
      <c r="A651" t="s">
        <v>2450</v>
      </c>
      <c r="B651" s="8">
        <v>45283</v>
      </c>
      <c r="C651" t="s">
        <v>2451</v>
      </c>
      <c r="D651" t="s">
        <v>32</v>
      </c>
      <c r="E651">
        <v>2</v>
      </c>
      <c r="F651">
        <v>642.98</v>
      </c>
      <c r="G651" t="s">
        <v>1059</v>
      </c>
      <c r="H651" t="s">
        <v>34</v>
      </c>
      <c r="I651" t="s">
        <v>59</v>
      </c>
      <c r="J651" t="s">
        <v>2452</v>
      </c>
      <c r="K651">
        <v>7</v>
      </c>
      <c r="L651" t="s">
        <v>53</v>
      </c>
      <c r="M651" t="s">
        <v>54</v>
      </c>
      <c r="N651">
        <v>1285.96</v>
      </c>
    </row>
    <row r="652" spans="1:14" x14ac:dyDescent="0.3">
      <c r="A652" t="s">
        <v>2453</v>
      </c>
      <c r="B652" s="8">
        <v>45064</v>
      </c>
      <c r="C652" t="s">
        <v>2454</v>
      </c>
      <c r="D652" t="s">
        <v>89</v>
      </c>
      <c r="E652">
        <v>2</v>
      </c>
      <c r="F652">
        <v>372.23</v>
      </c>
      <c r="G652" t="s">
        <v>2455</v>
      </c>
      <c r="H652" t="s">
        <v>76</v>
      </c>
      <c r="I652" t="s">
        <v>66</v>
      </c>
      <c r="J652" t="s">
        <v>2456</v>
      </c>
      <c r="K652">
        <v>7</v>
      </c>
      <c r="L652" t="s">
        <v>37</v>
      </c>
      <c r="M652" t="s">
        <v>54</v>
      </c>
      <c r="N652">
        <v>744.46</v>
      </c>
    </row>
    <row r="653" spans="1:14" x14ac:dyDescent="0.3">
      <c r="A653" t="s">
        <v>2457</v>
      </c>
      <c r="B653" s="8">
        <v>45608</v>
      </c>
      <c r="C653" t="s">
        <v>2458</v>
      </c>
      <c r="D653" t="s">
        <v>57</v>
      </c>
      <c r="E653">
        <v>3</v>
      </c>
      <c r="F653">
        <v>646.34</v>
      </c>
      <c r="G653" t="s">
        <v>810</v>
      </c>
      <c r="H653" t="s">
        <v>34</v>
      </c>
      <c r="I653" t="s">
        <v>105</v>
      </c>
      <c r="J653" t="s">
        <v>2459</v>
      </c>
      <c r="K653">
        <v>5</v>
      </c>
      <c r="M653" t="s">
        <v>92</v>
      </c>
      <c r="N653">
        <v>1939.02</v>
      </c>
    </row>
    <row r="654" spans="1:14" x14ac:dyDescent="0.3">
      <c r="A654" t="s">
        <v>2460</v>
      </c>
      <c r="B654" s="8">
        <v>45448</v>
      </c>
      <c r="C654" t="s">
        <v>2461</v>
      </c>
      <c r="D654" t="s">
        <v>57</v>
      </c>
      <c r="E654">
        <v>5</v>
      </c>
      <c r="F654">
        <v>341.84</v>
      </c>
      <c r="G654" t="s">
        <v>2462</v>
      </c>
      <c r="H654" t="s">
        <v>43</v>
      </c>
      <c r="I654" t="s">
        <v>35</v>
      </c>
      <c r="J654" t="s">
        <v>2463</v>
      </c>
      <c r="K654">
        <v>8</v>
      </c>
      <c r="L654" t="s">
        <v>53</v>
      </c>
      <c r="M654" t="s">
        <v>38</v>
      </c>
      <c r="N654">
        <v>1709.2</v>
      </c>
    </row>
    <row r="655" spans="1:14" x14ac:dyDescent="0.3">
      <c r="A655" t="s">
        <v>2464</v>
      </c>
      <c r="B655" s="8">
        <v>45347</v>
      </c>
      <c r="C655" t="s">
        <v>2465</v>
      </c>
      <c r="D655" t="s">
        <v>64</v>
      </c>
      <c r="E655">
        <v>3</v>
      </c>
      <c r="F655">
        <v>690.3</v>
      </c>
      <c r="G655" t="s">
        <v>1431</v>
      </c>
      <c r="H655" t="s">
        <v>50</v>
      </c>
      <c r="I655" t="s">
        <v>35</v>
      </c>
      <c r="J655" t="s">
        <v>2466</v>
      </c>
      <c r="K655">
        <v>6</v>
      </c>
      <c r="L655" t="s">
        <v>97</v>
      </c>
      <c r="M655" t="s">
        <v>92</v>
      </c>
      <c r="N655">
        <v>2070.9</v>
      </c>
    </row>
    <row r="656" spans="1:14" x14ac:dyDescent="0.3">
      <c r="A656" t="s">
        <v>2467</v>
      </c>
      <c r="B656" s="8">
        <v>45089</v>
      </c>
      <c r="C656" t="s">
        <v>2468</v>
      </c>
      <c r="D656" t="s">
        <v>48</v>
      </c>
      <c r="E656">
        <v>3</v>
      </c>
      <c r="F656">
        <v>382.37</v>
      </c>
      <c r="G656" t="s">
        <v>2469</v>
      </c>
      <c r="H656" t="s">
        <v>34</v>
      </c>
      <c r="I656" t="s">
        <v>59</v>
      </c>
      <c r="J656" t="s">
        <v>2470</v>
      </c>
      <c r="K656">
        <v>8</v>
      </c>
      <c r="M656" t="s">
        <v>38</v>
      </c>
      <c r="N656">
        <v>1147.1099999999999</v>
      </c>
    </row>
    <row r="657" spans="1:14" x14ac:dyDescent="0.3">
      <c r="A657" t="s">
        <v>2471</v>
      </c>
      <c r="B657" s="8">
        <v>44999</v>
      </c>
      <c r="C657" t="s">
        <v>2472</v>
      </c>
      <c r="D657" t="s">
        <v>57</v>
      </c>
      <c r="E657">
        <v>2</v>
      </c>
      <c r="F657">
        <v>132.6</v>
      </c>
      <c r="G657" t="s">
        <v>1743</v>
      </c>
      <c r="H657" t="s">
        <v>34</v>
      </c>
      <c r="I657" t="s">
        <v>51</v>
      </c>
      <c r="J657" t="s">
        <v>2473</v>
      </c>
      <c r="K657">
        <v>4</v>
      </c>
      <c r="L657" t="s">
        <v>97</v>
      </c>
      <c r="M657" t="s">
        <v>54</v>
      </c>
      <c r="N657">
        <v>265.2</v>
      </c>
    </row>
    <row r="658" spans="1:14" x14ac:dyDescent="0.3">
      <c r="A658" t="s">
        <v>2474</v>
      </c>
      <c r="B658" s="8">
        <v>45309</v>
      </c>
      <c r="C658" t="s">
        <v>2475</v>
      </c>
      <c r="D658" t="s">
        <v>32</v>
      </c>
      <c r="E658">
        <v>2</v>
      </c>
      <c r="F658">
        <v>189.06</v>
      </c>
      <c r="G658" t="s">
        <v>2476</v>
      </c>
      <c r="H658" t="s">
        <v>76</v>
      </c>
      <c r="I658" t="s">
        <v>35</v>
      </c>
      <c r="J658" t="s">
        <v>2477</v>
      </c>
      <c r="K658">
        <v>7</v>
      </c>
      <c r="L658" t="s">
        <v>37</v>
      </c>
      <c r="M658" t="s">
        <v>61</v>
      </c>
      <c r="N658">
        <v>378.12</v>
      </c>
    </row>
    <row r="659" spans="1:14" x14ac:dyDescent="0.3">
      <c r="A659" t="s">
        <v>2478</v>
      </c>
      <c r="B659" s="8">
        <v>45284</v>
      </c>
      <c r="C659" t="s">
        <v>2479</v>
      </c>
      <c r="D659" t="s">
        <v>48</v>
      </c>
      <c r="E659">
        <v>4</v>
      </c>
      <c r="F659">
        <v>87.79</v>
      </c>
      <c r="G659" t="s">
        <v>1322</v>
      </c>
      <c r="H659" t="s">
        <v>81</v>
      </c>
      <c r="I659" t="s">
        <v>51</v>
      </c>
      <c r="J659" t="s">
        <v>2480</v>
      </c>
      <c r="K659">
        <v>6</v>
      </c>
      <c r="L659" t="s">
        <v>53</v>
      </c>
      <c r="M659" t="s">
        <v>38</v>
      </c>
      <c r="N659">
        <v>351.16</v>
      </c>
    </row>
    <row r="660" spans="1:14" x14ac:dyDescent="0.3">
      <c r="A660" t="s">
        <v>2481</v>
      </c>
      <c r="B660" s="8">
        <v>45765</v>
      </c>
      <c r="C660" t="s">
        <v>2482</v>
      </c>
      <c r="D660" t="s">
        <v>64</v>
      </c>
      <c r="E660">
        <v>2</v>
      </c>
      <c r="F660">
        <v>46.36</v>
      </c>
      <c r="G660" t="s">
        <v>1177</v>
      </c>
      <c r="H660" t="s">
        <v>76</v>
      </c>
      <c r="I660" t="s">
        <v>59</v>
      </c>
      <c r="J660" t="s">
        <v>2483</v>
      </c>
      <c r="K660">
        <v>4</v>
      </c>
      <c r="L660" t="s">
        <v>37</v>
      </c>
      <c r="M660" t="s">
        <v>92</v>
      </c>
      <c r="N660">
        <v>92.72</v>
      </c>
    </row>
    <row r="661" spans="1:14" x14ac:dyDescent="0.3">
      <c r="A661" t="s">
        <v>2484</v>
      </c>
      <c r="B661" s="8">
        <v>45591</v>
      </c>
      <c r="C661" t="s">
        <v>2485</v>
      </c>
      <c r="D661" t="s">
        <v>41</v>
      </c>
      <c r="E661">
        <v>2</v>
      </c>
      <c r="F661">
        <v>642.04</v>
      </c>
      <c r="G661" t="s">
        <v>2095</v>
      </c>
      <c r="H661" t="s">
        <v>76</v>
      </c>
      <c r="I661" t="s">
        <v>66</v>
      </c>
      <c r="J661" t="s">
        <v>2486</v>
      </c>
      <c r="K661">
        <v>4</v>
      </c>
      <c r="L661" t="s">
        <v>97</v>
      </c>
      <c r="M661" t="s">
        <v>54</v>
      </c>
      <c r="N661">
        <v>1284.08</v>
      </c>
    </row>
    <row r="662" spans="1:14" x14ac:dyDescent="0.3">
      <c r="A662" t="s">
        <v>2487</v>
      </c>
      <c r="B662" s="8">
        <v>45584</v>
      </c>
      <c r="C662" t="s">
        <v>2488</v>
      </c>
      <c r="D662" t="s">
        <v>57</v>
      </c>
      <c r="E662">
        <v>2</v>
      </c>
      <c r="F662">
        <v>651.57000000000005</v>
      </c>
      <c r="G662" t="s">
        <v>619</v>
      </c>
      <c r="H662" t="s">
        <v>34</v>
      </c>
      <c r="I662" t="s">
        <v>35</v>
      </c>
      <c r="J662" t="s">
        <v>2489</v>
      </c>
      <c r="K662">
        <v>7</v>
      </c>
      <c r="L662" t="s">
        <v>97</v>
      </c>
      <c r="M662" t="s">
        <v>61</v>
      </c>
      <c r="N662">
        <v>1303.1400000000001</v>
      </c>
    </row>
    <row r="663" spans="1:14" x14ac:dyDescent="0.3">
      <c r="A663" t="s">
        <v>2490</v>
      </c>
      <c r="B663" s="8">
        <v>45716</v>
      </c>
      <c r="C663" t="s">
        <v>2491</v>
      </c>
      <c r="D663" t="s">
        <v>48</v>
      </c>
      <c r="E663">
        <v>3</v>
      </c>
      <c r="F663">
        <v>424.89</v>
      </c>
      <c r="G663" t="s">
        <v>2492</v>
      </c>
      <c r="H663" t="s">
        <v>34</v>
      </c>
      <c r="I663" t="s">
        <v>51</v>
      </c>
      <c r="J663" t="s">
        <v>2493</v>
      </c>
      <c r="K663">
        <v>6</v>
      </c>
      <c r="L663" t="s">
        <v>53</v>
      </c>
      <c r="M663" t="s">
        <v>92</v>
      </c>
      <c r="N663">
        <v>1274.67</v>
      </c>
    </row>
    <row r="664" spans="1:14" x14ac:dyDescent="0.3">
      <c r="A664" t="s">
        <v>2494</v>
      </c>
      <c r="B664" s="8">
        <v>44954</v>
      </c>
      <c r="C664" t="s">
        <v>2495</v>
      </c>
      <c r="D664" t="s">
        <v>74</v>
      </c>
      <c r="E664">
        <v>3</v>
      </c>
      <c r="F664">
        <v>438.89</v>
      </c>
      <c r="G664" t="s">
        <v>2496</v>
      </c>
      <c r="H664" t="s">
        <v>81</v>
      </c>
      <c r="I664" t="s">
        <v>59</v>
      </c>
      <c r="J664" t="s">
        <v>2497</v>
      </c>
      <c r="K664">
        <v>3</v>
      </c>
      <c r="M664" t="s">
        <v>61</v>
      </c>
      <c r="N664">
        <v>1316.67</v>
      </c>
    </row>
    <row r="665" spans="1:14" x14ac:dyDescent="0.3">
      <c r="A665" t="s">
        <v>2498</v>
      </c>
      <c r="B665" s="8">
        <v>45397</v>
      </c>
      <c r="C665" t="s">
        <v>2499</v>
      </c>
      <c r="D665" t="s">
        <v>32</v>
      </c>
      <c r="E665">
        <v>1</v>
      </c>
      <c r="F665">
        <v>72.599999999999994</v>
      </c>
      <c r="G665" t="s">
        <v>2004</v>
      </c>
      <c r="H665" t="s">
        <v>34</v>
      </c>
      <c r="I665" t="s">
        <v>51</v>
      </c>
      <c r="J665" t="s">
        <v>2500</v>
      </c>
      <c r="K665">
        <v>6</v>
      </c>
      <c r="L665" t="s">
        <v>53</v>
      </c>
      <c r="M665" t="s">
        <v>38</v>
      </c>
      <c r="N665">
        <v>72.599999999999994</v>
      </c>
    </row>
    <row r="666" spans="1:14" x14ac:dyDescent="0.3">
      <c r="A666" t="s">
        <v>2501</v>
      </c>
      <c r="B666" s="8">
        <v>45645</v>
      </c>
      <c r="C666" t="s">
        <v>967</v>
      </c>
      <c r="D666" t="s">
        <v>74</v>
      </c>
      <c r="E666">
        <v>4</v>
      </c>
      <c r="F666">
        <v>194.75</v>
      </c>
      <c r="G666" t="s">
        <v>2502</v>
      </c>
      <c r="H666" t="s">
        <v>81</v>
      </c>
      <c r="I666" t="s">
        <v>35</v>
      </c>
      <c r="J666" t="s">
        <v>2503</v>
      </c>
      <c r="K666">
        <v>5</v>
      </c>
      <c r="M666" t="s">
        <v>61</v>
      </c>
      <c r="N666">
        <v>779</v>
      </c>
    </row>
    <row r="667" spans="1:14" x14ac:dyDescent="0.3">
      <c r="A667" t="s">
        <v>2504</v>
      </c>
      <c r="B667" s="8">
        <v>45048</v>
      </c>
      <c r="C667" t="s">
        <v>2505</v>
      </c>
      <c r="D667" t="s">
        <v>48</v>
      </c>
      <c r="E667">
        <v>4</v>
      </c>
      <c r="F667">
        <v>231.26</v>
      </c>
      <c r="G667" t="s">
        <v>2506</v>
      </c>
      <c r="H667" t="s">
        <v>43</v>
      </c>
      <c r="I667" t="s">
        <v>35</v>
      </c>
      <c r="J667" t="s">
        <v>2507</v>
      </c>
      <c r="K667">
        <v>6</v>
      </c>
      <c r="L667" t="s">
        <v>97</v>
      </c>
      <c r="M667" t="s">
        <v>92</v>
      </c>
      <c r="N667">
        <v>925.04</v>
      </c>
    </row>
    <row r="668" spans="1:14" x14ac:dyDescent="0.3">
      <c r="A668" t="s">
        <v>2508</v>
      </c>
      <c r="B668" s="8">
        <v>45535</v>
      </c>
      <c r="C668" t="s">
        <v>2509</v>
      </c>
      <c r="D668" t="s">
        <v>32</v>
      </c>
      <c r="E668">
        <v>4</v>
      </c>
      <c r="F668">
        <v>327.12</v>
      </c>
      <c r="G668" t="s">
        <v>2310</v>
      </c>
      <c r="H668" t="s">
        <v>50</v>
      </c>
      <c r="I668" t="s">
        <v>51</v>
      </c>
      <c r="J668" t="s">
        <v>2510</v>
      </c>
      <c r="K668">
        <v>4</v>
      </c>
      <c r="M668" t="s">
        <v>54</v>
      </c>
      <c r="N668">
        <v>1308.48</v>
      </c>
    </row>
    <row r="669" spans="1:14" x14ac:dyDescent="0.3">
      <c r="A669" t="s">
        <v>2511</v>
      </c>
      <c r="B669" s="8">
        <v>45049</v>
      </c>
      <c r="C669" t="s">
        <v>2512</v>
      </c>
      <c r="D669" t="s">
        <v>74</v>
      </c>
      <c r="E669">
        <v>1</v>
      </c>
      <c r="F669">
        <v>466.42</v>
      </c>
      <c r="G669" t="s">
        <v>846</v>
      </c>
      <c r="H669" t="s">
        <v>76</v>
      </c>
      <c r="I669" t="s">
        <v>105</v>
      </c>
      <c r="J669" t="s">
        <v>2513</v>
      </c>
      <c r="K669">
        <v>5</v>
      </c>
      <c r="L669" t="s">
        <v>37</v>
      </c>
      <c r="M669" t="s">
        <v>54</v>
      </c>
      <c r="N669">
        <v>466.42</v>
      </c>
    </row>
    <row r="670" spans="1:14" x14ac:dyDescent="0.3">
      <c r="A670" t="s">
        <v>2514</v>
      </c>
      <c r="B670" s="8">
        <v>45478</v>
      </c>
      <c r="C670" t="s">
        <v>2515</v>
      </c>
      <c r="D670" t="s">
        <v>32</v>
      </c>
      <c r="E670">
        <v>2</v>
      </c>
      <c r="F670">
        <v>253.67</v>
      </c>
      <c r="G670" t="s">
        <v>646</v>
      </c>
      <c r="H670" t="s">
        <v>81</v>
      </c>
      <c r="I670" t="s">
        <v>59</v>
      </c>
      <c r="J670" t="s">
        <v>2516</v>
      </c>
      <c r="K670">
        <v>3</v>
      </c>
      <c r="L670" t="s">
        <v>97</v>
      </c>
      <c r="M670" t="s">
        <v>61</v>
      </c>
      <c r="N670">
        <v>507.34</v>
      </c>
    </row>
    <row r="671" spans="1:14" x14ac:dyDescent="0.3">
      <c r="A671" t="s">
        <v>2517</v>
      </c>
      <c r="B671" s="8">
        <v>44962</v>
      </c>
      <c r="C671" t="s">
        <v>2518</v>
      </c>
      <c r="D671" t="s">
        <v>89</v>
      </c>
      <c r="E671">
        <v>1</v>
      </c>
      <c r="F671">
        <v>257</v>
      </c>
      <c r="G671" t="s">
        <v>2519</v>
      </c>
      <c r="H671" t="s">
        <v>34</v>
      </c>
      <c r="I671" t="s">
        <v>51</v>
      </c>
      <c r="J671" t="s">
        <v>2520</v>
      </c>
      <c r="K671">
        <v>5</v>
      </c>
      <c r="M671" t="s">
        <v>45</v>
      </c>
      <c r="N671">
        <v>257</v>
      </c>
    </row>
    <row r="672" spans="1:14" x14ac:dyDescent="0.3">
      <c r="A672" t="s">
        <v>2521</v>
      </c>
      <c r="B672" s="8">
        <v>45400</v>
      </c>
      <c r="C672" t="s">
        <v>2522</v>
      </c>
      <c r="D672" t="s">
        <v>89</v>
      </c>
      <c r="E672">
        <v>4</v>
      </c>
      <c r="F672">
        <v>539.20000000000005</v>
      </c>
      <c r="G672" t="s">
        <v>1431</v>
      </c>
      <c r="H672" t="s">
        <v>50</v>
      </c>
      <c r="I672" t="s">
        <v>105</v>
      </c>
      <c r="J672" t="s">
        <v>2523</v>
      </c>
      <c r="K672">
        <v>8</v>
      </c>
      <c r="L672" t="s">
        <v>53</v>
      </c>
      <c r="M672" t="s">
        <v>92</v>
      </c>
      <c r="N672">
        <v>2156.8000000000002</v>
      </c>
    </row>
    <row r="673" spans="1:14" x14ac:dyDescent="0.3">
      <c r="A673" t="s">
        <v>2524</v>
      </c>
      <c r="B673" s="8">
        <v>45092</v>
      </c>
      <c r="C673" t="s">
        <v>2525</v>
      </c>
      <c r="D673" t="s">
        <v>57</v>
      </c>
      <c r="E673">
        <v>5</v>
      </c>
      <c r="F673">
        <v>50.74</v>
      </c>
      <c r="G673" t="s">
        <v>675</v>
      </c>
      <c r="H673" t="s">
        <v>76</v>
      </c>
      <c r="I673" t="s">
        <v>51</v>
      </c>
      <c r="J673" t="s">
        <v>2526</v>
      </c>
      <c r="K673">
        <v>7</v>
      </c>
      <c r="L673" t="s">
        <v>97</v>
      </c>
      <c r="M673" t="s">
        <v>92</v>
      </c>
      <c r="N673">
        <v>253.7</v>
      </c>
    </row>
    <row r="674" spans="1:14" x14ac:dyDescent="0.3">
      <c r="A674" t="s">
        <v>2527</v>
      </c>
      <c r="B674" s="8">
        <v>45055</v>
      </c>
      <c r="C674" t="s">
        <v>2528</v>
      </c>
      <c r="D674" t="s">
        <v>41</v>
      </c>
      <c r="E674">
        <v>2</v>
      </c>
      <c r="F674">
        <v>624.16</v>
      </c>
      <c r="G674" t="s">
        <v>2337</v>
      </c>
      <c r="H674" t="s">
        <v>34</v>
      </c>
      <c r="I674" t="s">
        <v>35</v>
      </c>
      <c r="J674" t="s">
        <v>2529</v>
      </c>
      <c r="K674">
        <v>2</v>
      </c>
      <c r="L674" t="s">
        <v>37</v>
      </c>
      <c r="M674" t="s">
        <v>38</v>
      </c>
      <c r="N674">
        <v>1248.32</v>
      </c>
    </row>
    <row r="675" spans="1:14" x14ac:dyDescent="0.3">
      <c r="A675" t="s">
        <v>2530</v>
      </c>
      <c r="B675" s="8">
        <v>44978</v>
      </c>
      <c r="C675" t="s">
        <v>2531</v>
      </c>
      <c r="D675" t="s">
        <v>48</v>
      </c>
      <c r="E675">
        <v>2</v>
      </c>
      <c r="F675">
        <v>372.92</v>
      </c>
      <c r="G675" t="s">
        <v>486</v>
      </c>
      <c r="H675" t="s">
        <v>50</v>
      </c>
      <c r="I675" t="s">
        <v>66</v>
      </c>
      <c r="J675" t="s">
        <v>2532</v>
      </c>
      <c r="K675">
        <v>7</v>
      </c>
      <c r="L675" t="s">
        <v>37</v>
      </c>
      <c r="M675" t="s">
        <v>54</v>
      </c>
      <c r="N675">
        <v>745.84</v>
      </c>
    </row>
    <row r="676" spans="1:14" x14ac:dyDescent="0.3">
      <c r="A676" t="s">
        <v>2533</v>
      </c>
      <c r="B676" s="8">
        <v>45300</v>
      </c>
      <c r="C676" t="s">
        <v>2534</v>
      </c>
      <c r="D676" t="s">
        <v>74</v>
      </c>
      <c r="E676">
        <v>4</v>
      </c>
      <c r="F676">
        <v>358.75</v>
      </c>
      <c r="G676" t="s">
        <v>2535</v>
      </c>
      <c r="H676" t="s">
        <v>76</v>
      </c>
      <c r="I676" t="s">
        <v>66</v>
      </c>
      <c r="J676" t="s">
        <v>2536</v>
      </c>
      <c r="K676">
        <v>9</v>
      </c>
      <c r="L676" t="s">
        <v>37</v>
      </c>
      <c r="M676" t="s">
        <v>61</v>
      </c>
      <c r="N676">
        <v>1435</v>
      </c>
    </row>
    <row r="677" spans="1:14" x14ac:dyDescent="0.3">
      <c r="A677" t="s">
        <v>2537</v>
      </c>
      <c r="B677" s="8">
        <v>45510</v>
      </c>
      <c r="C677" t="s">
        <v>2538</v>
      </c>
      <c r="D677" t="s">
        <v>89</v>
      </c>
      <c r="E677">
        <v>3</v>
      </c>
      <c r="F677">
        <v>342.02</v>
      </c>
      <c r="G677" t="s">
        <v>2056</v>
      </c>
      <c r="H677" t="s">
        <v>34</v>
      </c>
      <c r="I677" t="s">
        <v>105</v>
      </c>
      <c r="J677" t="s">
        <v>2539</v>
      </c>
      <c r="K677">
        <v>5</v>
      </c>
      <c r="M677" t="s">
        <v>54</v>
      </c>
      <c r="N677">
        <v>1026.06</v>
      </c>
    </row>
    <row r="678" spans="1:14" x14ac:dyDescent="0.3">
      <c r="A678" t="s">
        <v>2540</v>
      </c>
      <c r="B678" s="8">
        <v>45831</v>
      </c>
      <c r="C678" t="s">
        <v>2541</v>
      </c>
      <c r="D678" t="s">
        <v>74</v>
      </c>
      <c r="E678">
        <v>2</v>
      </c>
      <c r="F678">
        <v>422.34</v>
      </c>
      <c r="G678" t="s">
        <v>2496</v>
      </c>
      <c r="H678" t="s">
        <v>50</v>
      </c>
      <c r="I678" t="s">
        <v>51</v>
      </c>
      <c r="J678" t="s">
        <v>2542</v>
      </c>
      <c r="K678">
        <v>4</v>
      </c>
      <c r="L678" t="s">
        <v>53</v>
      </c>
      <c r="M678" t="s">
        <v>38</v>
      </c>
      <c r="N678">
        <v>844.68</v>
      </c>
    </row>
    <row r="679" spans="1:14" x14ac:dyDescent="0.3">
      <c r="A679" t="s">
        <v>2543</v>
      </c>
      <c r="B679" s="8">
        <v>45750</v>
      </c>
      <c r="C679" t="s">
        <v>2544</v>
      </c>
      <c r="D679" t="s">
        <v>48</v>
      </c>
      <c r="E679">
        <v>5</v>
      </c>
      <c r="F679">
        <v>22.07</v>
      </c>
      <c r="G679" t="s">
        <v>104</v>
      </c>
      <c r="H679" t="s">
        <v>43</v>
      </c>
      <c r="I679" t="s">
        <v>51</v>
      </c>
      <c r="J679" t="s">
        <v>2545</v>
      </c>
      <c r="K679">
        <v>7</v>
      </c>
      <c r="L679" t="s">
        <v>53</v>
      </c>
      <c r="M679" t="s">
        <v>38</v>
      </c>
      <c r="N679">
        <v>110.35</v>
      </c>
    </row>
    <row r="680" spans="1:14" x14ac:dyDescent="0.3">
      <c r="A680" t="s">
        <v>2546</v>
      </c>
      <c r="B680" s="8">
        <v>45620</v>
      </c>
      <c r="C680" t="s">
        <v>2547</v>
      </c>
      <c r="D680" t="s">
        <v>57</v>
      </c>
      <c r="E680">
        <v>3</v>
      </c>
      <c r="F680">
        <v>163.13</v>
      </c>
      <c r="G680" t="s">
        <v>904</v>
      </c>
      <c r="H680" t="s">
        <v>76</v>
      </c>
      <c r="I680" t="s">
        <v>35</v>
      </c>
      <c r="J680" t="s">
        <v>2548</v>
      </c>
      <c r="K680">
        <v>5</v>
      </c>
      <c r="L680" t="s">
        <v>97</v>
      </c>
      <c r="M680" t="s">
        <v>61</v>
      </c>
      <c r="N680">
        <v>489.39</v>
      </c>
    </row>
    <row r="681" spans="1:14" x14ac:dyDescent="0.3">
      <c r="A681" t="s">
        <v>2549</v>
      </c>
      <c r="B681" s="8">
        <v>44959</v>
      </c>
      <c r="C681" t="s">
        <v>2550</v>
      </c>
      <c r="D681" t="s">
        <v>48</v>
      </c>
      <c r="E681">
        <v>3</v>
      </c>
      <c r="F681">
        <v>360.66</v>
      </c>
      <c r="G681" t="s">
        <v>1580</v>
      </c>
      <c r="H681" t="s">
        <v>43</v>
      </c>
      <c r="I681" t="s">
        <v>59</v>
      </c>
      <c r="J681" t="s">
        <v>2551</v>
      </c>
      <c r="K681">
        <v>5</v>
      </c>
      <c r="L681" t="s">
        <v>53</v>
      </c>
      <c r="M681" t="s">
        <v>38</v>
      </c>
      <c r="N681">
        <v>1081.98</v>
      </c>
    </row>
    <row r="682" spans="1:14" x14ac:dyDescent="0.3">
      <c r="A682" t="s">
        <v>2552</v>
      </c>
      <c r="B682" s="8">
        <v>45165</v>
      </c>
      <c r="C682" t="s">
        <v>2553</v>
      </c>
      <c r="D682" t="s">
        <v>32</v>
      </c>
      <c r="E682">
        <v>3</v>
      </c>
      <c r="F682">
        <v>463.39</v>
      </c>
      <c r="G682" t="s">
        <v>2554</v>
      </c>
      <c r="H682" t="s">
        <v>50</v>
      </c>
      <c r="I682" t="s">
        <v>59</v>
      </c>
      <c r="J682" t="s">
        <v>2555</v>
      </c>
      <c r="K682">
        <v>3</v>
      </c>
      <c r="M682" t="s">
        <v>61</v>
      </c>
      <c r="N682">
        <v>1390.17</v>
      </c>
    </row>
    <row r="683" spans="1:14" x14ac:dyDescent="0.3">
      <c r="A683" t="s">
        <v>2556</v>
      </c>
      <c r="B683" s="8">
        <v>45321</v>
      </c>
      <c r="C683" t="s">
        <v>2557</v>
      </c>
      <c r="D683" t="s">
        <v>48</v>
      </c>
      <c r="E683">
        <v>1</v>
      </c>
      <c r="F683">
        <v>155.27000000000001</v>
      </c>
      <c r="G683" t="s">
        <v>2558</v>
      </c>
      <c r="H683" t="s">
        <v>34</v>
      </c>
      <c r="I683" t="s">
        <v>35</v>
      </c>
      <c r="J683" t="s">
        <v>2559</v>
      </c>
      <c r="K683">
        <v>6</v>
      </c>
      <c r="M683" t="s">
        <v>54</v>
      </c>
      <c r="N683">
        <v>155.27000000000001</v>
      </c>
    </row>
    <row r="684" spans="1:14" x14ac:dyDescent="0.3">
      <c r="A684" t="s">
        <v>2560</v>
      </c>
      <c r="B684" s="8">
        <v>45130</v>
      </c>
      <c r="C684" t="s">
        <v>2561</v>
      </c>
      <c r="D684" t="s">
        <v>32</v>
      </c>
      <c r="E684">
        <v>3</v>
      </c>
      <c r="F684">
        <v>509.42</v>
      </c>
      <c r="G684" t="s">
        <v>1843</v>
      </c>
      <c r="H684" t="s">
        <v>50</v>
      </c>
      <c r="I684" t="s">
        <v>51</v>
      </c>
      <c r="J684" t="s">
        <v>2562</v>
      </c>
      <c r="K684">
        <v>5</v>
      </c>
      <c r="L684" t="s">
        <v>53</v>
      </c>
      <c r="M684" t="s">
        <v>92</v>
      </c>
      <c r="N684">
        <v>1528.26</v>
      </c>
    </row>
    <row r="685" spans="1:14" x14ac:dyDescent="0.3">
      <c r="A685" t="s">
        <v>2563</v>
      </c>
      <c r="B685" s="8">
        <v>45795</v>
      </c>
      <c r="C685" t="s">
        <v>2564</v>
      </c>
      <c r="D685" t="s">
        <v>89</v>
      </c>
      <c r="E685">
        <v>4</v>
      </c>
      <c r="F685">
        <v>652.48</v>
      </c>
      <c r="G685" t="s">
        <v>2565</v>
      </c>
      <c r="H685" t="s">
        <v>81</v>
      </c>
      <c r="I685" t="s">
        <v>105</v>
      </c>
      <c r="J685" t="s">
        <v>2566</v>
      </c>
      <c r="K685">
        <v>5</v>
      </c>
      <c r="L685" t="s">
        <v>53</v>
      </c>
      <c r="M685" t="s">
        <v>38</v>
      </c>
      <c r="N685">
        <v>2609.92</v>
      </c>
    </row>
    <row r="686" spans="1:14" x14ac:dyDescent="0.3">
      <c r="A686" t="s">
        <v>2567</v>
      </c>
      <c r="B686" s="8">
        <v>45557</v>
      </c>
      <c r="C686" t="s">
        <v>2568</v>
      </c>
      <c r="D686" t="s">
        <v>64</v>
      </c>
      <c r="E686">
        <v>4</v>
      </c>
      <c r="F686">
        <v>34.840000000000003</v>
      </c>
      <c r="G686" t="s">
        <v>2569</v>
      </c>
      <c r="H686" t="s">
        <v>50</v>
      </c>
      <c r="I686" t="s">
        <v>35</v>
      </c>
      <c r="J686" t="s">
        <v>2570</v>
      </c>
      <c r="K686">
        <v>8</v>
      </c>
      <c r="M686" t="s">
        <v>54</v>
      </c>
      <c r="N686">
        <v>139.36000000000001</v>
      </c>
    </row>
    <row r="687" spans="1:14" x14ac:dyDescent="0.3">
      <c r="A687" t="s">
        <v>2571</v>
      </c>
      <c r="B687" s="8">
        <v>45695</v>
      </c>
      <c r="C687" t="s">
        <v>2572</v>
      </c>
      <c r="D687" t="s">
        <v>89</v>
      </c>
      <c r="E687">
        <v>1</v>
      </c>
      <c r="F687">
        <v>234.37</v>
      </c>
      <c r="G687" t="s">
        <v>2573</v>
      </c>
      <c r="H687" t="s">
        <v>34</v>
      </c>
      <c r="I687" t="s">
        <v>35</v>
      </c>
      <c r="J687" t="s">
        <v>2574</v>
      </c>
      <c r="K687">
        <v>5</v>
      </c>
      <c r="L687" t="s">
        <v>53</v>
      </c>
      <c r="M687" t="s">
        <v>54</v>
      </c>
      <c r="N687">
        <v>234.37</v>
      </c>
    </row>
    <row r="688" spans="1:14" x14ac:dyDescent="0.3">
      <c r="A688" t="s">
        <v>2575</v>
      </c>
      <c r="B688" s="8">
        <v>45208</v>
      </c>
      <c r="C688" t="s">
        <v>2576</v>
      </c>
      <c r="D688" t="s">
        <v>89</v>
      </c>
      <c r="E688">
        <v>3</v>
      </c>
      <c r="F688">
        <v>53.6</v>
      </c>
      <c r="G688" t="s">
        <v>2577</v>
      </c>
      <c r="H688" t="s">
        <v>81</v>
      </c>
      <c r="I688" t="s">
        <v>105</v>
      </c>
      <c r="J688" t="s">
        <v>2578</v>
      </c>
      <c r="K688">
        <v>4</v>
      </c>
      <c r="L688" t="s">
        <v>97</v>
      </c>
      <c r="M688" t="s">
        <v>61</v>
      </c>
      <c r="N688">
        <v>160.80000000000001</v>
      </c>
    </row>
    <row r="689" spans="1:14" x14ac:dyDescent="0.3">
      <c r="A689" t="s">
        <v>2579</v>
      </c>
      <c r="B689" s="8">
        <v>45182</v>
      </c>
      <c r="C689" t="s">
        <v>2580</v>
      </c>
      <c r="D689" t="s">
        <v>48</v>
      </c>
      <c r="E689">
        <v>1</v>
      </c>
      <c r="F689">
        <v>332.09</v>
      </c>
      <c r="G689" t="s">
        <v>2581</v>
      </c>
      <c r="H689" t="s">
        <v>76</v>
      </c>
      <c r="I689" t="s">
        <v>59</v>
      </c>
      <c r="J689" t="s">
        <v>2582</v>
      </c>
      <c r="K689">
        <v>5</v>
      </c>
      <c r="L689" t="s">
        <v>53</v>
      </c>
      <c r="M689" t="s">
        <v>38</v>
      </c>
      <c r="N689">
        <v>332.09</v>
      </c>
    </row>
    <row r="690" spans="1:14" x14ac:dyDescent="0.3">
      <c r="A690" t="s">
        <v>2583</v>
      </c>
      <c r="B690" s="8">
        <v>45357</v>
      </c>
      <c r="C690" t="s">
        <v>2584</v>
      </c>
      <c r="D690" t="s">
        <v>32</v>
      </c>
      <c r="E690">
        <v>4</v>
      </c>
      <c r="F690">
        <v>593.22</v>
      </c>
      <c r="G690" t="s">
        <v>2327</v>
      </c>
      <c r="H690" t="s">
        <v>50</v>
      </c>
      <c r="I690" t="s">
        <v>51</v>
      </c>
      <c r="J690" t="s">
        <v>2585</v>
      </c>
      <c r="K690">
        <v>8</v>
      </c>
      <c r="L690" t="s">
        <v>97</v>
      </c>
      <c r="M690" t="s">
        <v>61</v>
      </c>
      <c r="N690">
        <v>2372.88</v>
      </c>
    </row>
    <row r="691" spans="1:14" x14ac:dyDescent="0.3">
      <c r="A691" t="s">
        <v>2586</v>
      </c>
      <c r="B691" s="8">
        <v>45167</v>
      </c>
      <c r="C691" t="s">
        <v>2587</v>
      </c>
      <c r="D691" t="s">
        <v>48</v>
      </c>
      <c r="E691">
        <v>2</v>
      </c>
      <c r="F691">
        <v>444.84</v>
      </c>
      <c r="G691" t="s">
        <v>2588</v>
      </c>
      <c r="H691" t="s">
        <v>43</v>
      </c>
      <c r="I691" t="s">
        <v>35</v>
      </c>
      <c r="J691" t="s">
        <v>2589</v>
      </c>
      <c r="K691">
        <v>7</v>
      </c>
      <c r="M691" t="s">
        <v>61</v>
      </c>
      <c r="N691">
        <v>889.68</v>
      </c>
    </row>
    <row r="692" spans="1:14" x14ac:dyDescent="0.3">
      <c r="A692" t="s">
        <v>2590</v>
      </c>
      <c r="B692" s="8">
        <v>45485</v>
      </c>
      <c r="C692" t="s">
        <v>2591</v>
      </c>
      <c r="D692" t="s">
        <v>32</v>
      </c>
      <c r="E692">
        <v>1</v>
      </c>
      <c r="F692">
        <v>24.48</v>
      </c>
      <c r="G692" t="s">
        <v>197</v>
      </c>
      <c r="H692" t="s">
        <v>76</v>
      </c>
      <c r="I692" t="s">
        <v>59</v>
      </c>
      <c r="J692" t="s">
        <v>2592</v>
      </c>
      <c r="K692">
        <v>1</v>
      </c>
      <c r="M692" t="s">
        <v>38</v>
      </c>
      <c r="N692">
        <v>24.48</v>
      </c>
    </row>
    <row r="693" spans="1:14" x14ac:dyDescent="0.3">
      <c r="A693" t="s">
        <v>2593</v>
      </c>
      <c r="B693" s="8">
        <v>45620</v>
      </c>
      <c r="C693" t="s">
        <v>2594</v>
      </c>
      <c r="D693" t="s">
        <v>74</v>
      </c>
      <c r="E693">
        <v>3</v>
      </c>
      <c r="F693">
        <v>239.08</v>
      </c>
      <c r="G693" t="s">
        <v>2595</v>
      </c>
      <c r="H693" t="s">
        <v>81</v>
      </c>
      <c r="I693" t="s">
        <v>35</v>
      </c>
      <c r="J693" t="s">
        <v>2596</v>
      </c>
      <c r="K693">
        <v>8</v>
      </c>
      <c r="M693" t="s">
        <v>92</v>
      </c>
      <c r="N693">
        <v>717.24</v>
      </c>
    </row>
    <row r="694" spans="1:14" x14ac:dyDescent="0.3">
      <c r="A694" t="s">
        <v>2597</v>
      </c>
      <c r="B694" s="8">
        <v>44949</v>
      </c>
      <c r="C694" t="s">
        <v>2598</v>
      </c>
      <c r="D694" t="s">
        <v>89</v>
      </c>
      <c r="E694">
        <v>5</v>
      </c>
      <c r="F694">
        <v>196.84</v>
      </c>
      <c r="G694" t="s">
        <v>1576</v>
      </c>
      <c r="H694" t="s">
        <v>50</v>
      </c>
      <c r="I694" t="s">
        <v>66</v>
      </c>
      <c r="J694" t="s">
        <v>2599</v>
      </c>
      <c r="K694">
        <v>5</v>
      </c>
      <c r="L694" t="s">
        <v>97</v>
      </c>
      <c r="M694" t="s">
        <v>38</v>
      </c>
      <c r="N694">
        <v>984.2</v>
      </c>
    </row>
    <row r="695" spans="1:14" x14ac:dyDescent="0.3">
      <c r="A695" t="s">
        <v>2600</v>
      </c>
      <c r="B695" s="8">
        <v>45728</v>
      </c>
      <c r="C695" t="s">
        <v>2601</v>
      </c>
      <c r="D695" t="s">
        <v>32</v>
      </c>
      <c r="E695">
        <v>1</v>
      </c>
      <c r="F695">
        <v>176.58</v>
      </c>
      <c r="G695" t="s">
        <v>2602</v>
      </c>
      <c r="H695" t="s">
        <v>34</v>
      </c>
      <c r="I695" t="s">
        <v>59</v>
      </c>
      <c r="J695" t="s">
        <v>2603</v>
      </c>
      <c r="K695">
        <v>4</v>
      </c>
      <c r="M695" t="s">
        <v>45</v>
      </c>
      <c r="N695">
        <v>176.58</v>
      </c>
    </row>
    <row r="696" spans="1:14" x14ac:dyDescent="0.3">
      <c r="A696" t="s">
        <v>2604</v>
      </c>
      <c r="B696" s="8">
        <v>45201</v>
      </c>
      <c r="C696" t="s">
        <v>2605</v>
      </c>
      <c r="D696" t="s">
        <v>64</v>
      </c>
      <c r="E696">
        <v>4</v>
      </c>
      <c r="F696">
        <v>666.52</v>
      </c>
      <c r="G696" t="s">
        <v>1368</v>
      </c>
      <c r="H696" t="s">
        <v>81</v>
      </c>
      <c r="I696" t="s">
        <v>35</v>
      </c>
      <c r="J696" t="s">
        <v>2606</v>
      </c>
      <c r="K696">
        <v>8</v>
      </c>
      <c r="L696" t="s">
        <v>53</v>
      </c>
      <c r="M696" t="s">
        <v>54</v>
      </c>
      <c r="N696">
        <v>2666.08</v>
      </c>
    </row>
    <row r="697" spans="1:14" x14ac:dyDescent="0.3">
      <c r="A697" t="s">
        <v>2607</v>
      </c>
      <c r="B697" s="8">
        <v>45619</v>
      </c>
      <c r="C697" t="s">
        <v>2608</v>
      </c>
      <c r="D697" t="s">
        <v>64</v>
      </c>
      <c r="E697">
        <v>5</v>
      </c>
      <c r="F697">
        <v>101.3</v>
      </c>
      <c r="G697" t="s">
        <v>743</v>
      </c>
      <c r="H697" t="s">
        <v>43</v>
      </c>
      <c r="I697" t="s">
        <v>35</v>
      </c>
      <c r="J697" t="s">
        <v>2609</v>
      </c>
      <c r="K697">
        <v>7</v>
      </c>
      <c r="L697" t="s">
        <v>53</v>
      </c>
      <c r="M697" t="s">
        <v>54</v>
      </c>
      <c r="N697">
        <v>506.5</v>
      </c>
    </row>
    <row r="698" spans="1:14" x14ac:dyDescent="0.3">
      <c r="A698" t="s">
        <v>2610</v>
      </c>
      <c r="B698" s="8">
        <v>45109</v>
      </c>
      <c r="C698" t="s">
        <v>2611</v>
      </c>
      <c r="D698" t="s">
        <v>57</v>
      </c>
      <c r="E698">
        <v>4</v>
      </c>
      <c r="F698">
        <v>151.19999999999999</v>
      </c>
      <c r="G698" t="s">
        <v>2612</v>
      </c>
      <c r="H698" t="s">
        <v>76</v>
      </c>
      <c r="I698" t="s">
        <v>105</v>
      </c>
      <c r="J698" t="s">
        <v>2613</v>
      </c>
      <c r="K698">
        <v>9</v>
      </c>
      <c r="L698" t="s">
        <v>97</v>
      </c>
      <c r="M698" t="s">
        <v>61</v>
      </c>
      <c r="N698">
        <v>604.79999999999995</v>
      </c>
    </row>
    <row r="699" spans="1:14" x14ac:dyDescent="0.3">
      <c r="A699" t="s">
        <v>2614</v>
      </c>
      <c r="B699" s="8">
        <v>45692</v>
      </c>
      <c r="C699" t="s">
        <v>2615</v>
      </c>
      <c r="D699" t="s">
        <v>64</v>
      </c>
      <c r="E699">
        <v>5</v>
      </c>
      <c r="F699">
        <v>94.85</v>
      </c>
      <c r="G699" t="s">
        <v>2310</v>
      </c>
      <c r="H699" t="s">
        <v>81</v>
      </c>
      <c r="I699" t="s">
        <v>35</v>
      </c>
      <c r="J699" t="s">
        <v>2616</v>
      </c>
      <c r="K699">
        <v>6</v>
      </c>
      <c r="L699" t="s">
        <v>97</v>
      </c>
      <c r="M699" t="s">
        <v>54</v>
      </c>
      <c r="N699">
        <v>474.25</v>
      </c>
    </row>
    <row r="700" spans="1:14" x14ac:dyDescent="0.3">
      <c r="A700" t="s">
        <v>2617</v>
      </c>
      <c r="B700" s="8">
        <v>44930</v>
      </c>
      <c r="C700" t="s">
        <v>2618</v>
      </c>
      <c r="D700" t="s">
        <v>74</v>
      </c>
      <c r="E700">
        <v>2</v>
      </c>
      <c r="F700">
        <v>388.22</v>
      </c>
      <c r="G700" t="s">
        <v>1939</v>
      </c>
      <c r="H700" t="s">
        <v>81</v>
      </c>
      <c r="I700" t="s">
        <v>66</v>
      </c>
      <c r="J700" t="s">
        <v>2619</v>
      </c>
      <c r="K700">
        <v>2</v>
      </c>
      <c r="L700" t="s">
        <v>97</v>
      </c>
      <c r="M700" t="s">
        <v>38</v>
      </c>
      <c r="N700">
        <v>776.44</v>
      </c>
    </row>
    <row r="701" spans="1:14" x14ac:dyDescent="0.3">
      <c r="A701" t="s">
        <v>2620</v>
      </c>
      <c r="B701" s="8">
        <v>45243</v>
      </c>
      <c r="C701" t="s">
        <v>2621</v>
      </c>
      <c r="D701" t="s">
        <v>74</v>
      </c>
      <c r="E701">
        <v>3</v>
      </c>
      <c r="F701">
        <v>614.15</v>
      </c>
      <c r="G701" t="s">
        <v>2622</v>
      </c>
      <c r="H701" t="s">
        <v>76</v>
      </c>
      <c r="I701" t="s">
        <v>51</v>
      </c>
      <c r="J701" t="s">
        <v>2623</v>
      </c>
      <c r="K701">
        <v>3</v>
      </c>
      <c r="M701" t="s">
        <v>61</v>
      </c>
      <c r="N701">
        <v>1842.45</v>
      </c>
    </row>
    <row r="702" spans="1:14" x14ac:dyDescent="0.3">
      <c r="A702" t="s">
        <v>2624</v>
      </c>
      <c r="B702" s="8">
        <v>45560</v>
      </c>
      <c r="C702" t="s">
        <v>2625</v>
      </c>
      <c r="D702" t="s">
        <v>74</v>
      </c>
      <c r="E702">
        <v>2</v>
      </c>
      <c r="F702">
        <v>92.91</v>
      </c>
      <c r="G702" t="s">
        <v>2626</v>
      </c>
      <c r="H702" t="s">
        <v>81</v>
      </c>
      <c r="I702" t="s">
        <v>59</v>
      </c>
      <c r="J702" t="s">
        <v>2627</v>
      </c>
      <c r="K702">
        <v>3</v>
      </c>
      <c r="L702" t="s">
        <v>97</v>
      </c>
      <c r="M702" t="s">
        <v>38</v>
      </c>
      <c r="N702">
        <v>185.82</v>
      </c>
    </row>
    <row r="703" spans="1:14" x14ac:dyDescent="0.3">
      <c r="A703" t="s">
        <v>2628</v>
      </c>
      <c r="B703" s="8">
        <v>45466</v>
      </c>
      <c r="C703" t="s">
        <v>2629</v>
      </c>
      <c r="D703" t="s">
        <v>32</v>
      </c>
      <c r="E703">
        <v>3</v>
      </c>
      <c r="F703">
        <v>92.22</v>
      </c>
      <c r="G703" t="s">
        <v>506</v>
      </c>
      <c r="H703" t="s">
        <v>50</v>
      </c>
      <c r="I703" t="s">
        <v>66</v>
      </c>
      <c r="J703" t="s">
        <v>2630</v>
      </c>
      <c r="K703">
        <v>5</v>
      </c>
      <c r="L703" t="s">
        <v>53</v>
      </c>
      <c r="M703" t="s">
        <v>54</v>
      </c>
      <c r="N703">
        <v>276.66000000000003</v>
      </c>
    </row>
    <row r="704" spans="1:14" x14ac:dyDescent="0.3">
      <c r="A704" t="s">
        <v>2631</v>
      </c>
      <c r="B704" s="8">
        <v>45452</v>
      </c>
      <c r="C704" t="s">
        <v>2632</v>
      </c>
      <c r="D704" t="s">
        <v>64</v>
      </c>
      <c r="E704">
        <v>3</v>
      </c>
      <c r="F704">
        <v>562.54999999999995</v>
      </c>
      <c r="G704" t="s">
        <v>2327</v>
      </c>
      <c r="H704" t="s">
        <v>34</v>
      </c>
      <c r="I704" t="s">
        <v>59</v>
      </c>
      <c r="J704" t="s">
        <v>2633</v>
      </c>
      <c r="K704">
        <v>6</v>
      </c>
      <c r="M704" t="s">
        <v>54</v>
      </c>
      <c r="N704">
        <v>1687.65</v>
      </c>
    </row>
    <row r="705" spans="1:14" x14ac:dyDescent="0.3">
      <c r="A705" t="s">
        <v>2634</v>
      </c>
      <c r="B705" s="8">
        <v>45007</v>
      </c>
      <c r="C705" t="s">
        <v>2635</v>
      </c>
      <c r="D705" t="s">
        <v>89</v>
      </c>
      <c r="E705">
        <v>1</v>
      </c>
      <c r="F705">
        <v>92.79</v>
      </c>
      <c r="G705" t="s">
        <v>2636</v>
      </c>
      <c r="H705" t="s">
        <v>81</v>
      </c>
      <c r="I705" t="s">
        <v>105</v>
      </c>
      <c r="J705" t="s">
        <v>2637</v>
      </c>
      <c r="K705">
        <v>3</v>
      </c>
      <c r="L705" t="s">
        <v>97</v>
      </c>
      <c r="M705" t="s">
        <v>54</v>
      </c>
      <c r="N705">
        <v>92.79</v>
      </c>
    </row>
    <row r="706" spans="1:14" x14ac:dyDescent="0.3">
      <c r="A706" t="s">
        <v>2638</v>
      </c>
      <c r="B706" s="8">
        <v>45080</v>
      </c>
      <c r="C706" t="s">
        <v>2639</v>
      </c>
      <c r="D706" t="s">
        <v>89</v>
      </c>
      <c r="E706">
        <v>4</v>
      </c>
      <c r="F706">
        <v>30.27</v>
      </c>
      <c r="G706" t="s">
        <v>679</v>
      </c>
      <c r="H706" t="s">
        <v>43</v>
      </c>
      <c r="I706" t="s">
        <v>66</v>
      </c>
      <c r="J706" t="s">
        <v>2640</v>
      </c>
      <c r="K706">
        <v>9</v>
      </c>
      <c r="L706" t="s">
        <v>53</v>
      </c>
      <c r="M706" t="s">
        <v>92</v>
      </c>
      <c r="N706">
        <v>121.08</v>
      </c>
    </row>
    <row r="707" spans="1:14" x14ac:dyDescent="0.3">
      <c r="A707" t="s">
        <v>2641</v>
      </c>
      <c r="B707" s="8">
        <v>45746</v>
      </c>
      <c r="C707" t="s">
        <v>2642</v>
      </c>
      <c r="D707" t="s">
        <v>32</v>
      </c>
      <c r="E707">
        <v>2</v>
      </c>
      <c r="F707">
        <v>49.08</v>
      </c>
      <c r="G707" t="s">
        <v>2643</v>
      </c>
      <c r="H707" t="s">
        <v>34</v>
      </c>
      <c r="I707" t="s">
        <v>59</v>
      </c>
      <c r="J707" t="s">
        <v>2644</v>
      </c>
      <c r="K707">
        <v>7</v>
      </c>
      <c r="L707" t="s">
        <v>53</v>
      </c>
      <c r="M707" t="s">
        <v>38</v>
      </c>
      <c r="N707">
        <v>98.16</v>
      </c>
    </row>
    <row r="708" spans="1:14" x14ac:dyDescent="0.3">
      <c r="A708" t="s">
        <v>2645</v>
      </c>
      <c r="B708" s="8">
        <v>45718</v>
      </c>
      <c r="C708" t="s">
        <v>2646</v>
      </c>
      <c r="D708" t="s">
        <v>89</v>
      </c>
      <c r="E708">
        <v>5</v>
      </c>
      <c r="F708">
        <v>228.09</v>
      </c>
      <c r="G708" t="s">
        <v>1486</v>
      </c>
      <c r="H708" t="s">
        <v>76</v>
      </c>
      <c r="I708" t="s">
        <v>59</v>
      </c>
      <c r="J708" t="s">
        <v>2647</v>
      </c>
      <c r="K708">
        <v>9</v>
      </c>
      <c r="L708" t="s">
        <v>53</v>
      </c>
      <c r="M708" t="s">
        <v>61</v>
      </c>
      <c r="N708">
        <v>1140.45</v>
      </c>
    </row>
    <row r="709" spans="1:14" x14ac:dyDescent="0.3">
      <c r="A709" t="s">
        <v>2648</v>
      </c>
      <c r="B709" s="8">
        <v>45597</v>
      </c>
      <c r="C709" t="s">
        <v>2649</v>
      </c>
      <c r="D709" t="s">
        <v>57</v>
      </c>
      <c r="E709">
        <v>4</v>
      </c>
      <c r="F709">
        <v>650.04</v>
      </c>
      <c r="G709" t="s">
        <v>383</v>
      </c>
      <c r="H709" t="s">
        <v>76</v>
      </c>
      <c r="I709" t="s">
        <v>51</v>
      </c>
      <c r="J709" t="s">
        <v>2650</v>
      </c>
      <c r="K709">
        <v>6</v>
      </c>
      <c r="L709" t="s">
        <v>37</v>
      </c>
      <c r="M709" t="s">
        <v>61</v>
      </c>
      <c r="N709">
        <v>2600.16</v>
      </c>
    </row>
    <row r="710" spans="1:14" x14ac:dyDescent="0.3">
      <c r="A710" t="s">
        <v>2651</v>
      </c>
      <c r="B710" s="8">
        <v>45720</v>
      </c>
      <c r="C710" t="s">
        <v>2652</v>
      </c>
      <c r="D710" t="s">
        <v>64</v>
      </c>
      <c r="E710">
        <v>1</v>
      </c>
      <c r="F710">
        <v>665.11</v>
      </c>
      <c r="G710" t="s">
        <v>2310</v>
      </c>
      <c r="H710" t="s">
        <v>81</v>
      </c>
      <c r="I710" t="s">
        <v>105</v>
      </c>
      <c r="J710" t="s">
        <v>2653</v>
      </c>
      <c r="K710">
        <v>3</v>
      </c>
      <c r="L710" t="s">
        <v>53</v>
      </c>
      <c r="M710" t="s">
        <v>38</v>
      </c>
      <c r="N710">
        <v>665.11</v>
      </c>
    </row>
    <row r="711" spans="1:14" x14ac:dyDescent="0.3">
      <c r="A711" t="s">
        <v>2654</v>
      </c>
      <c r="B711" s="8">
        <v>45633</v>
      </c>
      <c r="C711" t="s">
        <v>2655</v>
      </c>
      <c r="D711" t="s">
        <v>89</v>
      </c>
      <c r="E711">
        <v>1</v>
      </c>
      <c r="F711">
        <v>386.03</v>
      </c>
      <c r="G711" t="s">
        <v>2656</v>
      </c>
      <c r="H711" t="s">
        <v>43</v>
      </c>
      <c r="I711" t="s">
        <v>105</v>
      </c>
      <c r="J711" t="s">
        <v>2657</v>
      </c>
      <c r="K711">
        <v>4</v>
      </c>
      <c r="L711" t="s">
        <v>53</v>
      </c>
      <c r="M711" t="s">
        <v>92</v>
      </c>
      <c r="N711">
        <v>386.03</v>
      </c>
    </row>
    <row r="712" spans="1:14" x14ac:dyDescent="0.3">
      <c r="A712" t="s">
        <v>2658</v>
      </c>
      <c r="B712" s="8">
        <v>45495</v>
      </c>
      <c r="C712" t="s">
        <v>2659</v>
      </c>
      <c r="D712" t="s">
        <v>74</v>
      </c>
      <c r="E712">
        <v>5</v>
      </c>
      <c r="F712">
        <v>21.54</v>
      </c>
      <c r="G712" t="s">
        <v>2660</v>
      </c>
      <c r="H712" t="s">
        <v>76</v>
      </c>
      <c r="I712" t="s">
        <v>59</v>
      </c>
      <c r="J712" t="s">
        <v>2661</v>
      </c>
      <c r="K712">
        <v>10</v>
      </c>
      <c r="M712" t="s">
        <v>92</v>
      </c>
      <c r="N712">
        <v>107.7</v>
      </c>
    </row>
    <row r="713" spans="1:14" x14ac:dyDescent="0.3">
      <c r="A713" t="s">
        <v>2662</v>
      </c>
      <c r="B713" s="8">
        <v>45477</v>
      </c>
      <c r="C713" t="s">
        <v>2663</v>
      </c>
      <c r="D713" t="s">
        <v>48</v>
      </c>
      <c r="E713">
        <v>2</v>
      </c>
      <c r="F713">
        <v>475.78</v>
      </c>
      <c r="G713" t="s">
        <v>2664</v>
      </c>
      <c r="H713" t="s">
        <v>43</v>
      </c>
      <c r="I713" t="s">
        <v>35</v>
      </c>
      <c r="J713" t="s">
        <v>2665</v>
      </c>
      <c r="K713">
        <v>2</v>
      </c>
      <c r="L713" t="s">
        <v>97</v>
      </c>
      <c r="M713" t="s">
        <v>92</v>
      </c>
      <c r="N713">
        <v>951.56</v>
      </c>
    </row>
    <row r="714" spans="1:14" x14ac:dyDescent="0.3">
      <c r="A714" t="s">
        <v>2666</v>
      </c>
      <c r="B714" s="8">
        <v>45300</v>
      </c>
      <c r="C714" t="s">
        <v>2135</v>
      </c>
      <c r="D714" t="s">
        <v>48</v>
      </c>
      <c r="E714">
        <v>2</v>
      </c>
      <c r="F714">
        <v>68.400000000000006</v>
      </c>
      <c r="G714" t="s">
        <v>2667</v>
      </c>
      <c r="H714" t="s">
        <v>76</v>
      </c>
      <c r="I714" t="s">
        <v>105</v>
      </c>
      <c r="J714" t="s">
        <v>2668</v>
      </c>
      <c r="K714">
        <v>7</v>
      </c>
      <c r="L714" t="s">
        <v>53</v>
      </c>
      <c r="M714" t="s">
        <v>54</v>
      </c>
      <c r="N714">
        <v>136.80000000000001</v>
      </c>
    </row>
    <row r="715" spans="1:14" x14ac:dyDescent="0.3">
      <c r="A715" t="s">
        <v>2669</v>
      </c>
      <c r="B715" s="8">
        <v>45829</v>
      </c>
      <c r="C715" t="s">
        <v>2670</v>
      </c>
      <c r="D715" t="s">
        <v>48</v>
      </c>
      <c r="E715">
        <v>4</v>
      </c>
      <c r="F715">
        <v>532.49</v>
      </c>
      <c r="G715" t="s">
        <v>2573</v>
      </c>
      <c r="H715" t="s">
        <v>43</v>
      </c>
      <c r="I715" t="s">
        <v>51</v>
      </c>
      <c r="J715" t="s">
        <v>2671</v>
      </c>
      <c r="K715">
        <v>6</v>
      </c>
      <c r="L715" t="s">
        <v>37</v>
      </c>
      <c r="M715" t="s">
        <v>61</v>
      </c>
      <c r="N715">
        <v>2129.96</v>
      </c>
    </row>
    <row r="716" spans="1:14" x14ac:dyDescent="0.3">
      <c r="A716" t="s">
        <v>2672</v>
      </c>
      <c r="B716" s="8">
        <v>45037</v>
      </c>
      <c r="C716" t="s">
        <v>2673</v>
      </c>
      <c r="D716" t="s">
        <v>74</v>
      </c>
      <c r="E716">
        <v>1</v>
      </c>
      <c r="F716">
        <v>51.73</v>
      </c>
      <c r="G716" t="s">
        <v>1192</v>
      </c>
      <c r="H716" t="s">
        <v>34</v>
      </c>
      <c r="I716" t="s">
        <v>105</v>
      </c>
      <c r="J716" t="s">
        <v>2674</v>
      </c>
      <c r="K716">
        <v>1</v>
      </c>
      <c r="L716" t="s">
        <v>53</v>
      </c>
      <c r="M716" t="s">
        <v>61</v>
      </c>
      <c r="N716">
        <v>51.73</v>
      </c>
    </row>
    <row r="717" spans="1:14" x14ac:dyDescent="0.3">
      <c r="A717" t="s">
        <v>2675</v>
      </c>
      <c r="B717" s="8">
        <v>45499</v>
      </c>
      <c r="C717" t="s">
        <v>2676</v>
      </c>
      <c r="D717" t="s">
        <v>64</v>
      </c>
      <c r="E717">
        <v>3</v>
      </c>
      <c r="F717">
        <v>653.63</v>
      </c>
      <c r="G717" t="s">
        <v>2677</v>
      </c>
      <c r="H717" t="s">
        <v>43</v>
      </c>
      <c r="I717" t="s">
        <v>66</v>
      </c>
      <c r="J717" t="s">
        <v>2678</v>
      </c>
      <c r="K717">
        <v>7</v>
      </c>
      <c r="L717" t="s">
        <v>53</v>
      </c>
      <c r="M717" t="s">
        <v>54</v>
      </c>
      <c r="N717">
        <v>1960.89</v>
      </c>
    </row>
    <row r="718" spans="1:14" x14ac:dyDescent="0.3">
      <c r="A718" t="s">
        <v>2679</v>
      </c>
      <c r="B718" s="8">
        <v>45456</v>
      </c>
      <c r="C718" t="s">
        <v>2680</v>
      </c>
      <c r="D718" t="s">
        <v>57</v>
      </c>
      <c r="E718">
        <v>3</v>
      </c>
      <c r="F718">
        <v>454.29</v>
      </c>
      <c r="G718" t="s">
        <v>129</v>
      </c>
      <c r="H718" t="s">
        <v>50</v>
      </c>
      <c r="I718" t="s">
        <v>105</v>
      </c>
      <c r="J718" t="s">
        <v>2681</v>
      </c>
      <c r="K718">
        <v>4</v>
      </c>
      <c r="L718" t="s">
        <v>97</v>
      </c>
      <c r="M718" t="s">
        <v>92</v>
      </c>
      <c r="N718">
        <v>1362.87</v>
      </c>
    </row>
    <row r="719" spans="1:14" x14ac:dyDescent="0.3">
      <c r="A719" t="s">
        <v>2682</v>
      </c>
      <c r="B719" s="8">
        <v>45215</v>
      </c>
      <c r="C719" t="s">
        <v>2683</v>
      </c>
      <c r="D719" t="s">
        <v>57</v>
      </c>
      <c r="E719">
        <v>3</v>
      </c>
      <c r="F719">
        <v>122.11</v>
      </c>
      <c r="G719" t="s">
        <v>2684</v>
      </c>
      <c r="H719" t="s">
        <v>43</v>
      </c>
      <c r="I719" t="s">
        <v>66</v>
      </c>
      <c r="J719" t="s">
        <v>2685</v>
      </c>
      <c r="K719">
        <v>4</v>
      </c>
      <c r="L719" t="s">
        <v>97</v>
      </c>
      <c r="M719" t="s">
        <v>54</v>
      </c>
      <c r="N719">
        <v>366.33</v>
      </c>
    </row>
    <row r="720" spans="1:14" x14ac:dyDescent="0.3">
      <c r="A720" t="s">
        <v>2686</v>
      </c>
      <c r="B720" s="8">
        <v>45024</v>
      </c>
      <c r="C720" t="s">
        <v>2687</v>
      </c>
      <c r="D720" t="s">
        <v>74</v>
      </c>
      <c r="E720">
        <v>4</v>
      </c>
      <c r="F720">
        <v>64.739999999999995</v>
      </c>
      <c r="G720" t="s">
        <v>2688</v>
      </c>
      <c r="H720" t="s">
        <v>76</v>
      </c>
      <c r="I720" t="s">
        <v>51</v>
      </c>
      <c r="J720" t="s">
        <v>2689</v>
      </c>
      <c r="K720">
        <v>8</v>
      </c>
      <c r="L720" t="s">
        <v>37</v>
      </c>
      <c r="M720" t="s">
        <v>92</v>
      </c>
      <c r="N720">
        <v>258.95999999999998</v>
      </c>
    </row>
    <row r="721" spans="1:14" x14ac:dyDescent="0.3">
      <c r="A721" t="s">
        <v>2690</v>
      </c>
      <c r="B721" s="8">
        <v>45312</v>
      </c>
      <c r="C721" t="s">
        <v>2691</v>
      </c>
      <c r="D721" t="s">
        <v>74</v>
      </c>
      <c r="E721">
        <v>2</v>
      </c>
      <c r="F721">
        <v>681.06</v>
      </c>
      <c r="G721" t="s">
        <v>2692</v>
      </c>
      <c r="H721" t="s">
        <v>34</v>
      </c>
      <c r="I721" t="s">
        <v>35</v>
      </c>
      <c r="J721" t="s">
        <v>2693</v>
      </c>
      <c r="K721">
        <v>3</v>
      </c>
      <c r="L721" t="s">
        <v>53</v>
      </c>
      <c r="M721" t="s">
        <v>61</v>
      </c>
      <c r="N721">
        <v>1362.12</v>
      </c>
    </row>
    <row r="722" spans="1:14" x14ac:dyDescent="0.3">
      <c r="A722" t="s">
        <v>2694</v>
      </c>
      <c r="B722" s="8">
        <v>45190</v>
      </c>
      <c r="C722" t="s">
        <v>2695</v>
      </c>
      <c r="D722" t="s">
        <v>89</v>
      </c>
      <c r="E722">
        <v>5</v>
      </c>
      <c r="F722">
        <v>128.94999999999999</v>
      </c>
      <c r="G722" t="s">
        <v>2696</v>
      </c>
      <c r="H722" t="s">
        <v>81</v>
      </c>
      <c r="I722" t="s">
        <v>105</v>
      </c>
      <c r="J722" t="s">
        <v>2697</v>
      </c>
      <c r="K722">
        <v>10</v>
      </c>
      <c r="L722" t="s">
        <v>53</v>
      </c>
      <c r="M722" t="s">
        <v>38</v>
      </c>
      <c r="N722">
        <v>644.75</v>
      </c>
    </row>
    <row r="723" spans="1:14" x14ac:dyDescent="0.3">
      <c r="A723" t="s">
        <v>2698</v>
      </c>
      <c r="B723" s="8">
        <v>45369</v>
      </c>
      <c r="C723" t="s">
        <v>2699</v>
      </c>
      <c r="D723" t="s">
        <v>89</v>
      </c>
      <c r="E723">
        <v>2</v>
      </c>
      <c r="F723">
        <v>118.59</v>
      </c>
      <c r="G723" t="s">
        <v>2700</v>
      </c>
      <c r="H723" t="s">
        <v>50</v>
      </c>
      <c r="I723" t="s">
        <v>66</v>
      </c>
      <c r="J723" t="s">
        <v>2701</v>
      </c>
      <c r="K723">
        <v>2</v>
      </c>
      <c r="M723" t="s">
        <v>54</v>
      </c>
      <c r="N723">
        <v>237.18</v>
      </c>
    </row>
    <row r="724" spans="1:14" x14ac:dyDescent="0.3">
      <c r="A724" t="s">
        <v>2702</v>
      </c>
      <c r="B724" s="8">
        <v>45611</v>
      </c>
      <c r="C724" t="s">
        <v>2703</v>
      </c>
      <c r="D724" t="s">
        <v>64</v>
      </c>
      <c r="E724">
        <v>1</v>
      </c>
      <c r="F724">
        <v>95.1</v>
      </c>
      <c r="G724" t="s">
        <v>1153</v>
      </c>
      <c r="H724" t="s">
        <v>76</v>
      </c>
      <c r="I724" t="s">
        <v>105</v>
      </c>
      <c r="J724" t="s">
        <v>2704</v>
      </c>
      <c r="K724">
        <v>1</v>
      </c>
      <c r="L724" t="s">
        <v>97</v>
      </c>
      <c r="M724" t="s">
        <v>38</v>
      </c>
      <c r="N724">
        <v>95.1</v>
      </c>
    </row>
    <row r="725" spans="1:14" x14ac:dyDescent="0.3">
      <c r="A725" t="s">
        <v>2705</v>
      </c>
      <c r="B725" s="8">
        <v>45269</v>
      </c>
      <c r="C725" t="s">
        <v>2706</v>
      </c>
      <c r="D725" t="s">
        <v>89</v>
      </c>
      <c r="E725">
        <v>3</v>
      </c>
      <c r="F725">
        <v>54.95</v>
      </c>
      <c r="G725" t="s">
        <v>313</v>
      </c>
      <c r="H725" t="s">
        <v>81</v>
      </c>
      <c r="I725" t="s">
        <v>59</v>
      </c>
      <c r="J725" t="s">
        <v>2707</v>
      </c>
      <c r="K725">
        <v>8</v>
      </c>
      <c r="L725" t="s">
        <v>37</v>
      </c>
      <c r="M725" t="s">
        <v>45</v>
      </c>
      <c r="N725">
        <v>164.85</v>
      </c>
    </row>
    <row r="726" spans="1:14" x14ac:dyDescent="0.3">
      <c r="A726" t="s">
        <v>2708</v>
      </c>
      <c r="B726" s="8">
        <v>45583</v>
      </c>
      <c r="C726" t="s">
        <v>2709</v>
      </c>
      <c r="D726" t="s">
        <v>64</v>
      </c>
      <c r="E726">
        <v>3</v>
      </c>
      <c r="F726">
        <v>136.97</v>
      </c>
      <c r="G726" t="s">
        <v>1226</v>
      </c>
      <c r="H726" t="s">
        <v>50</v>
      </c>
      <c r="I726" t="s">
        <v>59</v>
      </c>
      <c r="J726" t="s">
        <v>2710</v>
      </c>
      <c r="K726">
        <v>4</v>
      </c>
      <c r="L726" t="s">
        <v>53</v>
      </c>
      <c r="M726" t="s">
        <v>45</v>
      </c>
      <c r="N726">
        <v>410.91</v>
      </c>
    </row>
    <row r="727" spans="1:14" x14ac:dyDescent="0.3">
      <c r="A727" t="s">
        <v>2711</v>
      </c>
      <c r="B727" s="8">
        <v>44997</v>
      </c>
      <c r="C727" t="s">
        <v>2712</v>
      </c>
      <c r="D727" t="s">
        <v>57</v>
      </c>
      <c r="E727">
        <v>2</v>
      </c>
      <c r="F727">
        <v>194.85</v>
      </c>
      <c r="G727" t="s">
        <v>1913</v>
      </c>
      <c r="H727" t="s">
        <v>76</v>
      </c>
      <c r="I727" t="s">
        <v>59</v>
      </c>
      <c r="J727" t="s">
        <v>2713</v>
      </c>
      <c r="K727">
        <v>5</v>
      </c>
      <c r="M727" t="s">
        <v>45</v>
      </c>
      <c r="N727">
        <v>389.7</v>
      </c>
    </row>
    <row r="728" spans="1:14" x14ac:dyDescent="0.3">
      <c r="A728" t="s">
        <v>2714</v>
      </c>
      <c r="B728" s="8">
        <v>45590</v>
      </c>
      <c r="C728" t="s">
        <v>2715</v>
      </c>
      <c r="D728" t="s">
        <v>74</v>
      </c>
      <c r="E728">
        <v>4</v>
      </c>
      <c r="F728">
        <v>583.02</v>
      </c>
      <c r="G728" t="s">
        <v>2716</v>
      </c>
      <c r="H728" t="s">
        <v>43</v>
      </c>
      <c r="I728" t="s">
        <v>66</v>
      </c>
      <c r="J728" t="s">
        <v>2717</v>
      </c>
      <c r="K728">
        <v>4</v>
      </c>
      <c r="L728" t="s">
        <v>53</v>
      </c>
      <c r="M728" t="s">
        <v>61</v>
      </c>
      <c r="N728">
        <v>2332.08</v>
      </c>
    </row>
    <row r="729" spans="1:14" x14ac:dyDescent="0.3">
      <c r="A729" t="s">
        <v>2718</v>
      </c>
      <c r="B729" s="8">
        <v>45564</v>
      </c>
      <c r="C729" t="s">
        <v>2719</v>
      </c>
      <c r="D729" t="s">
        <v>57</v>
      </c>
      <c r="E729">
        <v>5</v>
      </c>
      <c r="F729">
        <v>95.75</v>
      </c>
      <c r="G729" t="s">
        <v>1676</v>
      </c>
      <c r="H729" t="s">
        <v>43</v>
      </c>
      <c r="I729" t="s">
        <v>35</v>
      </c>
      <c r="J729" t="s">
        <v>2720</v>
      </c>
      <c r="K729">
        <v>8</v>
      </c>
      <c r="L729" t="s">
        <v>37</v>
      </c>
      <c r="M729" t="s">
        <v>38</v>
      </c>
      <c r="N729">
        <v>478.75</v>
      </c>
    </row>
    <row r="730" spans="1:14" x14ac:dyDescent="0.3">
      <c r="A730" t="s">
        <v>2721</v>
      </c>
      <c r="B730" s="8">
        <v>45502</v>
      </c>
      <c r="C730" t="s">
        <v>2722</v>
      </c>
      <c r="D730" t="s">
        <v>89</v>
      </c>
      <c r="E730">
        <v>4</v>
      </c>
      <c r="F730">
        <v>325.76</v>
      </c>
      <c r="G730" t="s">
        <v>2723</v>
      </c>
      <c r="H730" t="s">
        <v>76</v>
      </c>
      <c r="I730" t="s">
        <v>35</v>
      </c>
      <c r="J730" t="s">
        <v>2724</v>
      </c>
      <c r="K730">
        <v>8</v>
      </c>
      <c r="L730" t="s">
        <v>97</v>
      </c>
      <c r="M730" t="s">
        <v>54</v>
      </c>
      <c r="N730">
        <v>1303.04</v>
      </c>
    </row>
    <row r="731" spans="1:14" x14ac:dyDescent="0.3">
      <c r="A731" t="s">
        <v>2725</v>
      </c>
      <c r="B731" s="8">
        <v>45177</v>
      </c>
      <c r="C731" t="s">
        <v>2726</v>
      </c>
      <c r="D731" t="s">
        <v>41</v>
      </c>
      <c r="E731">
        <v>4</v>
      </c>
      <c r="F731">
        <v>186.41</v>
      </c>
      <c r="G731" t="s">
        <v>679</v>
      </c>
      <c r="H731" t="s">
        <v>76</v>
      </c>
      <c r="I731" t="s">
        <v>105</v>
      </c>
      <c r="J731" t="s">
        <v>2727</v>
      </c>
      <c r="K731">
        <v>6</v>
      </c>
      <c r="L731" t="s">
        <v>37</v>
      </c>
      <c r="M731" t="s">
        <v>92</v>
      </c>
      <c r="N731">
        <v>745.64</v>
      </c>
    </row>
    <row r="732" spans="1:14" x14ac:dyDescent="0.3">
      <c r="A732" t="s">
        <v>2728</v>
      </c>
      <c r="B732" s="8">
        <v>45710</v>
      </c>
      <c r="C732" t="s">
        <v>2729</v>
      </c>
      <c r="D732" t="s">
        <v>41</v>
      </c>
      <c r="E732">
        <v>1</v>
      </c>
      <c r="F732">
        <v>474.6</v>
      </c>
      <c r="G732" t="s">
        <v>988</v>
      </c>
      <c r="H732" t="s">
        <v>34</v>
      </c>
      <c r="I732" t="s">
        <v>66</v>
      </c>
      <c r="J732" t="s">
        <v>2730</v>
      </c>
      <c r="K732">
        <v>4</v>
      </c>
      <c r="L732" t="s">
        <v>37</v>
      </c>
      <c r="M732" t="s">
        <v>54</v>
      </c>
      <c r="N732">
        <v>474.6</v>
      </c>
    </row>
    <row r="733" spans="1:14" x14ac:dyDescent="0.3">
      <c r="A733" t="s">
        <v>2731</v>
      </c>
      <c r="B733" s="8">
        <v>45450</v>
      </c>
      <c r="C733" t="s">
        <v>2732</v>
      </c>
      <c r="D733" t="s">
        <v>64</v>
      </c>
      <c r="E733">
        <v>5</v>
      </c>
      <c r="F733">
        <v>584.46</v>
      </c>
      <c r="G733" t="s">
        <v>2733</v>
      </c>
      <c r="H733" t="s">
        <v>50</v>
      </c>
      <c r="I733" t="s">
        <v>59</v>
      </c>
      <c r="J733" t="s">
        <v>2734</v>
      </c>
      <c r="K733">
        <v>8</v>
      </c>
      <c r="M733" t="s">
        <v>54</v>
      </c>
      <c r="N733">
        <v>2922.3</v>
      </c>
    </row>
    <row r="734" spans="1:14" x14ac:dyDescent="0.3">
      <c r="A734" t="s">
        <v>2735</v>
      </c>
      <c r="B734" s="8">
        <v>45723</v>
      </c>
      <c r="C734" t="s">
        <v>2736</v>
      </c>
      <c r="D734" t="s">
        <v>74</v>
      </c>
      <c r="E734">
        <v>1</v>
      </c>
      <c r="F734">
        <v>132.05000000000001</v>
      </c>
      <c r="G734" t="s">
        <v>2588</v>
      </c>
      <c r="H734" t="s">
        <v>43</v>
      </c>
      <c r="I734" t="s">
        <v>66</v>
      </c>
      <c r="J734" t="s">
        <v>2737</v>
      </c>
      <c r="K734">
        <v>2</v>
      </c>
      <c r="M734" t="s">
        <v>92</v>
      </c>
      <c r="N734">
        <v>132.05000000000001</v>
      </c>
    </row>
    <row r="735" spans="1:14" x14ac:dyDescent="0.3">
      <c r="A735" t="s">
        <v>2738</v>
      </c>
      <c r="B735" s="8">
        <v>45264</v>
      </c>
      <c r="C735" t="s">
        <v>2739</v>
      </c>
      <c r="D735" t="s">
        <v>48</v>
      </c>
      <c r="E735">
        <v>4</v>
      </c>
      <c r="F735">
        <v>494.84</v>
      </c>
      <c r="G735" t="s">
        <v>2554</v>
      </c>
      <c r="H735" t="s">
        <v>81</v>
      </c>
      <c r="I735" t="s">
        <v>59</v>
      </c>
      <c r="J735" t="s">
        <v>2740</v>
      </c>
      <c r="K735">
        <v>8</v>
      </c>
      <c r="L735" t="s">
        <v>37</v>
      </c>
      <c r="M735" t="s">
        <v>54</v>
      </c>
      <c r="N735">
        <v>1979.36</v>
      </c>
    </row>
    <row r="736" spans="1:14" x14ac:dyDescent="0.3">
      <c r="A736" t="s">
        <v>2741</v>
      </c>
      <c r="B736" s="8">
        <v>45314</v>
      </c>
      <c r="C736" t="s">
        <v>2742</v>
      </c>
      <c r="D736" t="s">
        <v>64</v>
      </c>
      <c r="E736">
        <v>4</v>
      </c>
      <c r="F736">
        <v>224.61</v>
      </c>
      <c r="G736" t="s">
        <v>1163</v>
      </c>
      <c r="H736" t="s">
        <v>50</v>
      </c>
      <c r="I736" t="s">
        <v>59</v>
      </c>
      <c r="J736" t="s">
        <v>2743</v>
      </c>
      <c r="K736">
        <v>6</v>
      </c>
      <c r="L736" t="s">
        <v>97</v>
      </c>
      <c r="M736" t="s">
        <v>61</v>
      </c>
      <c r="N736">
        <v>898.44</v>
      </c>
    </row>
    <row r="737" spans="1:14" x14ac:dyDescent="0.3">
      <c r="A737" t="s">
        <v>2744</v>
      </c>
      <c r="B737" s="8">
        <v>45471</v>
      </c>
      <c r="C737" t="s">
        <v>2745</v>
      </c>
      <c r="D737" t="s">
        <v>32</v>
      </c>
      <c r="E737">
        <v>4</v>
      </c>
      <c r="F737">
        <v>44.07</v>
      </c>
      <c r="G737" t="s">
        <v>1558</v>
      </c>
      <c r="H737" t="s">
        <v>34</v>
      </c>
      <c r="I737" t="s">
        <v>105</v>
      </c>
      <c r="J737" t="s">
        <v>2746</v>
      </c>
      <c r="K737">
        <v>6</v>
      </c>
      <c r="M737" t="s">
        <v>54</v>
      </c>
      <c r="N737">
        <v>176.28</v>
      </c>
    </row>
    <row r="738" spans="1:14" x14ac:dyDescent="0.3">
      <c r="A738" t="s">
        <v>2747</v>
      </c>
      <c r="B738" s="8">
        <v>45331</v>
      </c>
      <c r="C738" t="s">
        <v>2748</v>
      </c>
      <c r="D738" t="s">
        <v>32</v>
      </c>
      <c r="E738">
        <v>5</v>
      </c>
      <c r="F738">
        <v>418.53</v>
      </c>
      <c r="G738" t="s">
        <v>1961</v>
      </c>
      <c r="H738" t="s">
        <v>50</v>
      </c>
      <c r="I738" t="s">
        <v>105</v>
      </c>
      <c r="J738" t="s">
        <v>2749</v>
      </c>
      <c r="K738">
        <v>6</v>
      </c>
      <c r="L738" t="s">
        <v>53</v>
      </c>
      <c r="M738" t="s">
        <v>92</v>
      </c>
      <c r="N738">
        <v>2092.65</v>
      </c>
    </row>
    <row r="739" spans="1:14" x14ac:dyDescent="0.3">
      <c r="A739" t="s">
        <v>2750</v>
      </c>
      <c r="B739" s="8">
        <v>45294</v>
      </c>
      <c r="C739" t="s">
        <v>2751</v>
      </c>
      <c r="D739" t="s">
        <v>41</v>
      </c>
      <c r="E739">
        <v>4</v>
      </c>
      <c r="F739">
        <v>532.87</v>
      </c>
      <c r="G739" t="s">
        <v>2752</v>
      </c>
      <c r="H739" t="s">
        <v>81</v>
      </c>
      <c r="I739" t="s">
        <v>105</v>
      </c>
      <c r="J739" t="s">
        <v>2753</v>
      </c>
      <c r="K739">
        <v>9</v>
      </c>
      <c r="L739" t="s">
        <v>53</v>
      </c>
      <c r="M739" t="s">
        <v>38</v>
      </c>
      <c r="N739">
        <v>2131.48</v>
      </c>
    </row>
    <row r="740" spans="1:14" x14ac:dyDescent="0.3">
      <c r="A740" t="s">
        <v>2754</v>
      </c>
      <c r="B740" s="8">
        <v>45812</v>
      </c>
      <c r="C740" t="s">
        <v>2755</v>
      </c>
      <c r="D740" t="s">
        <v>41</v>
      </c>
      <c r="E740">
        <v>2</v>
      </c>
      <c r="F740">
        <v>485.37</v>
      </c>
      <c r="G740" t="s">
        <v>2756</v>
      </c>
      <c r="H740" t="s">
        <v>50</v>
      </c>
      <c r="I740" t="s">
        <v>35</v>
      </c>
      <c r="J740" t="s">
        <v>2757</v>
      </c>
      <c r="K740">
        <v>5</v>
      </c>
      <c r="L740" t="s">
        <v>37</v>
      </c>
      <c r="M740" t="s">
        <v>54</v>
      </c>
      <c r="N740">
        <v>970.74</v>
      </c>
    </row>
    <row r="741" spans="1:14" x14ac:dyDescent="0.3">
      <c r="A741" t="s">
        <v>2758</v>
      </c>
      <c r="B741" s="8">
        <v>45456</v>
      </c>
      <c r="C741" t="s">
        <v>2759</v>
      </c>
      <c r="D741" t="s">
        <v>41</v>
      </c>
      <c r="E741">
        <v>4</v>
      </c>
      <c r="F741">
        <v>386.73</v>
      </c>
      <c r="G741" t="s">
        <v>569</v>
      </c>
      <c r="H741" t="s">
        <v>81</v>
      </c>
      <c r="I741" t="s">
        <v>66</v>
      </c>
      <c r="J741" t="s">
        <v>2760</v>
      </c>
      <c r="K741">
        <v>4</v>
      </c>
      <c r="L741" t="s">
        <v>37</v>
      </c>
      <c r="M741" t="s">
        <v>61</v>
      </c>
      <c r="N741">
        <v>1546.92</v>
      </c>
    </row>
    <row r="742" spans="1:14" x14ac:dyDescent="0.3">
      <c r="A742" t="s">
        <v>2761</v>
      </c>
      <c r="B742" s="8">
        <v>45493</v>
      </c>
      <c r="C742" t="s">
        <v>2762</v>
      </c>
      <c r="D742" t="s">
        <v>89</v>
      </c>
      <c r="E742">
        <v>2</v>
      </c>
      <c r="F742">
        <v>377.47</v>
      </c>
      <c r="G742" t="s">
        <v>1686</v>
      </c>
      <c r="H742" t="s">
        <v>81</v>
      </c>
      <c r="I742" t="s">
        <v>105</v>
      </c>
      <c r="J742" t="s">
        <v>2763</v>
      </c>
      <c r="K742">
        <v>7</v>
      </c>
      <c r="M742" t="s">
        <v>92</v>
      </c>
      <c r="N742">
        <v>754.94</v>
      </c>
    </row>
    <row r="743" spans="1:14" x14ac:dyDescent="0.3">
      <c r="A743" t="s">
        <v>2764</v>
      </c>
      <c r="B743" s="8">
        <v>45680</v>
      </c>
      <c r="C743" t="s">
        <v>2765</v>
      </c>
      <c r="D743" t="s">
        <v>32</v>
      </c>
      <c r="E743">
        <v>5</v>
      </c>
      <c r="F743">
        <v>332.64</v>
      </c>
      <c r="G743" t="s">
        <v>2766</v>
      </c>
      <c r="H743" t="s">
        <v>76</v>
      </c>
      <c r="I743" t="s">
        <v>66</v>
      </c>
      <c r="J743" t="s">
        <v>2767</v>
      </c>
      <c r="K743">
        <v>10</v>
      </c>
      <c r="M743" t="s">
        <v>45</v>
      </c>
      <c r="N743">
        <v>1663.2</v>
      </c>
    </row>
    <row r="744" spans="1:14" x14ac:dyDescent="0.3">
      <c r="A744" t="s">
        <v>2768</v>
      </c>
      <c r="B744" s="8">
        <v>45626</v>
      </c>
      <c r="C744" t="s">
        <v>2769</v>
      </c>
      <c r="D744" t="s">
        <v>74</v>
      </c>
      <c r="E744">
        <v>3</v>
      </c>
      <c r="F744">
        <v>699.93</v>
      </c>
      <c r="G744" t="s">
        <v>1214</v>
      </c>
      <c r="H744" t="s">
        <v>81</v>
      </c>
      <c r="I744" t="s">
        <v>59</v>
      </c>
      <c r="J744" t="s">
        <v>2770</v>
      </c>
      <c r="K744">
        <v>7</v>
      </c>
      <c r="L744" t="s">
        <v>37</v>
      </c>
      <c r="M744" t="s">
        <v>92</v>
      </c>
      <c r="N744">
        <v>2099.79</v>
      </c>
    </row>
    <row r="745" spans="1:14" x14ac:dyDescent="0.3">
      <c r="A745" t="s">
        <v>2771</v>
      </c>
      <c r="B745" s="8">
        <v>45565</v>
      </c>
      <c r="C745" t="s">
        <v>2772</v>
      </c>
      <c r="D745" t="s">
        <v>32</v>
      </c>
      <c r="E745">
        <v>1</v>
      </c>
      <c r="F745">
        <v>576.35</v>
      </c>
      <c r="G745" t="s">
        <v>209</v>
      </c>
      <c r="H745" t="s">
        <v>76</v>
      </c>
      <c r="I745" t="s">
        <v>59</v>
      </c>
      <c r="J745" t="s">
        <v>2773</v>
      </c>
      <c r="K745">
        <v>1</v>
      </c>
      <c r="L745" t="s">
        <v>97</v>
      </c>
      <c r="M745" t="s">
        <v>38</v>
      </c>
      <c r="N745">
        <v>576.35</v>
      </c>
    </row>
    <row r="746" spans="1:14" x14ac:dyDescent="0.3">
      <c r="A746" t="s">
        <v>2774</v>
      </c>
      <c r="B746" s="8">
        <v>45455</v>
      </c>
      <c r="C746" t="s">
        <v>2775</v>
      </c>
      <c r="D746" t="s">
        <v>48</v>
      </c>
      <c r="E746">
        <v>2</v>
      </c>
      <c r="F746">
        <v>461.37</v>
      </c>
      <c r="G746" t="s">
        <v>2776</v>
      </c>
      <c r="H746" t="s">
        <v>81</v>
      </c>
      <c r="I746" t="s">
        <v>66</v>
      </c>
      <c r="J746" t="s">
        <v>2777</v>
      </c>
      <c r="K746">
        <v>5</v>
      </c>
      <c r="L746" t="s">
        <v>37</v>
      </c>
      <c r="M746" t="s">
        <v>92</v>
      </c>
      <c r="N746">
        <v>922.74</v>
      </c>
    </row>
    <row r="747" spans="1:14" x14ac:dyDescent="0.3">
      <c r="A747" t="s">
        <v>2778</v>
      </c>
      <c r="B747" s="8">
        <v>44987</v>
      </c>
      <c r="C747" t="s">
        <v>2779</v>
      </c>
      <c r="D747" t="s">
        <v>64</v>
      </c>
      <c r="E747">
        <v>4</v>
      </c>
      <c r="F747">
        <v>111.3</v>
      </c>
      <c r="G747" t="s">
        <v>2780</v>
      </c>
      <c r="H747" t="s">
        <v>34</v>
      </c>
      <c r="I747" t="s">
        <v>105</v>
      </c>
      <c r="J747" t="s">
        <v>2781</v>
      </c>
      <c r="K747">
        <v>7</v>
      </c>
      <c r="L747" t="s">
        <v>53</v>
      </c>
      <c r="M747" t="s">
        <v>54</v>
      </c>
      <c r="N747">
        <v>445.2</v>
      </c>
    </row>
    <row r="748" spans="1:14" x14ac:dyDescent="0.3">
      <c r="A748" t="s">
        <v>2782</v>
      </c>
      <c r="B748" s="8">
        <v>45712</v>
      </c>
      <c r="C748" t="s">
        <v>2783</v>
      </c>
      <c r="D748" t="s">
        <v>89</v>
      </c>
      <c r="E748">
        <v>3</v>
      </c>
      <c r="F748">
        <v>661.89</v>
      </c>
      <c r="G748" t="s">
        <v>2784</v>
      </c>
      <c r="H748" t="s">
        <v>43</v>
      </c>
      <c r="I748" t="s">
        <v>51</v>
      </c>
      <c r="J748" t="s">
        <v>2785</v>
      </c>
      <c r="K748">
        <v>6</v>
      </c>
      <c r="L748" t="s">
        <v>97</v>
      </c>
      <c r="M748" t="s">
        <v>45</v>
      </c>
      <c r="N748">
        <v>1985.67</v>
      </c>
    </row>
    <row r="749" spans="1:14" x14ac:dyDescent="0.3">
      <c r="A749" t="s">
        <v>2786</v>
      </c>
      <c r="B749" s="8">
        <v>45728</v>
      </c>
      <c r="C749" t="s">
        <v>2787</v>
      </c>
      <c r="D749" t="s">
        <v>48</v>
      </c>
      <c r="E749">
        <v>2</v>
      </c>
      <c r="F749">
        <v>259.58</v>
      </c>
      <c r="G749" t="s">
        <v>2788</v>
      </c>
      <c r="H749" t="s">
        <v>34</v>
      </c>
      <c r="I749" t="s">
        <v>66</v>
      </c>
      <c r="J749" t="s">
        <v>2789</v>
      </c>
      <c r="K749">
        <v>7</v>
      </c>
      <c r="L749" t="s">
        <v>53</v>
      </c>
      <c r="M749" t="s">
        <v>38</v>
      </c>
      <c r="N749">
        <v>519.16</v>
      </c>
    </row>
    <row r="750" spans="1:14" x14ac:dyDescent="0.3">
      <c r="A750" t="s">
        <v>2790</v>
      </c>
      <c r="B750" s="8">
        <v>45488</v>
      </c>
      <c r="C750" t="s">
        <v>2791</v>
      </c>
      <c r="D750" t="s">
        <v>48</v>
      </c>
      <c r="E750">
        <v>3</v>
      </c>
      <c r="F750">
        <v>70.81</v>
      </c>
      <c r="G750" t="s">
        <v>1924</v>
      </c>
      <c r="H750" t="s">
        <v>50</v>
      </c>
      <c r="I750" t="s">
        <v>35</v>
      </c>
      <c r="J750" t="s">
        <v>2792</v>
      </c>
      <c r="K750">
        <v>8</v>
      </c>
      <c r="L750" t="s">
        <v>53</v>
      </c>
      <c r="M750" t="s">
        <v>45</v>
      </c>
      <c r="N750">
        <v>212.43</v>
      </c>
    </row>
    <row r="751" spans="1:14" x14ac:dyDescent="0.3">
      <c r="A751" t="s">
        <v>2793</v>
      </c>
      <c r="B751" s="8">
        <v>45760</v>
      </c>
      <c r="C751" t="s">
        <v>2794</v>
      </c>
      <c r="D751" t="s">
        <v>74</v>
      </c>
      <c r="E751">
        <v>1</v>
      </c>
      <c r="F751">
        <v>518.39</v>
      </c>
      <c r="G751" t="s">
        <v>2795</v>
      </c>
      <c r="H751" t="s">
        <v>34</v>
      </c>
      <c r="I751" t="s">
        <v>105</v>
      </c>
      <c r="J751" t="s">
        <v>2796</v>
      </c>
      <c r="K751">
        <v>4</v>
      </c>
      <c r="L751" t="s">
        <v>53</v>
      </c>
      <c r="M751" t="s">
        <v>38</v>
      </c>
      <c r="N751">
        <v>518.39</v>
      </c>
    </row>
    <row r="752" spans="1:14" x14ac:dyDescent="0.3">
      <c r="A752" t="s">
        <v>2797</v>
      </c>
      <c r="B752" s="8">
        <v>44940</v>
      </c>
      <c r="C752" t="s">
        <v>2798</v>
      </c>
      <c r="D752" t="s">
        <v>48</v>
      </c>
      <c r="E752">
        <v>4</v>
      </c>
      <c r="F752">
        <v>145.41</v>
      </c>
      <c r="G752" t="s">
        <v>2799</v>
      </c>
      <c r="H752" t="s">
        <v>50</v>
      </c>
      <c r="I752" t="s">
        <v>59</v>
      </c>
      <c r="J752" t="s">
        <v>2800</v>
      </c>
      <c r="K752">
        <v>7</v>
      </c>
      <c r="L752" t="s">
        <v>53</v>
      </c>
      <c r="M752" t="s">
        <v>54</v>
      </c>
      <c r="N752">
        <v>581.64</v>
      </c>
    </row>
    <row r="753" spans="1:14" x14ac:dyDescent="0.3">
      <c r="A753" t="s">
        <v>2801</v>
      </c>
      <c r="B753" s="8">
        <v>44950</v>
      </c>
      <c r="C753" t="s">
        <v>2802</v>
      </c>
      <c r="D753" t="s">
        <v>48</v>
      </c>
      <c r="E753">
        <v>2</v>
      </c>
      <c r="F753">
        <v>599.86</v>
      </c>
      <c r="G753" t="s">
        <v>2803</v>
      </c>
      <c r="H753" t="s">
        <v>76</v>
      </c>
      <c r="I753" t="s">
        <v>105</v>
      </c>
      <c r="J753" t="s">
        <v>2804</v>
      </c>
      <c r="K753">
        <v>7</v>
      </c>
      <c r="L753" t="s">
        <v>53</v>
      </c>
      <c r="M753" t="s">
        <v>61</v>
      </c>
      <c r="N753">
        <v>1199.72</v>
      </c>
    </row>
    <row r="754" spans="1:14" x14ac:dyDescent="0.3">
      <c r="A754" t="s">
        <v>2805</v>
      </c>
      <c r="B754" s="8">
        <v>45568</v>
      </c>
      <c r="C754" t="s">
        <v>2806</v>
      </c>
      <c r="D754" t="s">
        <v>41</v>
      </c>
      <c r="E754">
        <v>4</v>
      </c>
      <c r="F754">
        <v>429.37</v>
      </c>
      <c r="G754" t="s">
        <v>1129</v>
      </c>
      <c r="H754" t="s">
        <v>50</v>
      </c>
      <c r="I754" t="s">
        <v>66</v>
      </c>
      <c r="J754" t="s">
        <v>2807</v>
      </c>
      <c r="K754">
        <v>8</v>
      </c>
      <c r="L754" t="s">
        <v>53</v>
      </c>
      <c r="M754" t="s">
        <v>92</v>
      </c>
      <c r="N754">
        <v>1717.48</v>
      </c>
    </row>
    <row r="755" spans="1:14" x14ac:dyDescent="0.3">
      <c r="A755" t="s">
        <v>2808</v>
      </c>
      <c r="B755" s="8">
        <v>45406</v>
      </c>
      <c r="C755" t="s">
        <v>2809</v>
      </c>
      <c r="D755" t="s">
        <v>41</v>
      </c>
      <c r="E755">
        <v>2</v>
      </c>
      <c r="F755">
        <v>241.49</v>
      </c>
      <c r="G755" t="s">
        <v>2810</v>
      </c>
      <c r="H755" t="s">
        <v>34</v>
      </c>
      <c r="I755" t="s">
        <v>59</v>
      </c>
      <c r="J755" t="s">
        <v>2811</v>
      </c>
      <c r="K755">
        <v>7</v>
      </c>
      <c r="L755" t="s">
        <v>53</v>
      </c>
      <c r="M755" t="s">
        <v>38</v>
      </c>
      <c r="N755">
        <v>482.98</v>
      </c>
    </row>
    <row r="756" spans="1:14" x14ac:dyDescent="0.3">
      <c r="A756" t="s">
        <v>2812</v>
      </c>
      <c r="B756" s="8">
        <v>45808</v>
      </c>
      <c r="C756" t="s">
        <v>2813</v>
      </c>
      <c r="D756" t="s">
        <v>64</v>
      </c>
      <c r="E756">
        <v>2</v>
      </c>
      <c r="F756">
        <v>452.05</v>
      </c>
      <c r="G756" t="s">
        <v>2814</v>
      </c>
      <c r="H756" t="s">
        <v>50</v>
      </c>
      <c r="I756" t="s">
        <v>59</v>
      </c>
      <c r="J756" t="s">
        <v>2815</v>
      </c>
      <c r="K756">
        <v>3</v>
      </c>
      <c r="L756" t="s">
        <v>97</v>
      </c>
      <c r="M756" t="s">
        <v>54</v>
      </c>
      <c r="N756">
        <v>904.1</v>
      </c>
    </row>
    <row r="757" spans="1:14" x14ac:dyDescent="0.3">
      <c r="A757" t="s">
        <v>2816</v>
      </c>
      <c r="B757" s="8">
        <v>45090</v>
      </c>
      <c r="C757" t="s">
        <v>2817</v>
      </c>
      <c r="D757" t="s">
        <v>89</v>
      </c>
      <c r="E757">
        <v>3</v>
      </c>
      <c r="F757">
        <v>336.71</v>
      </c>
      <c r="G757" t="s">
        <v>2818</v>
      </c>
      <c r="H757" t="s">
        <v>50</v>
      </c>
      <c r="I757" t="s">
        <v>105</v>
      </c>
      <c r="J757" t="s">
        <v>2819</v>
      </c>
      <c r="K757">
        <v>4</v>
      </c>
      <c r="M757" t="s">
        <v>54</v>
      </c>
      <c r="N757">
        <v>1010.13</v>
      </c>
    </row>
    <row r="758" spans="1:14" x14ac:dyDescent="0.3">
      <c r="A758" t="s">
        <v>2820</v>
      </c>
      <c r="B758" s="8">
        <v>45470</v>
      </c>
      <c r="C758" t="s">
        <v>2821</v>
      </c>
      <c r="D758" t="s">
        <v>41</v>
      </c>
      <c r="E758">
        <v>1</v>
      </c>
      <c r="F758">
        <v>283.69</v>
      </c>
      <c r="G758" t="s">
        <v>285</v>
      </c>
      <c r="H758" t="s">
        <v>76</v>
      </c>
      <c r="I758" t="s">
        <v>35</v>
      </c>
      <c r="J758" t="s">
        <v>2822</v>
      </c>
      <c r="K758">
        <v>6</v>
      </c>
      <c r="M758" t="s">
        <v>92</v>
      </c>
      <c r="N758">
        <v>283.69</v>
      </c>
    </row>
    <row r="759" spans="1:14" x14ac:dyDescent="0.3">
      <c r="A759" t="s">
        <v>2823</v>
      </c>
      <c r="B759" s="8">
        <v>45344</v>
      </c>
      <c r="C759" t="s">
        <v>2824</v>
      </c>
      <c r="D759" t="s">
        <v>89</v>
      </c>
      <c r="E759">
        <v>1</v>
      </c>
      <c r="F759">
        <v>157.72</v>
      </c>
      <c r="G759" t="s">
        <v>795</v>
      </c>
      <c r="H759" t="s">
        <v>34</v>
      </c>
      <c r="I759" t="s">
        <v>66</v>
      </c>
      <c r="J759" t="s">
        <v>2825</v>
      </c>
      <c r="K759">
        <v>2</v>
      </c>
      <c r="L759" t="s">
        <v>53</v>
      </c>
      <c r="M759" t="s">
        <v>92</v>
      </c>
      <c r="N759">
        <v>157.72</v>
      </c>
    </row>
    <row r="760" spans="1:14" x14ac:dyDescent="0.3">
      <c r="A760" t="s">
        <v>2826</v>
      </c>
      <c r="B760" s="8">
        <v>45011</v>
      </c>
      <c r="C760" t="s">
        <v>2827</v>
      </c>
      <c r="D760" t="s">
        <v>48</v>
      </c>
      <c r="E760">
        <v>3</v>
      </c>
      <c r="F760">
        <v>624.84</v>
      </c>
      <c r="G760" t="s">
        <v>351</v>
      </c>
      <c r="H760" t="s">
        <v>50</v>
      </c>
      <c r="I760" t="s">
        <v>51</v>
      </c>
      <c r="J760" t="s">
        <v>2828</v>
      </c>
      <c r="K760">
        <v>8</v>
      </c>
      <c r="L760" t="s">
        <v>97</v>
      </c>
      <c r="M760" t="s">
        <v>61</v>
      </c>
      <c r="N760">
        <v>1874.52</v>
      </c>
    </row>
    <row r="761" spans="1:14" x14ac:dyDescent="0.3">
      <c r="A761" t="s">
        <v>2829</v>
      </c>
      <c r="B761" s="8">
        <v>45131</v>
      </c>
      <c r="C761" t="s">
        <v>2830</v>
      </c>
      <c r="D761" t="s">
        <v>89</v>
      </c>
      <c r="E761">
        <v>3</v>
      </c>
      <c r="F761">
        <v>308.01</v>
      </c>
      <c r="G761" t="s">
        <v>2831</v>
      </c>
      <c r="H761" t="s">
        <v>81</v>
      </c>
      <c r="I761" t="s">
        <v>105</v>
      </c>
      <c r="J761" t="s">
        <v>2832</v>
      </c>
      <c r="K761">
        <v>3</v>
      </c>
      <c r="L761" t="s">
        <v>53</v>
      </c>
      <c r="M761" t="s">
        <v>61</v>
      </c>
      <c r="N761">
        <v>924.03</v>
      </c>
    </row>
    <row r="762" spans="1:14" x14ac:dyDescent="0.3">
      <c r="A762" t="s">
        <v>2833</v>
      </c>
      <c r="B762" s="8">
        <v>45706</v>
      </c>
      <c r="C762" t="s">
        <v>2834</v>
      </c>
      <c r="D762" t="s">
        <v>89</v>
      </c>
      <c r="E762">
        <v>1</v>
      </c>
      <c r="F762">
        <v>39.56</v>
      </c>
      <c r="G762" t="s">
        <v>751</v>
      </c>
      <c r="H762" t="s">
        <v>34</v>
      </c>
      <c r="I762" t="s">
        <v>51</v>
      </c>
      <c r="J762" t="s">
        <v>2835</v>
      </c>
      <c r="K762">
        <v>5</v>
      </c>
      <c r="M762" t="s">
        <v>92</v>
      </c>
      <c r="N762">
        <v>39.56</v>
      </c>
    </row>
    <row r="763" spans="1:14" x14ac:dyDescent="0.3">
      <c r="A763" t="s">
        <v>2836</v>
      </c>
      <c r="B763" s="8">
        <v>45079</v>
      </c>
      <c r="C763" t="s">
        <v>2837</v>
      </c>
      <c r="D763" t="s">
        <v>89</v>
      </c>
      <c r="E763">
        <v>4</v>
      </c>
      <c r="F763">
        <v>37.76</v>
      </c>
      <c r="G763" t="s">
        <v>2838</v>
      </c>
      <c r="H763" t="s">
        <v>34</v>
      </c>
      <c r="I763" t="s">
        <v>66</v>
      </c>
      <c r="J763" t="s">
        <v>2839</v>
      </c>
      <c r="K763">
        <v>7</v>
      </c>
      <c r="M763" t="s">
        <v>92</v>
      </c>
      <c r="N763">
        <v>151.04</v>
      </c>
    </row>
    <row r="764" spans="1:14" x14ac:dyDescent="0.3">
      <c r="A764" t="s">
        <v>2840</v>
      </c>
      <c r="B764" s="8">
        <v>45552</v>
      </c>
      <c r="C764" t="s">
        <v>2841</v>
      </c>
      <c r="D764" t="s">
        <v>41</v>
      </c>
      <c r="E764">
        <v>3</v>
      </c>
      <c r="F764">
        <v>76.959999999999994</v>
      </c>
      <c r="G764" t="s">
        <v>411</v>
      </c>
      <c r="H764" t="s">
        <v>81</v>
      </c>
      <c r="I764" t="s">
        <v>59</v>
      </c>
      <c r="J764" t="s">
        <v>2842</v>
      </c>
      <c r="K764">
        <v>8</v>
      </c>
      <c r="L764" t="s">
        <v>53</v>
      </c>
      <c r="M764" t="s">
        <v>54</v>
      </c>
      <c r="N764">
        <v>230.88</v>
      </c>
    </row>
    <row r="765" spans="1:14" x14ac:dyDescent="0.3">
      <c r="A765" t="s">
        <v>2843</v>
      </c>
      <c r="B765" s="8">
        <v>45022</v>
      </c>
      <c r="C765" t="s">
        <v>2844</v>
      </c>
      <c r="D765" t="s">
        <v>74</v>
      </c>
      <c r="E765">
        <v>1</v>
      </c>
      <c r="F765">
        <v>569.96</v>
      </c>
      <c r="G765" t="s">
        <v>442</v>
      </c>
      <c r="H765" t="s">
        <v>43</v>
      </c>
      <c r="I765" t="s">
        <v>66</v>
      </c>
      <c r="J765" t="s">
        <v>2845</v>
      </c>
      <c r="K765">
        <v>4</v>
      </c>
      <c r="L765" t="s">
        <v>53</v>
      </c>
      <c r="M765" t="s">
        <v>54</v>
      </c>
      <c r="N765">
        <v>569.96</v>
      </c>
    </row>
    <row r="766" spans="1:14" x14ac:dyDescent="0.3">
      <c r="A766" t="s">
        <v>2846</v>
      </c>
      <c r="B766" s="8">
        <v>45361</v>
      </c>
      <c r="C766" t="s">
        <v>2847</v>
      </c>
      <c r="D766" t="s">
        <v>74</v>
      </c>
      <c r="E766">
        <v>5</v>
      </c>
      <c r="F766">
        <v>627.42999999999995</v>
      </c>
      <c r="G766" t="s">
        <v>731</v>
      </c>
      <c r="H766" t="s">
        <v>50</v>
      </c>
      <c r="I766" t="s">
        <v>51</v>
      </c>
      <c r="J766" t="s">
        <v>2848</v>
      </c>
      <c r="K766">
        <v>10</v>
      </c>
      <c r="L766" t="s">
        <v>53</v>
      </c>
      <c r="M766" t="s">
        <v>54</v>
      </c>
      <c r="N766">
        <v>3137.15</v>
      </c>
    </row>
    <row r="767" spans="1:14" x14ac:dyDescent="0.3">
      <c r="A767" t="s">
        <v>2849</v>
      </c>
      <c r="B767" s="8">
        <v>45205</v>
      </c>
      <c r="C767" t="s">
        <v>2850</v>
      </c>
      <c r="D767" t="s">
        <v>74</v>
      </c>
      <c r="E767">
        <v>2</v>
      </c>
      <c r="F767">
        <v>534.91</v>
      </c>
      <c r="G767" t="s">
        <v>2677</v>
      </c>
      <c r="H767" t="s">
        <v>34</v>
      </c>
      <c r="I767" t="s">
        <v>59</v>
      </c>
      <c r="J767" t="s">
        <v>2851</v>
      </c>
      <c r="K767">
        <v>5</v>
      </c>
      <c r="L767" t="s">
        <v>37</v>
      </c>
      <c r="M767" t="s">
        <v>92</v>
      </c>
      <c r="N767">
        <v>1069.82</v>
      </c>
    </row>
    <row r="768" spans="1:14" x14ac:dyDescent="0.3">
      <c r="A768" t="s">
        <v>2852</v>
      </c>
      <c r="B768" s="8">
        <v>44948</v>
      </c>
      <c r="C768" t="s">
        <v>2853</v>
      </c>
      <c r="D768" t="s">
        <v>64</v>
      </c>
      <c r="E768">
        <v>2</v>
      </c>
      <c r="F768">
        <v>278.88</v>
      </c>
      <c r="G768" t="s">
        <v>1404</v>
      </c>
      <c r="H768" t="s">
        <v>34</v>
      </c>
      <c r="I768" t="s">
        <v>105</v>
      </c>
      <c r="J768" t="s">
        <v>2854</v>
      </c>
      <c r="K768">
        <v>3</v>
      </c>
      <c r="L768" t="s">
        <v>53</v>
      </c>
      <c r="M768" t="s">
        <v>45</v>
      </c>
      <c r="N768">
        <v>557.76</v>
      </c>
    </row>
    <row r="769" spans="1:14" x14ac:dyDescent="0.3">
      <c r="A769" t="s">
        <v>2855</v>
      </c>
      <c r="B769" s="8">
        <v>45765</v>
      </c>
      <c r="C769" t="s">
        <v>2856</v>
      </c>
      <c r="D769" t="s">
        <v>48</v>
      </c>
      <c r="E769">
        <v>2</v>
      </c>
      <c r="F769">
        <v>323.22000000000003</v>
      </c>
      <c r="G769" t="s">
        <v>2857</v>
      </c>
      <c r="H769" t="s">
        <v>50</v>
      </c>
      <c r="I769" t="s">
        <v>66</v>
      </c>
      <c r="J769" t="s">
        <v>2858</v>
      </c>
      <c r="K769">
        <v>7</v>
      </c>
      <c r="M769" t="s">
        <v>38</v>
      </c>
      <c r="N769">
        <v>646.44000000000005</v>
      </c>
    </row>
    <row r="770" spans="1:14" x14ac:dyDescent="0.3">
      <c r="A770" t="s">
        <v>2859</v>
      </c>
      <c r="B770" s="8">
        <v>45173</v>
      </c>
      <c r="C770" t="s">
        <v>2860</v>
      </c>
      <c r="D770" t="s">
        <v>48</v>
      </c>
      <c r="E770">
        <v>5</v>
      </c>
      <c r="F770">
        <v>653.46</v>
      </c>
      <c r="G770" t="s">
        <v>2861</v>
      </c>
      <c r="H770" t="s">
        <v>81</v>
      </c>
      <c r="I770" t="s">
        <v>51</v>
      </c>
      <c r="J770" t="s">
        <v>2862</v>
      </c>
      <c r="K770">
        <v>9</v>
      </c>
      <c r="L770" t="s">
        <v>97</v>
      </c>
      <c r="M770" t="s">
        <v>54</v>
      </c>
      <c r="N770">
        <v>3267.3</v>
      </c>
    </row>
    <row r="771" spans="1:14" x14ac:dyDescent="0.3">
      <c r="A771" t="s">
        <v>2863</v>
      </c>
      <c r="B771" s="8">
        <v>45113</v>
      </c>
      <c r="C771" t="s">
        <v>2864</v>
      </c>
      <c r="D771" t="s">
        <v>64</v>
      </c>
      <c r="E771">
        <v>4</v>
      </c>
      <c r="F771">
        <v>678.55</v>
      </c>
      <c r="G771" t="s">
        <v>169</v>
      </c>
      <c r="H771" t="s">
        <v>81</v>
      </c>
      <c r="I771" t="s">
        <v>66</v>
      </c>
      <c r="J771" t="s">
        <v>2865</v>
      </c>
      <c r="K771">
        <v>5</v>
      </c>
      <c r="M771" t="s">
        <v>54</v>
      </c>
      <c r="N771">
        <v>2714.2</v>
      </c>
    </row>
    <row r="772" spans="1:14" x14ac:dyDescent="0.3">
      <c r="A772" t="s">
        <v>2866</v>
      </c>
      <c r="B772" s="8">
        <v>45333</v>
      </c>
      <c r="C772" t="s">
        <v>2867</v>
      </c>
      <c r="D772" t="s">
        <v>89</v>
      </c>
      <c r="E772">
        <v>1</v>
      </c>
      <c r="F772">
        <v>314.38</v>
      </c>
      <c r="G772" t="s">
        <v>1739</v>
      </c>
      <c r="H772" t="s">
        <v>43</v>
      </c>
      <c r="I772" t="s">
        <v>59</v>
      </c>
      <c r="J772" t="s">
        <v>2868</v>
      </c>
      <c r="K772">
        <v>6</v>
      </c>
      <c r="M772" t="s">
        <v>92</v>
      </c>
      <c r="N772">
        <v>314.38</v>
      </c>
    </row>
    <row r="773" spans="1:14" x14ac:dyDescent="0.3">
      <c r="A773" t="s">
        <v>2869</v>
      </c>
      <c r="B773" s="8">
        <v>45455</v>
      </c>
      <c r="C773" t="s">
        <v>2870</v>
      </c>
      <c r="D773" t="s">
        <v>41</v>
      </c>
      <c r="E773">
        <v>3</v>
      </c>
      <c r="F773">
        <v>692.44</v>
      </c>
      <c r="G773" t="s">
        <v>1517</v>
      </c>
      <c r="H773" t="s">
        <v>34</v>
      </c>
      <c r="I773" t="s">
        <v>51</v>
      </c>
      <c r="J773" t="s">
        <v>2871</v>
      </c>
      <c r="K773">
        <v>8</v>
      </c>
      <c r="L773" t="s">
        <v>53</v>
      </c>
      <c r="M773" t="s">
        <v>92</v>
      </c>
      <c r="N773">
        <v>2077.3200000000002</v>
      </c>
    </row>
    <row r="774" spans="1:14" x14ac:dyDescent="0.3">
      <c r="A774" t="s">
        <v>2872</v>
      </c>
      <c r="B774" s="8">
        <v>45501</v>
      </c>
      <c r="C774" t="s">
        <v>2873</v>
      </c>
      <c r="D774" t="s">
        <v>32</v>
      </c>
      <c r="E774">
        <v>1</v>
      </c>
      <c r="F774">
        <v>604.87</v>
      </c>
      <c r="G774" t="s">
        <v>2874</v>
      </c>
      <c r="H774" t="s">
        <v>43</v>
      </c>
      <c r="I774" t="s">
        <v>66</v>
      </c>
      <c r="J774" t="s">
        <v>2875</v>
      </c>
      <c r="K774">
        <v>4</v>
      </c>
      <c r="M774" t="s">
        <v>38</v>
      </c>
      <c r="N774">
        <v>604.87</v>
      </c>
    </row>
    <row r="775" spans="1:14" x14ac:dyDescent="0.3">
      <c r="A775" t="s">
        <v>2876</v>
      </c>
      <c r="B775" s="8">
        <v>45836</v>
      </c>
      <c r="C775" t="s">
        <v>2877</v>
      </c>
      <c r="D775" t="s">
        <v>41</v>
      </c>
      <c r="E775">
        <v>2</v>
      </c>
      <c r="F775">
        <v>512.33000000000004</v>
      </c>
      <c r="G775" t="s">
        <v>2878</v>
      </c>
      <c r="H775" t="s">
        <v>81</v>
      </c>
      <c r="I775" t="s">
        <v>51</v>
      </c>
      <c r="J775" t="s">
        <v>2879</v>
      </c>
      <c r="K775">
        <v>7</v>
      </c>
      <c r="M775" t="s">
        <v>61</v>
      </c>
      <c r="N775">
        <v>1024.6600000000001</v>
      </c>
    </row>
    <row r="776" spans="1:14" x14ac:dyDescent="0.3">
      <c r="A776" t="s">
        <v>2880</v>
      </c>
      <c r="B776" s="8">
        <v>45762</v>
      </c>
      <c r="C776" t="s">
        <v>2881</v>
      </c>
      <c r="D776" t="s">
        <v>57</v>
      </c>
      <c r="E776">
        <v>3</v>
      </c>
      <c r="F776">
        <v>20.54</v>
      </c>
      <c r="G776" t="s">
        <v>2882</v>
      </c>
      <c r="H776" t="s">
        <v>50</v>
      </c>
      <c r="I776" t="s">
        <v>51</v>
      </c>
      <c r="J776" t="s">
        <v>2883</v>
      </c>
      <c r="K776">
        <v>3</v>
      </c>
      <c r="L776" t="s">
        <v>53</v>
      </c>
      <c r="M776" t="s">
        <v>38</v>
      </c>
      <c r="N776">
        <v>61.62</v>
      </c>
    </row>
    <row r="777" spans="1:14" x14ac:dyDescent="0.3">
      <c r="A777" t="s">
        <v>2884</v>
      </c>
      <c r="B777" s="8">
        <v>44989</v>
      </c>
      <c r="C777" t="s">
        <v>2885</v>
      </c>
      <c r="D777" t="s">
        <v>41</v>
      </c>
      <c r="E777">
        <v>2</v>
      </c>
      <c r="F777">
        <v>625.22</v>
      </c>
      <c r="G777" t="s">
        <v>141</v>
      </c>
      <c r="H777" t="s">
        <v>43</v>
      </c>
      <c r="I777" t="s">
        <v>51</v>
      </c>
      <c r="J777" t="s">
        <v>2886</v>
      </c>
      <c r="K777">
        <v>5</v>
      </c>
      <c r="M777" t="s">
        <v>92</v>
      </c>
      <c r="N777">
        <v>1250.44</v>
      </c>
    </row>
    <row r="778" spans="1:14" x14ac:dyDescent="0.3">
      <c r="A778" t="s">
        <v>2887</v>
      </c>
      <c r="B778" s="8">
        <v>45159</v>
      </c>
      <c r="C778" t="s">
        <v>2888</v>
      </c>
      <c r="D778" t="s">
        <v>48</v>
      </c>
      <c r="E778">
        <v>1</v>
      </c>
      <c r="F778">
        <v>21.19</v>
      </c>
      <c r="G778" t="s">
        <v>2889</v>
      </c>
      <c r="H778" t="s">
        <v>81</v>
      </c>
      <c r="I778" t="s">
        <v>59</v>
      </c>
      <c r="J778" t="s">
        <v>2890</v>
      </c>
      <c r="K778">
        <v>5</v>
      </c>
      <c r="L778" t="s">
        <v>97</v>
      </c>
      <c r="M778" t="s">
        <v>92</v>
      </c>
      <c r="N778">
        <v>21.19</v>
      </c>
    </row>
    <row r="779" spans="1:14" x14ac:dyDescent="0.3">
      <c r="A779" t="s">
        <v>2891</v>
      </c>
      <c r="B779" s="8">
        <v>45737</v>
      </c>
      <c r="C779" t="s">
        <v>2892</v>
      </c>
      <c r="D779" t="s">
        <v>57</v>
      </c>
      <c r="E779">
        <v>5</v>
      </c>
      <c r="F779">
        <v>64.489999999999995</v>
      </c>
      <c r="G779" t="s">
        <v>145</v>
      </c>
      <c r="H779" t="s">
        <v>43</v>
      </c>
      <c r="I779" t="s">
        <v>51</v>
      </c>
      <c r="J779" t="s">
        <v>2893</v>
      </c>
      <c r="K779">
        <v>7</v>
      </c>
      <c r="M779" t="s">
        <v>61</v>
      </c>
      <c r="N779">
        <v>322.45</v>
      </c>
    </row>
    <row r="780" spans="1:14" x14ac:dyDescent="0.3">
      <c r="A780" t="s">
        <v>2894</v>
      </c>
      <c r="B780" s="8">
        <v>45044</v>
      </c>
      <c r="C780" t="s">
        <v>2895</v>
      </c>
      <c r="D780" t="s">
        <v>74</v>
      </c>
      <c r="E780">
        <v>4</v>
      </c>
      <c r="F780">
        <v>246.85</v>
      </c>
      <c r="G780" t="s">
        <v>2896</v>
      </c>
      <c r="H780" t="s">
        <v>50</v>
      </c>
      <c r="I780" t="s">
        <v>35</v>
      </c>
      <c r="J780" t="s">
        <v>2897</v>
      </c>
      <c r="K780">
        <v>8</v>
      </c>
      <c r="L780" t="s">
        <v>97</v>
      </c>
      <c r="M780" t="s">
        <v>92</v>
      </c>
      <c r="N780">
        <v>987.4</v>
      </c>
    </row>
    <row r="781" spans="1:14" x14ac:dyDescent="0.3">
      <c r="A781" t="s">
        <v>2898</v>
      </c>
      <c r="B781" s="8">
        <v>45261</v>
      </c>
      <c r="C781" t="s">
        <v>2899</v>
      </c>
      <c r="D781" t="s">
        <v>41</v>
      </c>
      <c r="E781">
        <v>3</v>
      </c>
      <c r="F781">
        <v>588.74</v>
      </c>
      <c r="G781" t="s">
        <v>2900</v>
      </c>
      <c r="H781" t="s">
        <v>34</v>
      </c>
      <c r="I781" t="s">
        <v>105</v>
      </c>
      <c r="J781" t="s">
        <v>2901</v>
      </c>
      <c r="K781">
        <v>8</v>
      </c>
      <c r="L781" t="s">
        <v>53</v>
      </c>
      <c r="M781" t="s">
        <v>54</v>
      </c>
      <c r="N781">
        <v>1766.22</v>
      </c>
    </row>
    <row r="782" spans="1:14" x14ac:dyDescent="0.3">
      <c r="A782" t="s">
        <v>2902</v>
      </c>
      <c r="B782" s="8">
        <v>45382</v>
      </c>
      <c r="C782" t="s">
        <v>2903</v>
      </c>
      <c r="D782" t="s">
        <v>74</v>
      </c>
      <c r="E782">
        <v>4</v>
      </c>
      <c r="F782">
        <v>184.48</v>
      </c>
      <c r="G782" t="s">
        <v>1728</v>
      </c>
      <c r="H782" t="s">
        <v>43</v>
      </c>
      <c r="I782" t="s">
        <v>51</v>
      </c>
      <c r="J782" t="s">
        <v>2904</v>
      </c>
      <c r="K782">
        <v>4</v>
      </c>
      <c r="L782" t="s">
        <v>97</v>
      </c>
      <c r="M782" t="s">
        <v>92</v>
      </c>
      <c r="N782">
        <v>737.92</v>
      </c>
    </row>
    <row r="783" spans="1:14" x14ac:dyDescent="0.3">
      <c r="A783" t="s">
        <v>2905</v>
      </c>
      <c r="B783" s="8">
        <v>45301</v>
      </c>
      <c r="C783" t="s">
        <v>2906</v>
      </c>
      <c r="D783" t="s">
        <v>41</v>
      </c>
      <c r="E783">
        <v>5</v>
      </c>
      <c r="F783">
        <v>524.26</v>
      </c>
      <c r="G783" t="s">
        <v>70</v>
      </c>
      <c r="H783" t="s">
        <v>76</v>
      </c>
      <c r="I783" t="s">
        <v>66</v>
      </c>
      <c r="J783" t="s">
        <v>2907</v>
      </c>
      <c r="K783">
        <v>5</v>
      </c>
      <c r="L783" t="s">
        <v>53</v>
      </c>
      <c r="M783" t="s">
        <v>45</v>
      </c>
      <c r="N783">
        <v>2621.3000000000002</v>
      </c>
    </row>
    <row r="784" spans="1:14" x14ac:dyDescent="0.3">
      <c r="A784" t="s">
        <v>2908</v>
      </c>
      <c r="B784" s="8">
        <v>45515</v>
      </c>
      <c r="C784" t="s">
        <v>2909</v>
      </c>
      <c r="D784" t="s">
        <v>32</v>
      </c>
      <c r="E784">
        <v>2</v>
      </c>
      <c r="F784">
        <v>493.63</v>
      </c>
      <c r="G784" t="s">
        <v>2169</v>
      </c>
      <c r="H784" t="s">
        <v>43</v>
      </c>
      <c r="I784" t="s">
        <v>59</v>
      </c>
      <c r="J784" t="s">
        <v>2910</v>
      </c>
      <c r="K784">
        <v>6</v>
      </c>
      <c r="L784" t="s">
        <v>37</v>
      </c>
      <c r="M784" t="s">
        <v>45</v>
      </c>
      <c r="N784">
        <v>987.26</v>
      </c>
    </row>
    <row r="785" spans="1:14" x14ac:dyDescent="0.3">
      <c r="A785" t="s">
        <v>2911</v>
      </c>
      <c r="B785" s="8">
        <v>45803</v>
      </c>
      <c r="C785" t="s">
        <v>2912</v>
      </c>
      <c r="D785" t="s">
        <v>64</v>
      </c>
      <c r="E785">
        <v>1</v>
      </c>
      <c r="F785">
        <v>438.34</v>
      </c>
      <c r="G785" t="s">
        <v>2677</v>
      </c>
      <c r="H785" t="s">
        <v>76</v>
      </c>
      <c r="I785" t="s">
        <v>59</v>
      </c>
      <c r="J785" t="s">
        <v>2913</v>
      </c>
      <c r="K785">
        <v>5</v>
      </c>
      <c r="L785" t="s">
        <v>53</v>
      </c>
      <c r="M785" t="s">
        <v>61</v>
      </c>
      <c r="N785">
        <v>438.34</v>
      </c>
    </row>
    <row r="786" spans="1:14" x14ac:dyDescent="0.3">
      <c r="A786" t="s">
        <v>2914</v>
      </c>
      <c r="B786" s="8">
        <v>45793</v>
      </c>
      <c r="C786" t="s">
        <v>2915</v>
      </c>
      <c r="D786" t="s">
        <v>74</v>
      </c>
      <c r="E786">
        <v>1</v>
      </c>
      <c r="F786">
        <v>325.81</v>
      </c>
      <c r="G786" t="s">
        <v>262</v>
      </c>
      <c r="H786" t="s">
        <v>50</v>
      </c>
      <c r="I786" t="s">
        <v>105</v>
      </c>
      <c r="J786" t="s">
        <v>2916</v>
      </c>
      <c r="K786">
        <v>1</v>
      </c>
      <c r="L786" t="s">
        <v>97</v>
      </c>
      <c r="M786" t="s">
        <v>45</v>
      </c>
      <c r="N786">
        <v>325.81</v>
      </c>
    </row>
    <row r="787" spans="1:14" x14ac:dyDescent="0.3">
      <c r="A787" t="s">
        <v>2917</v>
      </c>
      <c r="B787" s="8">
        <v>45136</v>
      </c>
      <c r="C787" t="s">
        <v>2918</v>
      </c>
      <c r="D787" t="s">
        <v>57</v>
      </c>
      <c r="E787">
        <v>1</v>
      </c>
      <c r="F787">
        <v>176.1</v>
      </c>
      <c r="G787" t="s">
        <v>2919</v>
      </c>
      <c r="H787" t="s">
        <v>50</v>
      </c>
      <c r="I787" t="s">
        <v>105</v>
      </c>
      <c r="J787" t="s">
        <v>2920</v>
      </c>
      <c r="K787">
        <v>1</v>
      </c>
      <c r="L787" t="s">
        <v>37</v>
      </c>
      <c r="M787" t="s">
        <v>38</v>
      </c>
      <c r="N787">
        <v>176.1</v>
      </c>
    </row>
    <row r="788" spans="1:14" x14ac:dyDescent="0.3">
      <c r="A788" t="s">
        <v>2921</v>
      </c>
      <c r="B788" s="8">
        <v>45161</v>
      </c>
      <c r="C788" t="s">
        <v>2922</v>
      </c>
      <c r="D788" t="s">
        <v>57</v>
      </c>
      <c r="E788">
        <v>5</v>
      </c>
      <c r="F788">
        <v>45.31</v>
      </c>
      <c r="G788" t="s">
        <v>2923</v>
      </c>
      <c r="H788" t="s">
        <v>43</v>
      </c>
      <c r="I788" t="s">
        <v>51</v>
      </c>
      <c r="J788" t="s">
        <v>2924</v>
      </c>
      <c r="K788">
        <v>8</v>
      </c>
      <c r="M788" t="s">
        <v>45</v>
      </c>
      <c r="N788">
        <v>226.55</v>
      </c>
    </row>
    <row r="789" spans="1:14" x14ac:dyDescent="0.3">
      <c r="A789" t="s">
        <v>2925</v>
      </c>
      <c r="B789" s="8">
        <v>45368</v>
      </c>
      <c r="C789" t="s">
        <v>2926</v>
      </c>
      <c r="D789" t="s">
        <v>89</v>
      </c>
      <c r="E789">
        <v>4</v>
      </c>
      <c r="F789">
        <v>221.96</v>
      </c>
      <c r="G789" t="s">
        <v>2927</v>
      </c>
      <c r="H789" t="s">
        <v>81</v>
      </c>
      <c r="I789" t="s">
        <v>66</v>
      </c>
      <c r="J789" t="s">
        <v>2928</v>
      </c>
      <c r="K789">
        <v>7</v>
      </c>
      <c r="M789" t="s">
        <v>92</v>
      </c>
      <c r="N789">
        <v>887.84</v>
      </c>
    </row>
    <row r="790" spans="1:14" x14ac:dyDescent="0.3">
      <c r="A790" t="s">
        <v>2929</v>
      </c>
      <c r="B790" s="8">
        <v>45232</v>
      </c>
      <c r="C790" t="s">
        <v>2930</v>
      </c>
      <c r="D790" t="s">
        <v>57</v>
      </c>
      <c r="E790">
        <v>2</v>
      </c>
      <c r="F790">
        <v>601.42999999999995</v>
      </c>
      <c r="G790" t="s">
        <v>2931</v>
      </c>
      <c r="H790" t="s">
        <v>43</v>
      </c>
      <c r="I790" t="s">
        <v>105</v>
      </c>
      <c r="J790" t="s">
        <v>2932</v>
      </c>
      <c r="K790">
        <v>5</v>
      </c>
      <c r="L790" t="s">
        <v>53</v>
      </c>
      <c r="M790" t="s">
        <v>38</v>
      </c>
      <c r="N790">
        <v>1202.8599999999999</v>
      </c>
    </row>
    <row r="791" spans="1:14" x14ac:dyDescent="0.3">
      <c r="A791" t="s">
        <v>2933</v>
      </c>
      <c r="B791" s="8">
        <v>45155</v>
      </c>
      <c r="C791" t="s">
        <v>2934</v>
      </c>
      <c r="D791" t="s">
        <v>48</v>
      </c>
      <c r="E791">
        <v>5</v>
      </c>
      <c r="F791">
        <v>691.28</v>
      </c>
      <c r="G791" t="s">
        <v>2935</v>
      </c>
      <c r="H791" t="s">
        <v>43</v>
      </c>
      <c r="I791" t="s">
        <v>66</v>
      </c>
      <c r="J791" t="s">
        <v>2936</v>
      </c>
      <c r="K791">
        <v>10</v>
      </c>
      <c r="L791" t="s">
        <v>37</v>
      </c>
      <c r="M791" t="s">
        <v>54</v>
      </c>
      <c r="N791">
        <v>3456.4</v>
      </c>
    </row>
    <row r="792" spans="1:14" x14ac:dyDescent="0.3">
      <c r="A792" t="s">
        <v>2937</v>
      </c>
      <c r="B792" s="8">
        <v>45549</v>
      </c>
      <c r="C792" t="s">
        <v>2938</v>
      </c>
      <c r="D792" t="s">
        <v>74</v>
      </c>
      <c r="E792">
        <v>4</v>
      </c>
      <c r="F792">
        <v>417.89</v>
      </c>
      <c r="G792" t="s">
        <v>2939</v>
      </c>
      <c r="H792" t="s">
        <v>76</v>
      </c>
      <c r="I792" t="s">
        <v>105</v>
      </c>
      <c r="J792" t="s">
        <v>2940</v>
      </c>
      <c r="K792">
        <v>4</v>
      </c>
      <c r="M792" t="s">
        <v>92</v>
      </c>
      <c r="N792">
        <v>1671.56</v>
      </c>
    </row>
    <row r="793" spans="1:14" x14ac:dyDescent="0.3">
      <c r="A793" t="s">
        <v>2941</v>
      </c>
      <c r="B793" s="8">
        <v>45304</v>
      </c>
      <c r="C793" t="s">
        <v>2942</v>
      </c>
      <c r="D793" t="s">
        <v>57</v>
      </c>
      <c r="E793">
        <v>4</v>
      </c>
      <c r="F793">
        <v>409.28</v>
      </c>
      <c r="G793" t="s">
        <v>153</v>
      </c>
      <c r="H793" t="s">
        <v>81</v>
      </c>
      <c r="I793" t="s">
        <v>105</v>
      </c>
      <c r="J793" t="s">
        <v>2943</v>
      </c>
      <c r="K793">
        <v>8</v>
      </c>
      <c r="M793" t="s">
        <v>54</v>
      </c>
      <c r="N793">
        <v>1637.12</v>
      </c>
    </row>
    <row r="794" spans="1:14" x14ac:dyDescent="0.3">
      <c r="A794" t="s">
        <v>2944</v>
      </c>
      <c r="B794" s="8">
        <v>45093</v>
      </c>
      <c r="C794" t="s">
        <v>2945</v>
      </c>
      <c r="D794" t="s">
        <v>89</v>
      </c>
      <c r="E794">
        <v>2</v>
      </c>
      <c r="F794">
        <v>356.35</v>
      </c>
      <c r="G794" t="s">
        <v>2946</v>
      </c>
      <c r="H794" t="s">
        <v>34</v>
      </c>
      <c r="I794" t="s">
        <v>59</v>
      </c>
      <c r="J794" t="s">
        <v>2947</v>
      </c>
      <c r="K794">
        <v>6</v>
      </c>
      <c r="L794" t="s">
        <v>97</v>
      </c>
      <c r="M794" t="s">
        <v>61</v>
      </c>
      <c r="N794">
        <v>712.7</v>
      </c>
    </row>
    <row r="795" spans="1:14" x14ac:dyDescent="0.3">
      <c r="A795" t="s">
        <v>2948</v>
      </c>
      <c r="B795" s="8">
        <v>45397</v>
      </c>
      <c r="C795" t="s">
        <v>2949</v>
      </c>
      <c r="D795" t="s">
        <v>57</v>
      </c>
      <c r="E795">
        <v>5</v>
      </c>
      <c r="F795">
        <v>170.22</v>
      </c>
      <c r="G795" t="s">
        <v>1655</v>
      </c>
      <c r="H795" t="s">
        <v>34</v>
      </c>
      <c r="I795" t="s">
        <v>66</v>
      </c>
      <c r="J795" t="s">
        <v>2950</v>
      </c>
      <c r="K795">
        <v>8</v>
      </c>
      <c r="M795" t="s">
        <v>45</v>
      </c>
      <c r="N795">
        <v>851.1</v>
      </c>
    </row>
    <row r="796" spans="1:14" x14ac:dyDescent="0.3">
      <c r="A796" t="s">
        <v>2951</v>
      </c>
      <c r="B796" s="8">
        <v>44994</v>
      </c>
      <c r="C796" t="s">
        <v>2952</v>
      </c>
      <c r="D796" t="s">
        <v>64</v>
      </c>
      <c r="E796">
        <v>4</v>
      </c>
      <c r="F796">
        <v>384.85</v>
      </c>
      <c r="G796" t="s">
        <v>2953</v>
      </c>
      <c r="H796" t="s">
        <v>43</v>
      </c>
      <c r="I796" t="s">
        <v>66</v>
      </c>
      <c r="J796" t="s">
        <v>2954</v>
      </c>
      <c r="K796">
        <v>9</v>
      </c>
      <c r="L796" t="s">
        <v>53</v>
      </c>
      <c r="M796" t="s">
        <v>38</v>
      </c>
      <c r="N796">
        <v>1539.4</v>
      </c>
    </row>
    <row r="797" spans="1:14" x14ac:dyDescent="0.3">
      <c r="A797" t="s">
        <v>2955</v>
      </c>
      <c r="B797" s="8">
        <v>45616</v>
      </c>
      <c r="C797" t="s">
        <v>2956</v>
      </c>
      <c r="D797" t="s">
        <v>74</v>
      </c>
      <c r="E797">
        <v>4</v>
      </c>
      <c r="F797">
        <v>115.77</v>
      </c>
      <c r="G797" t="s">
        <v>2957</v>
      </c>
      <c r="H797" t="s">
        <v>43</v>
      </c>
      <c r="I797" t="s">
        <v>105</v>
      </c>
      <c r="J797" t="s">
        <v>2958</v>
      </c>
      <c r="K797">
        <v>7</v>
      </c>
      <c r="L797" t="s">
        <v>37</v>
      </c>
      <c r="M797" t="s">
        <v>38</v>
      </c>
      <c r="N797">
        <v>463.08</v>
      </c>
    </row>
    <row r="798" spans="1:14" x14ac:dyDescent="0.3">
      <c r="A798" t="s">
        <v>2959</v>
      </c>
      <c r="B798" s="8">
        <v>45776</v>
      </c>
      <c r="C798" t="s">
        <v>2960</v>
      </c>
      <c r="D798" t="s">
        <v>41</v>
      </c>
      <c r="E798">
        <v>3</v>
      </c>
      <c r="F798">
        <v>579.54999999999995</v>
      </c>
      <c r="G798" t="s">
        <v>900</v>
      </c>
      <c r="H798" t="s">
        <v>76</v>
      </c>
      <c r="I798" t="s">
        <v>59</v>
      </c>
      <c r="J798" t="s">
        <v>2961</v>
      </c>
      <c r="K798">
        <v>8</v>
      </c>
      <c r="L798" t="s">
        <v>97</v>
      </c>
      <c r="M798" t="s">
        <v>61</v>
      </c>
      <c r="N798">
        <v>1738.65</v>
      </c>
    </row>
    <row r="799" spans="1:14" x14ac:dyDescent="0.3">
      <c r="A799" t="s">
        <v>2962</v>
      </c>
      <c r="B799" s="8">
        <v>44984</v>
      </c>
      <c r="C799" t="s">
        <v>2963</v>
      </c>
      <c r="D799" t="s">
        <v>74</v>
      </c>
      <c r="E799">
        <v>2</v>
      </c>
      <c r="F799">
        <v>438.76</v>
      </c>
      <c r="G799" t="s">
        <v>2964</v>
      </c>
      <c r="H799" t="s">
        <v>34</v>
      </c>
      <c r="I799" t="s">
        <v>59</v>
      </c>
      <c r="J799" t="s">
        <v>2965</v>
      </c>
      <c r="K799">
        <v>2</v>
      </c>
      <c r="M799" t="s">
        <v>61</v>
      </c>
      <c r="N799">
        <v>877.52</v>
      </c>
    </row>
    <row r="800" spans="1:14" x14ac:dyDescent="0.3">
      <c r="A800" t="s">
        <v>2966</v>
      </c>
      <c r="B800" s="8">
        <v>45796</v>
      </c>
      <c r="C800" t="s">
        <v>2967</v>
      </c>
      <c r="D800" t="s">
        <v>41</v>
      </c>
      <c r="E800">
        <v>5</v>
      </c>
      <c r="F800">
        <v>488.35</v>
      </c>
      <c r="G800" t="s">
        <v>1249</v>
      </c>
      <c r="H800" t="s">
        <v>34</v>
      </c>
      <c r="I800" t="s">
        <v>59</v>
      </c>
      <c r="J800" t="s">
        <v>2968</v>
      </c>
      <c r="K800">
        <v>9</v>
      </c>
      <c r="L800" t="s">
        <v>53</v>
      </c>
      <c r="M800" t="s">
        <v>54</v>
      </c>
      <c r="N800">
        <v>2441.75</v>
      </c>
    </row>
    <row r="801" spans="1:14" x14ac:dyDescent="0.3">
      <c r="A801" t="s">
        <v>2969</v>
      </c>
      <c r="B801" s="8">
        <v>45032</v>
      </c>
      <c r="C801" t="s">
        <v>2970</v>
      </c>
      <c r="D801" t="s">
        <v>74</v>
      </c>
      <c r="E801">
        <v>4</v>
      </c>
      <c r="F801">
        <v>328.56</v>
      </c>
      <c r="G801" t="s">
        <v>1086</v>
      </c>
      <c r="H801" t="s">
        <v>34</v>
      </c>
      <c r="I801" t="s">
        <v>59</v>
      </c>
      <c r="J801" t="s">
        <v>2971</v>
      </c>
      <c r="K801">
        <v>4</v>
      </c>
      <c r="L801" t="s">
        <v>53</v>
      </c>
      <c r="M801" t="s">
        <v>54</v>
      </c>
      <c r="N801">
        <v>1314.24</v>
      </c>
    </row>
    <row r="802" spans="1:14" x14ac:dyDescent="0.3">
      <c r="A802" t="s">
        <v>2972</v>
      </c>
      <c r="B802" s="8">
        <v>45744</v>
      </c>
      <c r="C802" t="s">
        <v>2973</v>
      </c>
      <c r="D802" t="s">
        <v>48</v>
      </c>
      <c r="E802">
        <v>1</v>
      </c>
      <c r="F802">
        <v>68.39</v>
      </c>
      <c r="G802" t="s">
        <v>2974</v>
      </c>
      <c r="H802" t="s">
        <v>43</v>
      </c>
      <c r="I802" t="s">
        <v>59</v>
      </c>
      <c r="J802" t="s">
        <v>2975</v>
      </c>
      <c r="K802">
        <v>3</v>
      </c>
      <c r="L802" t="s">
        <v>97</v>
      </c>
      <c r="M802" t="s">
        <v>61</v>
      </c>
      <c r="N802">
        <v>68.39</v>
      </c>
    </row>
    <row r="803" spans="1:14" x14ac:dyDescent="0.3">
      <c r="A803" t="s">
        <v>2976</v>
      </c>
      <c r="B803" s="8">
        <v>45049</v>
      </c>
      <c r="C803" t="s">
        <v>164</v>
      </c>
      <c r="D803" t="s">
        <v>64</v>
      </c>
      <c r="E803">
        <v>4</v>
      </c>
      <c r="F803">
        <v>595.62</v>
      </c>
      <c r="G803" t="s">
        <v>2977</v>
      </c>
      <c r="H803" t="s">
        <v>34</v>
      </c>
      <c r="I803" t="s">
        <v>105</v>
      </c>
      <c r="J803" t="s">
        <v>2978</v>
      </c>
      <c r="K803">
        <v>8</v>
      </c>
      <c r="L803" t="s">
        <v>53</v>
      </c>
      <c r="M803" t="s">
        <v>61</v>
      </c>
      <c r="N803">
        <v>2382.48</v>
      </c>
    </row>
    <row r="804" spans="1:14" x14ac:dyDescent="0.3">
      <c r="A804" t="s">
        <v>2979</v>
      </c>
      <c r="B804" s="8">
        <v>45339</v>
      </c>
      <c r="C804" t="s">
        <v>2980</v>
      </c>
      <c r="D804" t="s">
        <v>57</v>
      </c>
      <c r="E804">
        <v>5</v>
      </c>
      <c r="F804">
        <v>644.64</v>
      </c>
      <c r="G804" t="s">
        <v>2981</v>
      </c>
      <c r="H804" t="s">
        <v>76</v>
      </c>
      <c r="I804" t="s">
        <v>51</v>
      </c>
      <c r="J804" t="s">
        <v>2982</v>
      </c>
      <c r="K804">
        <v>6</v>
      </c>
      <c r="L804" t="s">
        <v>53</v>
      </c>
      <c r="M804" t="s">
        <v>54</v>
      </c>
      <c r="N804">
        <v>3223.2</v>
      </c>
    </row>
    <row r="805" spans="1:14" x14ac:dyDescent="0.3">
      <c r="A805" t="s">
        <v>2983</v>
      </c>
      <c r="B805" s="8">
        <v>45158</v>
      </c>
      <c r="C805" t="s">
        <v>2984</v>
      </c>
      <c r="D805" t="s">
        <v>32</v>
      </c>
      <c r="E805">
        <v>5</v>
      </c>
      <c r="F805">
        <v>397.81</v>
      </c>
      <c r="G805" t="s">
        <v>239</v>
      </c>
      <c r="H805" t="s">
        <v>34</v>
      </c>
      <c r="I805" t="s">
        <v>59</v>
      </c>
      <c r="J805" t="s">
        <v>2985</v>
      </c>
      <c r="K805">
        <v>5</v>
      </c>
      <c r="L805" t="s">
        <v>37</v>
      </c>
      <c r="M805" t="s">
        <v>45</v>
      </c>
      <c r="N805">
        <v>1989.05</v>
      </c>
    </row>
    <row r="806" spans="1:14" x14ac:dyDescent="0.3">
      <c r="A806" t="s">
        <v>2986</v>
      </c>
      <c r="B806" s="8">
        <v>45292</v>
      </c>
      <c r="C806" t="s">
        <v>2987</v>
      </c>
      <c r="D806" t="s">
        <v>57</v>
      </c>
      <c r="E806">
        <v>3</v>
      </c>
      <c r="F806">
        <v>236.5</v>
      </c>
      <c r="G806" t="s">
        <v>2988</v>
      </c>
      <c r="H806" t="s">
        <v>43</v>
      </c>
      <c r="I806" t="s">
        <v>66</v>
      </c>
      <c r="J806" t="s">
        <v>2989</v>
      </c>
      <c r="K806">
        <v>8</v>
      </c>
      <c r="L806" t="s">
        <v>53</v>
      </c>
      <c r="M806" t="s">
        <v>54</v>
      </c>
      <c r="N806">
        <v>709.5</v>
      </c>
    </row>
    <row r="807" spans="1:14" x14ac:dyDescent="0.3">
      <c r="A807" t="s">
        <v>2990</v>
      </c>
      <c r="B807" s="8">
        <v>45580</v>
      </c>
      <c r="C807" t="s">
        <v>2991</v>
      </c>
      <c r="D807" t="s">
        <v>74</v>
      </c>
      <c r="E807">
        <v>5</v>
      </c>
      <c r="F807">
        <v>472.01</v>
      </c>
      <c r="G807" t="s">
        <v>2992</v>
      </c>
      <c r="H807" t="s">
        <v>76</v>
      </c>
      <c r="I807" t="s">
        <v>51</v>
      </c>
      <c r="J807" t="s">
        <v>2993</v>
      </c>
      <c r="K807">
        <v>10</v>
      </c>
      <c r="L807" t="s">
        <v>37</v>
      </c>
      <c r="M807" t="s">
        <v>54</v>
      </c>
      <c r="N807">
        <v>2360.0500000000002</v>
      </c>
    </row>
    <row r="808" spans="1:14" x14ac:dyDescent="0.3">
      <c r="A808" t="s">
        <v>2994</v>
      </c>
      <c r="B808" s="8">
        <v>45170</v>
      </c>
      <c r="C808" t="s">
        <v>2995</v>
      </c>
      <c r="D808" t="s">
        <v>57</v>
      </c>
      <c r="E808">
        <v>5</v>
      </c>
      <c r="F808">
        <v>253.75</v>
      </c>
      <c r="G808" t="s">
        <v>1137</v>
      </c>
      <c r="H808" t="s">
        <v>43</v>
      </c>
      <c r="I808" t="s">
        <v>105</v>
      </c>
      <c r="J808" t="s">
        <v>2996</v>
      </c>
      <c r="K808">
        <v>9</v>
      </c>
      <c r="L808" t="s">
        <v>97</v>
      </c>
      <c r="M808" t="s">
        <v>38</v>
      </c>
      <c r="N808">
        <v>1268.75</v>
      </c>
    </row>
    <row r="809" spans="1:14" x14ac:dyDescent="0.3">
      <c r="A809" t="s">
        <v>2997</v>
      </c>
      <c r="B809" s="8">
        <v>45606</v>
      </c>
      <c r="C809" t="s">
        <v>2998</v>
      </c>
      <c r="D809" t="s">
        <v>32</v>
      </c>
      <c r="E809">
        <v>3</v>
      </c>
      <c r="F809">
        <v>676.21</v>
      </c>
      <c r="G809" t="s">
        <v>2999</v>
      </c>
      <c r="H809" t="s">
        <v>43</v>
      </c>
      <c r="I809" t="s">
        <v>66</v>
      </c>
      <c r="J809" t="s">
        <v>3000</v>
      </c>
      <c r="K809">
        <v>5</v>
      </c>
      <c r="L809" t="s">
        <v>37</v>
      </c>
      <c r="M809" t="s">
        <v>92</v>
      </c>
      <c r="N809">
        <v>2028.63</v>
      </c>
    </row>
    <row r="810" spans="1:14" x14ac:dyDescent="0.3">
      <c r="A810" t="s">
        <v>3001</v>
      </c>
      <c r="B810" s="8">
        <v>45335</v>
      </c>
      <c r="C810" t="s">
        <v>3002</v>
      </c>
      <c r="D810" t="s">
        <v>89</v>
      </c>
      <c r="E810">
        <v>3</v>
      </c>
      <c r="F810">
        <v>134.05000000000001</v>
      </c>
      <c r="G810" t="s">
        <v>3003</v>
      </c>
      <c r="H810" t="s">
        <v>50</v>
      </c>
      <c r="I810" t="s">
        <v>35</v>
      </c>
      <c r="J810" t="s">
        <v>3004</v>
      </c>
      <c r="K810">
        <v>3</v>
      </c>
      <c r="M810" t="s">
        <v>92</v>
      </c>
      <c r="N810">
        <v>402.15</v>
      </c>
    </row>
    <row r="811" spans="1:14" x14ac:dyDescent="0.3">
      <c r="A811" t="s">
        <v>3005</v>
      </c>
      <c r="B811" s="8">
        <v>45391</v>
      </c>
      <c r="C811" t="s">
        <v>3006</v>
      </c>
      <c r="D811" t="s">
        <v>89</v>
      </c>
      <c r="E811">
        <v>5</v>
      </c>
      <c r="F811">
        <v>217.43</v>
      </c>
      <c r="G811" t="s">
        <v>309</v>
      </c>
      <c r="H811" t="s">
        <v>34</v>
      </c>
      <c r="I811" t="s">
        <v>35</v>
      </c>
      <c r="J811" t="s">
        <v>3007</v>
      </c>
      <c r="K811">
        <v>10</v>
      </c>
      <c r="L811" t="s">
        <v>37</v>
      </c>
      <c r="M811" t="s">
        <v>38</v>
      </c>
      <c r="N811">
        <v>1087.1500000000001</v>
      </c>
    </row>
    <row r="812" spans="1:14" x14ac:dyDescent="0.3">
      <c r="A812" t="s">
        <v>3008</v>
      </c>
      <c r="B812" s="8">
        <v>45077</v>
      </c>
      <c r="C812" t="s">
        <v>3009</v>
      </c>
      <c r="D812" t="s">
        <v>48</v>
      </c>
      <c r="E812">
        <v>1</v>
      </c>
      <c r="F812">
        <v>553.55999999999995</v>
      </c>
      <c r="G812" t="s">
        <v>3010</v>
      </c>
      <c r="H812" t="s">
        <v>50</v>
      </c>
      <c r="I812" t="s">
        <v>51</v>
      </c>
      <c r="J812" t="s">
        <v>3011</v>
      </c>
      <c r="K812">
        <v>5</v>
      </c>
      <c r="M812" t="s">
        <v>45</v>
      </c>
      <c r="N812">
        <v>553.55999999999995</v>
      </c>
    </row>
    <row r="813" spans="1:14" x14ac:dyDescent="0.3">
      <c r="A813" t="s">
        <v>3012</v>
      </c>
      <c r="B813" s="8">
        <v>45235</v>
      </c>
      <c r="C813" t="s">
        <v>3013</v>
      </c>
      <c r="D813" t="s">
        <v>74</v>
      </c>
      <c r="E813">
        <v>2</v>
      </c>
      <c r="F813">
        <v>28.55</v>
      </c>
      <c r="G813" t="s">
        <v>2810</v>
      </c>
      <c r="H813" t="s">
        <v>76</v>
      </c>
      <c r="I813" t="s">
        <v>35</v>
      </c>
      <c r="J813" t="s">
        <v>3014</v>
      </c>
      <c r="K813">
        <v>7</v>
      </c>
      <c r="L813" t="s">
        <v>37</v>
      </c>
      <c r="M813" t="s">
        <v>54</v>
      </c>
      <c r="N813">
        <v>57.1</v>
      </c>
    </row>
    <row r="814" spans="1:14" x14ac:dyDescent="0.3">
      <c r="A814" t="s">
        <v>3015</v>
      </c>
      <c r="B814" s="8">
        <v>45317</v>
      </c>
      <c r="C814" t="s">
        <v>3016</v>
      </c>
      <c r="D814" t="s">
        <v>41</v>
      </c>
      <c r="E814">
        <v>2</v>
      </c>
      <c r="F814">
        <v>255.26</v>
      </c>
      <c r="G814" t="s">
        <v>1086</v>
      </c>
      <c r="H814" t="s">
        <v>50</v>
      </c>
      <c r="I814" t="s">
        <v>51</v>
      </c>
      <c r="J814" t="s">
        <v>3017</v>
      </c>
      <c r="K814">
        <v>6</v>
      </c>
      <c r="L814" t="s">
        <v>53</v>
      </c>
      <c r="M814" t="s">
        <v>92</v>
      </c>
      <c r="N814">
        <v>510.52</v>
      </c>
    </row>
    <row r="815" spans="1:14" x14ac:dyDescent="0.3">
      <c r="A815" t="s">
        <v>3018</v>
      </c>
      <c r="B815" s="8">
        <v>45731</v>
      </c>
      <c r="C815" t="s">
        <v>3019</v>
      </c>
      <c r="D815" t="s">
        <v>74</v>
      </c>
      <c r="E815">
        <v>5</v>
      </c>
      <c r="F815">
        <v>292.54000000000002</v>
      </c>
      <c r="G815" t="s">
        <v>1133</v>
      </c>
      <c r="H815" t="s">
        <v>34</v>
      </c>
      <c r="I815" t="s">
        <v>51</v>
      </c>
      <c r="J815" t="s">
        <v>3020</v>
      </c>
      <c r="K815">
        <v>8</v>
      </c>
      <c r="L815" t="s">
        <v>53</v>
      </c>
      <c r="M815" t="s">
        <v>54</v>
      </c>
      <c r="N815">
        <v>1462.7</v>
      </c>
    </row>
    <row r="816" spans="1:14" x14ac:dyDescent="0.3">
      <c r="A816" t="s">
        <v>3021</v>
      </c>
      <c r="B816" s="8">
        <v>45637</v>
      </c>
      <c r="C816" t="s">
        <v>3022</v>
      </c>
      <c r="D816" t="s">
        <v>57</v>
      </c>
      <c r="E816">
        <v>4</v>
      </c>
      <c r="F816">
        <v>147.51</v>
      </c>
      <c r="G816" t="s">
        <v>3023</v>
      </c>
      <c r="H816" t="s">
        <v>34</v>
      </c>
      <c r="I816" t="s">
        <v>105</v>
      </c>
      <c r="J816" t="s">
        <v>3024</v>
      </c>
      <c r="K816">
        <v>4</v>
      </c>
      <c r="L816" t="s">
        <v>97</v>
      </c>
      <c r="M816" t="s">
        <v>38</v>
      </c>
      <c r="N816">
        <v>590.04</v>
      </c>
    </row>
    <row r="817" spans="1:14" x14ac:dyDescent="0.3">
      <c r="A817" t="s">
        <v>3025</v>
      </c>
      <c r="B817" s="8">
        <v>45508</v>
      </c>
      <c r="C817" t="s">
        <v>3026</v>
      </c>
      <c r="D817" t="s">
        <v>64</v>
      </c>
      <c r="E817">
        <v>3</v>
      </c>
      <c r="F817">
        <v>569.84</v>
      </c>
      <c r="G817" t="s">
        <v>3027</v>
      </c>
      <c r="H817" t="s">
        <v>76</v>
      </c>
      <c r="I817" t="s">
        <v>51</v>
      </c>
      <c r="J817" t="s">
        <v>3028</v>
      </c>
      <c r="K817">
        <v>8</v>
      </c>
      <c r="L817" t="s">
        <v>97</v>
      </c>
      <c r="M817" t="s">
        <v>38</v>
      </c>
      <c r="N817">
        <v>1709.52</v>
      </c>
    </row>
    <row r="818" spans="1:14" x14ac:dyDescent="0.3">
      <c r="A818" t="s">
        <v>3029</v>
      </c>
      <c r="B818" s="8">
        <v>45343</v>
      </c>
      <c r="C818" t="s">
        <v>3030</v>
      </c>
      <c r="D818" t="s">
        <v>48</v>
      </c>
      <c r="E818">
        <v>5</v>
      </c>
      <c r="F818">
        <v>574.79</v>
      </c>
      <c r="G818" t="s">
        <v>908</v>
      </c>
      <c r="H818" t="s">
        <v>50</v>
      </c>
      <c r="I818" t="s">
        <v>105</v>
      </c>
      <c r="J818" t="s">
        <v>3031</v>
      </c>
      <c r="K818">
        <v>8</v>
      </c>
      <c r="L818" t="s">
        <v>97</v>
      </c>
      <c r="M818" t="s">
        <v>45</v>
      </c>
      <c r="N818">
        <v>2873.95</v>
      </c>
    </row>
    <row r="819" spans="1:14" x14ac:dyDescent="0.3">
      <c r="A819" t="s">
        <v>3032</v>
      </c>
      <c r="B819" s="8">
        <v>45204</v>
      </c>
      <c r="C819" t="s">
        <v>3033</v>
      </c>
      <c r="D819" t="s">
        <v>57</v>
      </c>
      <c r="E819">
        <v>4</v>
      </c>
      <c r="F819">
        <v>598.19000000000005</v>
      </c>
      <c r="G819" t="s">
        <v>3034</v>
      </c>
      <c r="H819" t="s">
        <v>50</v>
      </c>
      <c r="I819" t="s">
        <v>66</v>
      </c>
      <c r="J819" t="s">
        <v>3035</v>
      </c>
      <c r="K819">
        <v>7</v>
      </c>
      <c r="L819" t="s">
        <v>97</v>
      </c>
      <c r="M819" t="s">
        <v>54</v>
      </c>
      <c r="N819">
        <v>2392.7600000000002</v>
      </c>
    </row>
    <row r="820" spans="1:14" x14ac:dyDescent="0.3">
      <c r="A820" t="s">
        <v>3036</v>
      </c>
      <c r="B820" s="8">
        <v>44987</v>
      </c>
      <c r="C820" t="s">
        <v>3037</v>
      </c>
      <c r="D820" t="s">
        <v>41</v>
      </c>
      <c r="E820">
        <v>4</v>
      </c>
      <c r="F820">
        <v>390.84</v>
      </c>
      <c r="G820" t="s">
        <v>2535</v>
      </c>
      <c r="H820" t="s">
        <v>50</v>
      </c>
      <c r="I820" t="s">
        <v>51</v>
      </c>
      <c r="J820" t="s">
        <v>3038</v>
      </c>
      <c r="K820">
        <v>9</v>
      </c>
      <c r="L820" t="s">
        <v>97</v>
      </c>
      <c r="M820" t="s">
        <v>45</v>
      </c>
      <c r="N820">
        <v>1563.36</v>
      </c>
    </row>
    <row r="821" spans="1:14" x14ac:dyDescent="0.3">
      <c r="A821" t="s">
        <v>3039</v>
      </c>
      <c r="B821" s="8">
        <v>45563</v>
      </c>
      <c r="C821" t="s">
        <v>3040</v>
      </c>
      <c r="D821" t="s">
        <v>41</v>
      </c>
      <c r="E821">
        <v>2</v>
      </c>
      <c r="F821">
        <v>398.45</v>
      </c>
      <c r="G821" t="s">
        <v>3041</v>
      </c>
      <c r="H821" t="s">
        <v>34</v>
      </c>
      <c r="I821" t="s">
        <v>51</v>
      </c>
      <c r="J821" t="s">
        <v>3042</v>
      </c>
      <c r="K821">
        <v>7</v>
      </c>
      <c r="L821" t="s">
        <v>37</v>
      </c>
      <c r="M821" t="s">
        <v>92</v>
      </c>
      <c r="N821">
        <v>796.9</v>
      </c>
    </row>
    <row r="822" spans="1:14" x14ac:dyDescent="0.3">
      <c r="A822" t="s">
        <v>3043</v>
      </c>
      <c r="B822" s="8">
        <v>45073</v>
      </c>
      <c r="C822" t="s">
        <v>3044</v>
      </c>
      <c r="D822" t="s">
        <v>41</v>
      </c>
      <c r="E822">
        <v>5</v>
      </c>
      <c r="F822">
        <v>623.80999999999995</v>
      </c>
      <c r="G822" t="s">
        <v>1412</v>
      </c>
      <c r="H822" t="s">
        <v>81</v>
      </c>
      <c r="I822" t="s">
        <v>59</v>
      </c>
      <c r="J822" t="s">
        <v>3045</v>
      </c>
      <c r="K822">
        <v>6</v>
      </c>
      <c r="L822" t="s">
        <v>53</v>
      </c>
      <c r="M822" t="s">
        <v>54</v>
      </c>
      <c r="N822">
        <v>3119.05</v>
      </c>
    </row>
    <row r="823" spans="1:14" x14ac:dyDescent="0.3">
      <c r="A823" t="s">
        <v>3046</v>
      </c>
      <c r="B823" s="8">
        <v>45640</v>
      </c>
      <c r="C823" t="s">
        <v>3047</v>
      </c>
      <c r="D823" t="s">
        <v>74</v>
      </c>
      <c r="E823">
        <v>4</v>
      </c>
      <c r="F823">
        <v>174.49</v>
      </c>
      <c r="G823" t="s">
        <v>1380</v>
      </c>
      <c r="H823" t="s">
        <v>50</v>
      </c>
      <c r="I823" t="s">
        <v>66</v>
      </c>
      <c r="J823" t="s">
        <v>3048</v>
      </c>
      <c r="K823">
        <v>5</v>
      </c>
      <c r="L823" t="s">
        <v>37</v>
      </c>
      <c r="M823" t="s">
        <v>61</v>
      </c>
      <c r="N823">
        <v>697.96</v>
      </c>
    </row>
    <row r="824" spans="1:14" x14ac:dyDescent="0.3">
      <c r="A824" t="s">
        <v>3049</v>
      </c>
      <c r="B824" s="8">
        <v>45731</v>
      </c>
      <c r="C824" t="s">
        <v>3050</v>
      </c>
      <c r="D824" t="s">
        <v>41</v>
      </c>
      <c r="E824">
        <v>1</v>
      </c>
      <c r="F824">
        <v>479.56</v>
      </c>
      <c r="G824" t="s">
        <v>336</v>
      </c>
      <c r="H824" t="s">
        <v>76</v>
      </c>
      <c r="I824" t="s">
        <v>59</v>
      </c>
      <c r="J824" t="s">
        <v>3051</v>
      </c>
      <c r="K824">
        <v>1</v>
      </c>
      <c r="L824" t="s">
        <v>37</v>
      </c>
      <c r="M824" t="s">
        <v>92</v>
      </c>
      <c r="N824">
        <v>479.56</v>
      </c>
    </row>
    <row r="825" spans="1:14" x14ac:dyDescent="0.3">
      <c r="A825" t="s">
        <v>3052</v>
      </c>
      <c r="B825" s="8">
        <v>45572</v>
      </c>
      <c r="C825" t="s">
        <v>3053</v>
      </c>
      <c r="D825" t="s">
        <v>74</v>
      </c>
      <c r="E825">
        <v>4</v>
      </c>
      <c r="F825">
        <v>653.13</v>
      </c>
      <c r="G825" t="s">
        <v>3054</v>
      </c>
      <c r="H825" t="s">
        <v>50</v>
      </c>
      <c r="I825" t="s">
        <v>35</v>
      </c>
      <c r="J825" t="s">
        <v>3055</v>
      </c>
      <c r="K825">
        <v>8</v>
      </c>
      <c r="L825" t="s">
        <v>97</v>
      </c>
      <c r="M825" t="s">
        <v>38</v>
      </c>
      <c r="N825">
        <v>2612.52</v>
      </c>
    </row>
    <row r="826" spans="1:14" x14ac:dyDescent="0.3">
      <c r="A826" t="s">
        <v>3056</v>
      </c>
      <c r="B826" s="8">
        <v>45167</v>
      </c>
      <c r="C826" t="s">
        <v>3057</v>
      </c>
      <c r="D826" t="s">
        <v>32</v>
      </c>
      <c r="E826">
        <v>3</v>
      </c>
      <c r="F826">
        <v>481.1</v>
      </c>
      <c r="G826" t="s">
        <v>3058</v>
      </c>
      <c r="H826" t="s">
        <v>50</v>
      </c>
      <c r="I826" t="s">
        <v>59</v>
      </c>
      <c r="J826" t="s">
        <v>3059</v>
      </c>
      <c r="K826">
        <v>3</v>
      </c>
      <c r="L826" t="s">
        <v>53</v>
      </c>
      <c r="M826" t="s">
        <v>61</v>
      </c>
      <c r="N826">
        <v>1443.3</v>
      </c>
    </row>
    <row r="827" spans="1:14" x14ac:dyDescent="0.3">
      <c r="A827" t="s">
        <v>3060</v>
      </c>
      <c r="B827" s="8">
        <v>45742</v>
      </c>
      <c r="C827" t="s">
        <v>3061</v>
      </c>
      <c r="D827" t="s">
        <v>89</v>
      </c>
      <c r="E827">
        <v>5</v>
      </c>
      <c r="F827">
        <v>271.69</v>
      </c>
      <c r="G827" t="s">
        <v>3062</v>
      </c>
      <c r="H827" t="s">
        <v>43</v>
      </c>
      <c r="I827" t="s">
        <v>59</v>
      </c>
      <c r="J827" t="s">
        <v>3063</v>
      </c>
      <c r="K827">
        <v>7</v>
      </c>
      <c r="L827" t="s">
        <v>53</v>
      </c>
      <c r="M827" t="s">
        <v>38</v>
      </c>
      <c r="N827">
        <v>1358.45</v>
      </c>
    </row>
    <row r="828" spans="1:14" x14ac:dyDescent="0.3">
      <c r="A828" t="s">
        <v>3064</v>
      </c>
      <c r="B828" s="8">
        <v>45724</v>
      </c>
      <c r="C828" t="s">
        <v>3065</v>
      </c>
      <c r="D828" t="s">
        <v>64</v>
      </c>
      <c r="E828">
        <v>3</v>
      </c>
      <c r="F828">
        <v>463.81</v>
      </c>
      <c r="G828" t="s">
        <v>751</v>
      </c>
      <c r="H828" t="s">
        <v>43</v>
      </c>
      <c r="I828" t="s">
        <v>59</v>
      </c>
      <c r="J828" t="s">
        <v>3066</v>
      </c>
      <c r="K828">
        <v>8</v>
      </c>
      <c r="L828" t="s">
        <v>97</v>
      </c>
      <c r="M828" t="s">
        <v>54</v>
      </c>
      <c r="N828">
        <v>1391.43</v>
      </c>
    </row>
    <row r="829" spans="1:14" x14ac:dyDescent="0.3">
      <c r="A829" t="s">
        <v>3067</v>
      </c>
      <c r="B829" s="8">
        <v>45071</v>
      </c>
      <c r="C829" t="s">
        <v>3068</v>
      </c>
      <c r="D829" t="s">
        <v>48</v>
      </c>
      <c r="E829">
        <v>2</v>
      </c>
      <c r="F829">
        <v>639.88</v>
      </c>
      <c r="G829" t="s">
        <v>889</v>
      </c>
      <c r="H829" t="s">
        <v>81</v>
      </c>
      <c r="I829" t="s">
        <v>66</v>
      </c>
      <c r="J829" t="s">
        <v>3069</v>
      </c>
      <c r="K829">
        <v>5</v>
      </c>
      <c r="L829" t="s">
        <v>97</v>
      </c>
      <c r="M829" t="s">
        <v>38</v>
      </c>
      <c r="N829">
        <v>1279.76</v>
      </c>
    </row>
    <row r="830" spans="1:14" x14ac:dyDescent="0.3">
      <c r="A830" t="s">
        <v>3070</v>
      </c>
      <c r="B830" s="8">
        <v>45497</v>
      </c>
      <c r="C830" t="s">
        <v>3071</v>
      </c>
      <c r="D830" t="s">
        <v>57</v>
      </c>
      <c r="E830">
        <v>4</v>
      </c>
      <c r="F830">
        <v>404.58</v>
      </c>
      <c r="G830" t="s">
        <v>3072</v>
      </c>
      <c r="H830" t="s">
        <v>81</v>
      </c>
      <c r="I830" t="s">
        <v>35</v>
      </c>
      <c r="J830" t="s">
        <v>3073</v>
      </c>
      <c r="K830">
        <v>5</v>
      </c>
      <c r="L830" t="s">
        <v>53</v>
      </c>
      <c r="M830" t="s">
        <v>38</v>
      </c>
      <c r="N830">
        <v>1618.32</v>
      </c>
    </row>
    <row r="831" spans="1:14" x14ac:dyDescent="0.3">
      <c r="A831" t="s">
        <v>3074</v>
      </c>
      <c r="B831" s="8">
        <v>44962</v>
      </c>
      <c r="C831" t="s">
        <v>3075</v>
      </c>
      <c r="D831" t="s">
        <v>32</v>
      </c>
      <c r="E831">
        <v>1</v>
      </c>
      <c r="F831">
        <v>76.930000000000007</v>
      </c>
      <c r="G831" t="s">
        <v>3076</v>
      </c>
      <c r="H831" t="s">
        <v>34</v>
      </c>
      <c r="I831" t="s">
        <v>66</v>
      </c>
      <c r="J831" t="s">
        <v>3077</v>
      </c>
      <c r="K831">
        <v>6</v>
      </c>
      <c r="L831" t="s">
        <v>97</v>
      </c>
      <c r="M831" t="s">
        <v>38</v>
      </c>
      <c r="N831">
        <v>76.930000000000007</v>
      </c>
    </row>
    <row r="832" spans="1:14" x14ac:dyDescent="0.3">
      <c r="A832" t="s">
        <v>3078</v>
      </c>
      <c r="B832" s="8">
        <v>45637</v>
      </c>
      <c r="C832" t="s">
        <v>3079</v>
      </c>
      <c r="D832" t="s">
        <v>48</v>
      </c>
      <c r="E832">
        <v>4</v>
      </c>
      <c r="F832">
        <v>190.64</v>
      </c>
      <c r="G832" t="s">
        <v>3080</v>
      </c>
      <c r="H832" t="s">
        <v>81</v>
      </c>
      <c r="I832" t="s">
        <v>66</v>
      </c>
      <c r="J832" t="s">
        <v>3081</v>
      </c>
      <c r="K832">
        <v>5</v>
      </c>
      <c r="L832" t="s">
        <v>37</v>
      </c>
      <c r="M832" t="s">
        <v>54</v>
      </c>
      <c r="N832">
        <v>762.56</v>
      </c>
    </row>
    <row r="833" spans="1:14" x14ac:dyDescent="0.3">
      <c r="A833" t="s">
        <v>3082</v>
      </c>
      <c r="B833" s="8">
        <v>45278</v>
      </c>
      <c r="C833" t="s">
        <v>3083</v>
      </c>
      <c r="D833" t="s">
        <v>64</v>
      </c>
      <c r="E833">
        <v>2</v>
      </c>
      <c r="F833">
        <v>88.73</v>
      </c>
      <c r="G833" t="s">
        <v>2387</v>
      </c>
      <c r="H833" t="s">
        <v>43</v>
      </c>
      <c r="I833" t="s">
        <v>105</v>
      </c>
      <c r="J833" t="s">
        <v>3084</v>
      </c>
      <c r="K833">
        <v>5</v>
      </c>
      <c r="M833" t="s">
        <v>92</v>
      </c>
      <c r="N833">
        <v>177.46</v>
      </c>
    </row>
    <row r="834" spans="1:14" x14ac:dyDescent="0.3">
      <c r="A834" t="s">
        <v>3085</v>
      </c>
      <c r="B834" s="8">
        <v>45363</v>
      </c>
      <c r="C834" t="s">
        <v>3086</v>
      </c>
      <c r="D834" t="s">
        <v>57</v>
      </c>
      <c r="E834">
        <v>5</v>
      </c>
      <c r="F834">
        <v>485.71</v>
      </c>
      <c r="G834" t="s">
        <v>109</v>
      </c>
      <c r="H834" t="s">
        <v>43</v>
      </c>
      <c r="I834" t="s">
        <v>105</v>
      </c>
      <c r="J834" t="s">
        <v>3087</v>
      </c>
      <c r="K834">
        <v>10</v>
      </c>
      <c r="L834" t="s">
        <v>37</v>
      </c>
      <c r="M834" t="s">
        <v>45</v>
      </c>
      <c r="N834">
        <v>2428.5500000000002</v>
      </c>
    </row>
    <row r="835" spans="1:14" x14ac:dyDescent="0.3">
      <c r="A835" t="s">
        <v>3088</v>
      </c>
      <c r="B835" s="8">
        <v>45730</v>
      </c>
      <c r="C835" t="s">
        <v>3089</v>
      </c>
      <c r="D835" t="s">
        <v>41</v>
      </c>
      <c r="E835">
        <v>5</v>
      </c>
      <c r="F835">
        <v>78.290000000000006</v>
      </c>
      <c r="G835" t="s">
        <v>3090</v>
      </c>
      <c r="H835" t="s">
        <v>50</v>
      </c>
      <c r="I835" t="s">
        <v>35</v>
      </c>
      <c r="J835" t="s">
        <v>3091</v>
      </c>
      <c r="K835">
        <v>5</v>
      </c>
      <c r="L835" t="s">
        <v>97</v>
      </c>
      <c r="M835" t="s">
        <v>45</v>
      </c>
      <c r="N835">
        <v>391.45</v>
      </c>
    </row>
    <row r="836" spans="1:14" x14ac:dyDescent="0.3">
      <c r="A836" t="s">
        <v>3092</v>
      </c>
      <c r="B836" s="8">
        <v>45393</v>
      </c>
      <c r="C836" t="s">
        <v>3093</v>
      </c>
      <c r="D836" t="s">
        <v>64</v>
      </c>
      <c r="E836">
        <v>5</v>
      </c>
      <c r="F836">
        <v>22.14</v>
      </c>
      <c r="G836" t="s">
        <v>980</v>
      </c>
      <c r="H836" t="s">
        <v>81</v>
      </c>
      <c r="I836" t="s">
        <v>59</v>
      </c>
      <c r="J836" t="s">
        <v>3094</v>
      </c>
      <c r="K836">
        <v>10</v>
      </c>
      <c r="M836" t="s">
        <v>38</v>
      </c>
      <c r="N836">
        <v>110.7</v>
      </c>
    </row>
    <row r="837" spans="1:14" x14ac:dyDescent="0.3">
      <c r="A837" t="s">
        <v>3095</v>
      </c>
      <c r="B837" s="8">
        <v>45377</v>
      </c>
      <c r="C837" t="s">
        <v>3096</v>
      </c>
      <c r="D837" t="s">
        <v>89</v>
      </c>
      <c r="E837">
        <v>1</v>
      </c>
      <c r="F837">
        <v>679.65</v>
      </c>
      <c r="G837" t="s">
        <v>3097</v>
      </c>
      <c r="H837" t="s">
        <v>34</v>
      </c>
      <c r="I837" t="s">
        <v>35</v>
      </c>
      <c r="J837" t="s">
        <v>3098</v>
      </c>
      <c r="K837">
        <v>6</v>
      </c>
      <c r="L837" t="s">
        <v>53</v>
      </c>
      <c r="M837" t="s">
        <v>92</v>
      </c>
      <c r="N837">
        <v>679.65</v>
      </c>
    </row>
    <row r="838" spans="1:14" x14ac:dyDescent="0.3">
      <c r="A838" t="s">
        <v>3099</v>
      </c>
      <c r="B838" s="8">
        <v>44959</v>
      </c>
      <c r="C838" t="s">
        <v>3100</v>
      </c>
      <c r="D838" t="s">
        <v>41</v>
      </c>
      <c r="E838">
        <v>1</v>
      </c>
      <c r="F838">
        <v>178.44</v>
      </c>
      <c r="G838" t="s">
        <v>2462</v>
      </c>
      <c r="H838" t="s">
        <v>50</v>
      </c>
      <c r="I838" t="s">
        <v>51</v>
      </c>
      <c r="J838" t="s">
        <v>3101</v>
      </c>
      <c r="K838">
        <v>2</v>
      </c>
      <c r="L838" t="s">
        <v>53</v>
      </c>
      <c r="M838" t="s">
        <v>92</v>
      </c>
      <c r="N838">
        <v>178.44</v>
      </c>
    </row>
    <row r="839" spans="1:14" x14ac:dyDescent="0.3">
      <c r="A839" t="s">
        <v>3102</v>
      </c>
      <c r="B839" s="8">
        <v>45822</v>
      </c>
      <c r="C839" t="s">
        <v>3103</v>
      </c>
      <c r="D839" t="s">
        <v>57</v>
      </c>
      <c r="E839">
        <v>5</v>
      </c>
      <c r="F839">
        <v>655.55</v>
      </c>
      <c r="G839" t="s">
        <v>2306</v>
      </c>
      <c r="H839" t="s">
        <v>43</v>
      </c>
      <c r="I839" t="s">
        <v>66</v>
      </c>
      <c r="J839" t="s">
        <v>3104</v>
      </c>
      <c r="K839">
        <v>5</v>
      </c>
      <c r="M839" t="s">
        <v>54</v>
      </c>
      <c r="N839">
        <v>3277.75</v>
      </c>
    </row>
    <row r="840" spans="1:14" x14ac:dyDescent="0.3">
      <c r="A840" t="s">
        <v>3105</v>
      </c>
      <c r="B840" s="8">
        <v>45393</v>
      </c>
      <c r="C840" t="s">
        <v>3106</v>
      </c>
      <c r="D840" t="s">
        <v>89</v>
      </c>
      <c r="E840">
        <v>4</v>
      </c>
      <c r="F840">
        <v>577.08000000000004</v>
      </c>
      <c r="G840" t="s">
        <v>332</v>
      </c>
      <c r="H840" t="s">
        <v>43</v>
      </c>
      <c r="I840" t="s">
        <v>105</v>
      </c>
      <c r="J840" t="s">
        <v>3107</v>
      </c>
      <c r="K840">
        <v>8</v>
      </c>
      <c r="M840" t="s">
        <v>61</v>
      </c>
      <c r="N840">
        <v>2308.3200000000002</v>
      </c>
    </row>
    <row r="841" spans="1:14" x14ac:dyDescent="0.3">
      <c r="A841" t="s">
        <v>3108</v>
      </c>
      <c r="B841" s="8">
        <v>45162</v>
      </c>
      <c r="C841" t="s">
        <v>3109</v>
      </c>
      <c r="D841" t="s">
        <v>57</v>
      </c>
      <c r="E841">
        <v>3</v>
      </c>
      <c r="F841">
        <v>197.97</v>
      </c>
      <c r="G841" t="s">
        <v>2784</v>
      </c>
      <c r="H841" t="s">
        <v>43</v>
      </c>
      <c r="I841" t="s">
        <v>51</v>
      </c>
      <c r="J841" t="s">
        <v>3110</v>
      </c>
      <c r="K841">
        <v>5</v>
      </c>
      <c r="M841" t="s">
        <v>92</v>
      </c>
      <c r="N841">
        <v>593.91</v>
      </c>
    </row>
    <row r="842" spans="1:14" x14ac:dyDescent="0.3">
      <c r="A842" t="s">
        <v>3111</v>
      </c>
      <c r="B842" s="8">
        <v>45305</v>
      </c>
      <c r="C842" t="s">
        <v>3112</v>
      </c>
      <c r="D842" t="s">
        <v>57</v>
      </c>
      <c r="E842">
        <v>3</v>
      </c>
      <c r="F842">
        <v>411.95</v>
      </c>
      <c r="G842" t="s">
        <v>1831</v>
      </c>
      <c r="H842" t="s">
        <v>50</v>
      </c>
      <c r="I842" t="s">
        <v>66</v>
      </c>
      <c r="J842" t="s">
        <v>3113</v>
      </c>
      <c r="K842">
        <v>7</v>
      </c>
      <c r="L842" t="s">
        <v>53</v>
      </c>
      <c r="M842" t="s">
        <v>45</v>
      </c>
      <c r="N842">
        <v>1235.8499999999999</v>
      </c>
    </row>
    <row r="843" spans="1:14" x14ac:dyDescent="0.3">
      <c r="A843" t="s">
        <v>3114</v>
      </c>
      <c r="B843" s="8">
        <v>45554</v>
      </c>
      <c r="C843" t="s">
        <v>3115</v>
      </c>
      <c r="D843" t="s">
        <v>64</v>
      </c>
      <c r="E843">
        <v>2</v>
      </c>
      <c r="F843">
        <v>443.22</v>
      </c>
      <c r="G843" t="s">
        <v>3116</v>
      </c>
      <c r="H843" t="s">
        <v>50</v>
      </c>
      <c r="I843" t="s">
        <v>66</v>
      </c>
      <c r="J843" t="s">
        <v>3117</v>
      </c>
      <c r="K843">
        <v>5</v>
      </c>
      <c r="M843" t="s">
        <v>61</v>
      </c>
      <c r="N843">
        <v>886.44</v>
      </c>
    </row>
    <row r="844" spans="1:14" x14ac:dyDescent="0.3">
      <c r="A844" t="s">
        <v>3118</v>
      </c>
      <c r="B844" s="8">
        <v>45784</v>
      </c>
      <c r="C844" t="s">
        <v>3119</v>
      </c>
      <c r="D844" t="s">
        <v>74</v>
      </c>
      <c r="E844">
        <v>3</v>
      </c>
      <c r="F844">
        <v>364.14</v>
      </c>
      <c r="G844" t="s">
        <v>2595</v>
      </c>
      <c r="H844" t="s">
        <v>43</v>
      </c>
      <c r="I844" t="s">
        <v>105</v>
      </c>
      <c r="J844" t="s">
        <v>3120</v>
      </c>
      <c r="K844">
        <v>7</v>
      </c>
      <c r="L844" t="s">
        <v>97</v>
      </c>
      <c r="M844" t="s">
        <v>45</v>
      </c>
      <c r="N844">
        <v>1092.42</v>
      </c>
    </row>
    <row r="845" spans="1:14" x14ac:dyDescent="0.3">
      <c r="A845" t="s">
        <v>3121</v>
      </c>
      <c r="B845" s="8">
        <v>45790</v>
      </c>
      <c r="C845" t="s">
        <v>3122</v>
      </c>
      <c r="D845" t="s">
        <v>89</v>
      </c>
      <c r="E845">
        <v>3</v>
      </c>
      <c r="F845">
        <v>430.06</v>
      </c>
      <c r="G845" t="s">
        <v>3123</v>
      </c>
      <c r="H845" t="s">
        <v>76</v>
      </c>
      <c r="I845" t="s">
        <v>51</v>
      </c>
      <c r="J845" t="s">
        <v>3124</v>
      </c>
      <c r="K845">
        <v>8</v>
      </c>
      <c r="L845" t="s">
        <v>53</v>
      </c>
      <c r="M845" t="s">
        <v>38</v>
      </c>
      <c r="N845">
        <v>1290.18</v>
      </c>
    </row>
    <row r="846" spans="1:14" x14ac:dyDescent="0.3">
      <c r="A846" t="s">
        <v>3125</v>
      </c>
      <c r="B846" s="8">
        <v>45630</v>
      </c>
      <c r="C846" t="s">
        <v>3126</v>
      </c>
      <c r="D846" t="s">
        <v>57</v>
      </c>
      <c r="E846">
        <v>1</v>
      </c>
      <c r="F846">
        <v>320.92</v>
      </c>
      <c r="G846" t="s">
        <v>3127</v>
      </c>
      <c r="H846" t="s">
        <v>43</v>
      </c>
      <c r="I846" t="s">
        <v>59</v>
      </c>
      <c r="J846" t="s">
        <v>3128</v>
      </c>
      <c r="K846">
        <v>5</v>
      </c>
      <c r="L846" t="s">
        <v>53</v>
      </c>
      <c r="M846" t="s">
        <v>61</v>
      </c>
      <c r="N846">
        <v>320.92</v>
      </c>
    </row>
    <row r="847" spans="1:14" x14ac:dyDescent="0.3">
      <c r="A847" t="s">
        <v>3129</v>
      </c>
      <c r="B847" s="8">
        <v>45207</v>
      </c>
      <c r="C847" t="s">
        <v>3130</v>
      </c>
      <c r="D847" t="s">
        <v>41</v>
      </c>
      <c r="E847">
        <v>3</v>
      </c>
      <c r="F847">
        <v>107.36</v>
      </c>
      <c r="G847" t="s">
        <v>3131</v>
      </c>
      <c r="H847" t="s">
        <v>76</v>
      </c>
      <c r="I847" t="s">
        <v>66</v>
      </c>
      <c r="J847" t="s">
        <v>3132</v>
      </c>
      <c r="K847">
        <v>5</v>
      </c>
      <c r="L847" t="s">
        <v>53</v>
      </c>
      <c r="M847" t="s">
        <v>92</v>
      </c>
      <c r="N847">
        <v>322.08</v>
      </c>
    </row>
    <row r="848" spans="1:14" x14ac:dyDescent="0.3">
      <c r="A848" t="s">
        <v>3133</v>
      </c>
      <c r="B848" s="8">
        <v>45477</v>
      </c>
      <c r="C848" t="s">
        <v>3134</v>
      </c>
      <c r="D848" t="s">
        <v>89</v>
      </c>
      <c r="E848">
        <v>2</v>
      </c>
      <c r="F848">
        <v>359.86</v>
      </c>
      <c r="G848" t="s">
        <v>3135</v>
      </c>
      <c r="H848" t="s">
        <v>34</v>
      </c>
      <c r="I848" t="s">
        <v>51</v>
      </c>
      <c r="J848" t="s">
        <v>3136</v>
      </c>
      <c r="K848">
        <v>4</v>
      </c>
      <c r="M848" t="s">
        <v>45</v>
      </c>
      <c r="N848">
        <v>719.72</v>
      </c>
    </row>
    <row r="849" spans="1:14" x14ac:dyDescent="0.3">
      <c r="A849" t="s">
        <v>3137</v>
      </c>
      <c r="B849" s="8">
        <v>45614</v>
      </c>
      <c r="C849" t="s">
        <v>3138</v>
      </c>
      <c r="D849" t="s">
        <v>64</v>
      </c>
      <c r="E849">
        <v>4</v>
      </c>
      <c r="F849">
        <v>434.23</v>
      </c>
      <c r="G849" t="s">
        <v>1177</v>
      </c>
      <c r="H849" t="s">
        <v>43</v>
      </c>
      <c r="I849" t="s">
        <v>35</v>
      </c>
      <c r="J849" t="s">
        <v>3139</v>
      </c>
      <c r="K849">
        <v>8</v>
      </c>
      <c r="L849" t="s">
        <v>53</v>
      </c>
      <c r="M849" t="s">
        <v>54</v>
      </c>
      <c r="N849">
        <v>1736.92</v>
      </c>
    </row>
    <row r="850" spans="1:14" x14ac:dyDescent="0.3">
      <c r="A850" t="s">
        <v>3140</v>
      </c>
      <c r="B850" s="8">
        <v>44927</v>
      </c>
      <c r="C850" t="s">
        <v>3141</v>
      </c>
      <c r="D850" t="s">
        <v>57</v>
      </c>
      <c r="E850">
        <v>2</v>
      </c>
      <c r="F850">
        <v>645.85</v>
      </c>
      <c r="G850" t="s">
        <v>293</v>
      </c>
      <c r="H850" t="s">
        <v>43</v>
      </c>
      <c r="I850" t="s">
        <v>35</v>
      </c>
      <c r="J850" t="s">
        <v>3142</v>
      </c>
      <c r="K850">
        <v>5</v>
      </c>
      <c r="M850" t="s">
        <v>45</v>
      </c>
      <c r="N850">
        <v>1291.7</v>
      </c>
    </row>
    <row r="851" spans="1:14" x14ac:dyDescent="0.3">
      <c r="A851" t="s">
        <v>3143</v>
      </c>
      <c r="B851" s="8">
        <v>45817</v>
      </c>
      <c r="C851" t="s">
        <v>3144</v>
      </c>
      <c r="D851" t="s">
        <v>64</v>
      </c>
      <c r="E851">
        <v>4</v>
      </c>
      <c r="F851">
        <v>214.35</v>
      </c>
      <c r="G851" t="s">
        <v>3058</v>
      </c>
      <c r="H851" t="s">
        <v>34</v>
      </c>
      <c r="I851" t="s">
        <v>51</v>
      </c>
      <c r="J851" t="s">
        <v>3145</v>
      </c>
      <c r="K851">
        <v>7</v>
      </c>
      <c r="L851" t="s">
        <v>97</v>
      </c>
      <c r="M851" t="s">
        <v>45</v>
      </c>
      <c r="N851">
        <v>857.4</v>
      </c>
    </row>
    <row r="852" spans="1:14" x14ac:dyDescent="0.3">
      <c r="A852" t="s">
        <v>3146</v>
      </c>
      <c r="B852" s="8">
        <v>45774</v>
      </c>
      <c r="C852" t="s">
        <v>3147</v>
      </c>
      <c r="D852" t="s">
        <v>32</v>
      </c>
      <c r="E852">
        <v>3</v>
      </c>
      <c r="F852">
        <v>638.5</v>
      </c>
      <c r="G852" t="s">
        <v>2700</v>
      </c>
      <c r="H852" t="s">
        <v>34</v>
      </c>
      <c r="I852" t="s">
        <v>51</v>
      </c>
      <c r="J852" t="s">
        <v>3148</v>
      </c>
      <c r="K852">
        <v>4</v>
      </c>
      <c r="L852" t="s">
        <v>53</v>
      </c>
      <c r="M852" t="s">
        <v>38</v>
      </c>
      <c r="N852">
        <v>1915.5</v>
      </c>
    </row>
    <row r="853" spans="1:14" x14ac:dyDescent="0.3">
      <c r="A853" t="s">
        <v>3149</v>
      </c>
      <c r="B853" s="8">
        <v>45272</v>
      </c>
      <c r="C853" t="s">
        <v>3150</v>
      </c>
      <c r="D853" t="s">
        <v>74</v>
      </c>
      <c r="E853">
        <v>1</v>
      </c>
      <c r="F853">
        <v>365.57</v>
      </c>
      <c r="G853" t="s">
        <v>363</v>
      </c>
      <c r="H853" t="s">
        <v>43</v>
      </c>
      <c r="I853" t="s">
        <v>51</v>
      </c>
      <c r="J853" t="s">
        <v>3151</v>
      </c>
      <c r="K853">
        <v>5</v>
      </c>
      <c r="L853" t="s">
        <v>37</v>
      </c>
      <c r="M853" t="s">
        <v>54</v>
      </c>
      <c r="N853">
        <v>365.57</v>
      </c>
    </row>
    <row r="854" spans="1:14" x14ac:dyDescent="0.3">
      <c r="A854" t="s">
        <v>3152</v>
      </c>
      <c r="B854" s="8">
        <v>45589</v>
      </c>
      <c r="C854" t="s">
        <v>3153</v>
      </c>
      <c r="D854" t="s">
        <v>89</v>
      </c>
      <c r="E854">
        <v>3</v>
      </c>
      <c r="F854">
        <v>568.04999999999995</v>
      </c>
      <c r="G854" t="s">
        <v>3154</v>
      </c>
      <c r="H854" t="s">
        <v>76</v>
      </c>
      <c r="I854" t="s">
        <v>105</v>
      </c>
      <c r="J854" t="s">
        <v>3155</v>
      </c>
      <c r="K854">
        <v>6</v>
      </c>
      <c r="L854" t="s">
        <v>37</v>
      </c>
      <c r="M854" t="s">
        <v>92</v>
      </c>
      <c r="N854">
        <v>1704.15</v>
      </c>
    </row>
    <row r="855" spans="1:14" x14ac:dyDescent="0.3">
      <c r="A855" t="s">
        <v>3156</v>
      </c>
      <c r="B855" s="8">
        <v>45215</v>
      </c>
      <c r="C855" t="s">
        <v>3157</v>
      </c>
      <c r="D855" t="s">
        <v>64</v>
      </c>
      <c r="E855">
        <v>3</v>
      </c>
      <c r="F855">
        <v>490.01</v>
      </c>
      <c r="G855" t="s">
        <v>1210</v>
      </c>
      <c r="H855" t="s">
        <v>81</v>
      </c>
      <c r="I855" t="s">
        <v>59</v>
      </c>
      <c r="J855" t="s">
        <v>3158</v>
      </c>
      <c r="K855">
        <v>4</v>
      </c>
      <c r="L855" t="s">
        <v>37</v>
      </c>
      <c r="M855" t="s">
        <v>61</v>
      </c>
      <c r="N855">
        <v>1470.03</v>
      </c>
    </row>
    <row r="856" spans="1:14" x14ac:dyDescent="0.3">
      <c r="A856" t="s">
        <v>3159</v>
      </c>
      <c r="B856" s="8">
        <v>45821</v>
      </c>
      <c r="C856" t="s">
        <v>3160</v>
      </c>
      <c r="D856" t="s">
        <v>74</v>
      </c>
      <c r="E856">
        <v>3</v>
      </c>
      <c r="F856">
        <v>372.6</v>
      </c>
      <c r="G856" t="s">
        <v>1747</v>
      </c>
      <c r="H856" t="s">
        <v>50</v>
      </c>
      <c r="I856" t="s">
        <v>66</v>
      </c>
      <c r="J856" t="s">
        <v>3161</v>
      </c>
      <c r="K856">
        <v>7</v>
      </c>
      <c r="L856" t="s">
        <v>97</v>
      </c>
      <c r="M856" t="s">
        <v>45</v>
      </c>
      <c r="N856">
        <v>1117.8</v>
      </c>
    </row>
    <row r="857" spans="1:14" x14ac:dyDescent="0.3">
      <c r="A857" t="s">
        <v>3162</v>
      </c>
      <c r="B857" s="8">
        <v>45071</v>
      </c>
      <c r="C857" t="s">
        <v>3163</v>
      </c>
      <c r="D857" t="s">
        <v>32</v>
      </c>
      <c r="E857">
        <v>5</v>
      </c>
      <c r="F857">
        <v>240.61</v>
      </c>
      <c r="G857" t="s">
        <v>1012</v>
      </c>
      <c r="H857" t="s">
        <v>50</v>
      </c>
      <c r="I857" t="s">
        <v>35</v>
      </c>
      <c r="J857" t="s">
        <v>3164</v>
      </c>
      <c r="K857">
        <v>10</v>
      </c>
      <c r="L857" t="s">
        <v>53</v>
      </c>
      <c r="M857" t="s">
        <v>54</v>
      </c>
      <c r="N857">
        <v>1203.05</v>
      </c>
    </row>
    <row r="858" spans="1:14" x14ac:dyDescent="0.3">
      <c r="A858" t="s">
        <v>3165</v>
      </c>
      <c r="B858" s="8">
        <v>45446</v>
      </c>
      <c r="C858" t="s">
        <v>3166</v>
      </c>
      <c r="D858" t="s">
        <v>41</v>
      </c>
      <c r="E858">
        <v>1</v>
      </c>
      <c r="F858">
        <v>586.62</v>
      </c>
      <c r="G858" t="s">
        <v>228</v>
      </c>
      <c r="H858" t="s">
        <v>34</v>
      </c>
      <c r="I858" t="s">
        <v>35</v>
      </c>
      <c r="J858" t="s">
        <v>3167</v>
      </c>
      <c r="K858">
        <v>5</v>
      </c>
      <c r="M858" t="s">
        <v>61</v>
      </c>
      <c r="N858">
        <v>586.62</v>
      </c>
    </row>
    <row r="859" spans="1:14" x14ac:dyDescent="0.3">
      <c r="A859" t="s">
        <v>3168</v>
      </c>
      <c r="B859" s="8">
        <v>45361</v>
      </c>
      <c r="C859" t="s">
        <v>3169</v>
      </c>
      <c r="D859" t="s">
        <v>41</v>
      </c>
      <c r="E859">
        <v>3</v>
      </c>
      <c r="F859">
        <v>257.83999999999997</v>
      </c>
      <c r="G859" t="s">
        <v>874</v>
      </c>
      <c r="H859" t="s">
        <v>43</v>
      </c>
      <c r="I859" t="s">
        <v>66</v>
      </c>
      <c r="J859" t="s">
        <v>3170</v>
      </c>
      <c r="K859">
        <v>4</v>
      </c>
      <c r="M859" t="s">
        <v>38</v>
      </c>
      <c r="N859">
        <v>773.52</v>
      </c>
    </row>
    <row r="860" spans="1:14" x14ac:dyDescent="0.3">
      <c r="A860" t="s">
        <v>3171</v>
      </c>
      <c r="B860" s="8">
        <v>45158</v>
      </c>
      <c r="C860" t="s">
        <v>3172</v>
      </c>
      <c r="D860" t="s">
        <v>48</v>
      </c>
      <c r="E860">
        <v>5</v>
      </c>
      <c r="F860">
        <v>435.66</v>
      </c>
      <c r="G860" t="s">
        <v>129</v>
      </c>
      <c r="H860" t="s">
        <v>43</v>
      </c>
      <c r="I860" t="s">
        <v>105</v>
      </c>
      <c r="J860" t="s">
        <v>3173</v>
      </c>
      <c r="K860">
        <v>9</v>
      </c>
      <c r="M860" t="s">
        <v>61</v>
      </c>
      <c r="N860">
        <v>2178.3000000000002</v>
      </c>
    </row>
    <row r="861" spans="1:14" x14ac:dyDescent="0.3">
      <c r="A861" t="s">
        <v>3174</v>
      </c>
      <c r="B861" s="8">
        <v>45532</v>
      </c>
      <c r="C861" t="s">
        <v>3175</v>
      </c>
      <c r="D861" t="s">
        <v>57</v>
      </c>
      <c r="E861">
        <v>5</v>
      </c>
      <c r="F861">
        <v>261.33</v>
      </c>
      <c r="G861" t="s">
        <v>2327</v>
      </c>
      <c r="H861" t="s">
        <v>50</v>
      </c>
      <c r="I861" t="s">
        <v>59</v>
      </c>
      <c r="J861" t="s">
        <v>3176</v>
      </c>
      <c r="K861">
        <v>5</v>
      </c>
      <c r="L861" t="s">
        <v>37</v>
      </c>
      <c r="M861" t="s">
        <v>45</v>
      </c>
      <c r="N861">
        <v>1306.6500000000001</v>
      </c>
    </row>
    <row r="862" spans="1:14" x14ac:dyDescent="0.3">
      <c r="A862" t="s">
        <v>3177</v>
      </c>
      <c r="B862" s="8">
        <v>45314</v>
      </c>
      <c r="C862" t="s">
        <v>3178</v>
      </c>
      <c r="D862" t="s">
        <v>64</v>
      </c>
      <c r="E862">
        <v>1</v>
      </c>
      <c r="F862">
        <v>422.54</v>
      </c>
      <c r="G862" t="s">
        <v>1384</v>
      </c>
      <c r="H862" t="s">
        <v>81</v>
      </c>
      <c r="I862" t="s">
        <v>66</v>
      </c>
      <c r="J862" t="s">
        <v>3179</v>
      </c>
      <c r="K862">
        <v>1</v>
      </c>
      <c r="L862" t="s">
        <v>37</v>
      </c>
      <c r="M862" t="s">
        <v>92</v>
      </c>
      <c r="N862">
        <v>422.54</v>
      </c>
    </row>
    <row r="863" spans="1:14" x14ac:dyDescent="0.3">
      <c r="A863" t="s">
        <v>3180</v>
      </c>
      <c r="B863" s="8">
        <v>45004</v>
      </c>
      <c r="C863" t="s">
        <v>3181</v>
      </c>
      <c r="D863" t="s">
        <v>89</v>
      </c>
      <c r="E863">
        <v>5</v>
      </c>
      <c r="F863">
        <v>330.45</v>
      </c>
      <c r="G863" t="s">
        <v>3182</v>
      </c>
      <c r="H863" t="s">
        <v>76</v>
      </c>
      <c r="I863" t="s">
        <v>35</v>
      </c>
      <c r="J863" t="s">
        <v>3183</v>
      </c>
      <c r="K863">
        <v>10</v>
      </c>
      <c r="L863" t="s">
        <v>53</v>
      </c>
      <c r="M863" t="s">
        <v>92</v>
      </c>
      <c r="N863">
        <v>1652.25</v>
      </c>
    </row>
    <row r="864" spans="1:14" x14ac:dyDescent="0.3">
      <c r="A864" t="s">
        <v>3184</v>
      </c>
      <c r="B864" s="8">
        <v>45262</v>
      </c>
      <c r="C864" t="s">
        <v>3185</v>
      </c>
      <c r="D864" t="s">
        <v>89</v>
      </c>
      <c r="E864">
        <v>3</v>
      </c>
      <c r="F864">
        <v>120.82</v>
      </c>
      <c r="G864" t="s">
        <v>2636</v>
      </c>
      <c r="H864" t="s">
        <v>50</v>
      </c>
      <c r="I864" t="s">
        <v>35</v>
      </c>
      <c r="J864" t="s">
        <v>3186</v>
      </c>
      <c r="K864">
        <v>5</v>
      </c>
      <c r="L864" t="s">
        <v>37</v>
      </c>
      <c r="M864" t="s">
        <v>45</v>
      </c>
      <c r="N864">
        <v>362.46</v>
      </c>
    </row>
    <row r="865" spans="1:14" x14ac:dyDescent="0.3">
      <c r="A865" t="s">
        <v>3187</v>
      </c>
      <c r="B865" s="8">
        <v>45432</v>
      </c>
      <c r="C865" t="s">
        <v>3188</v>
      </c>
      <c r="D865" t="s">
        <v>41</v>
      </c>
      <c r="E865">
        <v>1</v>
      </c>
      <c r="F865">
        <v>14.06</v>
      </c>
      <c r="G865" t="s">
        <v>1016</v>
      </c>
      <c r="H865" t="s">
        <v>50</v>
      </c>
      <c r="I865" t="s">
        <v>105</v>
      </c>
      <c r="J865" t="s">
        <v>3189</v>
      </c>
      <c r="K865">
        <v>5</v>
      </c>
      <c r="L865" t="s">
        <v>37</v>
      </c>
      <c r="M865" t="s">
        <v>45</v>
      </c>
      <c r="N865">
        <v>14.06</v>
      </c>
    </row>
    <row r="866" spans="1:14" x14ac:dyDescent="0.3">
      <c r="A866" t="s">
        <v>3190</v>
      </c>
      <c r="B866" s="8">
        <v>45049</v>
      </c>
      <c r="C866" t="s">
        <v>3191</v>
      </c>
      <c r="D866" t="s">
        <v>89</v>
      </c>
      <c r="E866">
        <v>1</v>
      </c>
      <c r="F866">
        <v>491.11</v>
      </c>
      <c r="G866" t="s">
        <v>3192</v>
      </c>
      <c r="H866" t="s">
        <v>50</v>
      </c>
      <c r="I866" t="s">
        <v>66</v>
      </c>
      <c r="J866" t="s">
        <v>3193</v>
      </c>
      <c r="K866">
        <v>4</v>
      </c>
      <c r="L866" t="s">
        <v>37</v>
      </c>
      <c r="M866" t="s">
        <v>61</v>
      </c>
      <c r="N866">
        <v>491.11</v>
      </c>
    </row>
    <row r="867" spans="1:14" x14ac:dyDescent="0.3">
      <c r="A867" t="s">
        <v>3194</v>
      </c>
      <c r="B867" s="8">
        <v>45046</v>
      </c>
      <c r="C867" t="s">
        <v>3195</v>
      </c>
      <c r="D867" t="s">
        <v>32</v>
      </c>
      <c r="E867">
        <v>4</v>
      </c>
      <c r="F867">
        <v>677.37</v>
      </c>
      <c r="G867" t="s">
        <v>3196</v>
      </c>
      <c r="H867" t="s">
        <v>81</v>
      </c>
      <c r="I867" t="s">
        <v>105</v>
      </c>
      <c r="J867" t="s">
        <v>3197</v>
      </c>
      <c r="K867">
        <v>8</v>
      </c>
      <c r="L867" t="s">
        <v>37</v>
      </c>
      <c r="M867" t="s">
        <v>92</v>
      </c>
      <c r="N867">
        <v>2709.48</v>
      </c>
    </row>
    <row r="868" spans="1:14" x14ac:dyDescent="0.3">
      <c r="A868" t="s">
        <v>3198</v>
      </c>
      <c r="B868" s="8">
        <v>45499</v>
      </c>
      <c r="C868" t="s">
        <v>3199</v>
      </c>
      <c r="D868" t="s">
        <v>89</v>
      </c>
      <c r="E868">
        <v>5</v>
      </c>
      <c r="F868">
        <v>189.25</v>
      </c>
      <c r="G868" t="s">
        <v>3200</v>
      </c>
      <c r="H868" t="s">
        <v>34</v>
      </c>
      <c r="I868" t="s">
        <v>51</v>
      </c>
      <c r="J868" t="s">
        <v>3201</v>
      </c>
      <c r="K868">
        <v>10</v>
      </c>
      <c r="L868" t="s">
        <v>97</v>
      </c>
      <c r="M868" t="s">
        <v>54</v>
      </c>
      <c r="N868">
        <v>946.25</v>
      </c>
    </row>
    <row r="869" spans="1:14" x14ac:dyDescent="0.3">
      <c r="A869" t="s">
        <v>3202</v>
      </c>
      <c r="B869" s="8">
        <v>45438</v>
      </c>
      <c r="C869" t="s">
        <v>3203</v>
      </c>
      <c r="D869" t="s">
        <v>64</v>
      </c>
      <c r="E869">
        <v>4</v>
      </c>
      <c r="F869">
        <v>142.58000000000001</v>
      </c>
      <c r="G869" t="s">
        <v>3204</v>
      </c>
      <c r="H869" t="s">
        <v>81</v>
      </c>
      <c r="I869" t="s">
        <v>66</v>
      </c>
      <c r="J869" t="s">
        <v>3205</v>
      </c>
      <c r="K869">
        <v>4</v>
      </c>
      <c r="L869" t="s">
        <v>53</v>
      </c>
      <c r="M869" t="s">
        <v>61</v>
      </c>
      <c r="N869">
        <v>570.32000000000005</v>
      </c>
    </row>
    <row r="870" spans="1:14" x14ac:dyDescent="0.3">
      <c r="A870" t="s">
        <v>3206</v>
      </c>
      <c r="B870" s="8">
        <v>45472</v>
      </c>
      <c r="C870" t="s">
        <v>3207</v>
      </c>
      <c r="D870" t="s">
        <v>32</v>
      </c>
      <c r="E870">
        <v>4</v>
      </c>
      <c r="F870">
        <v>316.32</v>
      </c>
      <c r="G870" t="s">
        <v>3208</v>
      </c>
      <c r="H870" t="s">
        <v>34</v>
      </c>
      <c r="I870" t="s">
        <v>66</v>
      </c>
      <c r="J870" t="s">
        <v>3209</v>
      </c>
      <c r="K870">
        <v>7</v>
      </c>
      <c r="M870" t="s">
        <v>61</v>
      </c>
      <c r="N870">
        <v>1265.28</v>
      </c>
    </row>
    <row r="871" spans="1:14" x14ac:dyDescent="0.3">
      <c r="A871" t="s">
        <v>3210</v>
      </c>
      <c r="B871" s="8">
        <v>45368</v>
      </c>
      <c r="C871" t="s">
        <v>3211</v>
      </c>
      <c r="D871" t="s">
        <v>89</v>
      </c>
      <c r="E871">
        <v>2</v>
      </c>
      <c r="F871">
        <v>533.95000000000005</v>
      </c>
      <c r="G871" t="s">
        <v>735</v>
      </c>
      <c r="H871" t="s">
        <v>43</v>
      </c>
      <c r="I871" t="s">
        <v>66</v>
      </c>
      <c r="J871" t="s">
        <v>3212</v>
      </c>
      <c r="K871">
        <v>5</v>
      </c>
      <c r="L871" t="s">
        <v>97</v>
      </c>
      <c r="M871" t="s">
        <v>92</v>
      </c>
      <c r="N871">
        <v>1067.9000000000001</v>
      </c>
    </row>
    <row r="872" spans="1:14" x14ac:dyDescent="0.3">
      <c r="A872" t="s">
        <v>3213</v>
      </c>
      <c r="B872" s="8">
        <v>45809</v>
      </c>
      <c r="C872" t="s">
        <v>3214</v>
      </c>
      <c r="D872" t="s">
        <v>41</v>
      </c>
      <c r="E872">
        <v>4</v>
      </c>
      <c r="F872">
        <v>470.09</v>
      </c>
      <c r="G872" t="s">
        <v>3215</v>
      </c>
      <c r="H872" t="s">
        <v>34</v>
      </c>
      <c r="I872" t="s">
        <v>66</v>
      </c>
      <c r="J872" t="s">
        <v>3216</v>
      </c>
      <c r="K872">
        <v>4</v>
      </c>
      <c r="L872" t="s">
        <v>53</v>
      </c>
      <c r="M872" t="s">
        <v>92</v>
      </c>
      <c r="N872">
        <v>1880.36</v>
      </c>
    </row>
    <row r="873" spans="1:14" x14ac:dyDescent="0.3">
      <c r="A873" t="s">
        <v>3217</v>
      </c>
      <c r="B873" s="8">
        <v>45428</v>
      </c>
      <c r="C873" t="s">
        <v>3218</v>
      </c>
      <c r="D873" t="s">
        <v>48</v>
      </c>
      <c r="E873">
        <v>3</v>
      </c>
      <c r="F873">
        <v>324.3</v>
      </c>
      <c r="G873" t="s">
        <v>3219</v>
      </c>
      <c r="H873" t="s">
        <v>34</v>
      </c>
      <c r="I873" t="s">
        <v>105</v>
      </c>
      <c r="J873" t="s">
        <v>3220</v>
      </c>
      <c r="K873">
        <v>8</v>
      </c>
      <c r="L873" t="s">
        <v>53</v>
      </c>
      <c r="M873" t="s">
        <v>54</v>
      </c>
      <c r="N873">
        <v>972.9</v>
      </c>
    </row>
    <row r="874" spans="1:14" x14ac:dyDescent="0.3">
      <c r="A874" t="s">
        <v>3221</v>
      </c>
      <c r="B874" s="8">
        <v>45117</v>
      </c>
      <c r="C874" t="s">
        <v>3222</v>
      </c>
      <c r="D874" t="s">
        <v>57</v>
      </c>
      <c r="E874">
        <v>4</v>
      </c>
      <c r="F874">
        <v>629.34</v>
      </c>
      <c r="G874" t="s">
        <v>846</v>
      </c>
      <c r="H874" t="s">
        <v>81</v>
      </c>
      <c r="I874" t="s">
        <v>35</v>
      </c>
      <c r="J874" t="s">
        <v>3223</v>
      </c>
      <c r="K874">
        <v>7</v>
      </c>
      <c r="M874" t="s">
        <v>54</v>
      </c>
      <c r="N874">
        <v>2517.36</v>
      </c>
    </row>
    <row r="875" spans="1:14" x14ac:dyDescent="0.3">
      <c r="A875" t="s">
        <v>3224</v>
      </c>
      <c r="B875" s="8">
        <v>45424</v>
      </c>
      <c r="C875" t="s">
        <v>3225</v>
      </c>
      <c r="D875" t="s">
        <v>89</v>
      </c>
      <c r="E875">
        <v>3</v>
      </c>
      <c r="F875">
        <v>136.84</v>
      </c>
      <c r="G875" t="s">
        <v>3226</v>
      </c>
      <c r="H875" t="s">
        <v>81</v>
      </c>
      <c r="I875" t="s">
        <v>66</v>
      </c>
      <c r="J875" t="s">
        <v>3227</v>
      </c>
      <c r="K875">
        <v>3</v>
      </c>
      <c r="L875" t="s">
        <v>37</v>
      </c>
      <c r="M875" t="s">
        <v>61</v>
      </c>
      <c r="N875">
        <v>410.52</v>
      </c>
    </row>
    <row r="876" spans="1:14" x14ac:dyDescent="0.3">
      <c r="A876" t="s">
        <v>3228</v>
      </c>
      <c r="B876" s="8">
        <v>45230</v>
      </c>
      <c r="C876" t="s">
        <v>3229</v>
      </c>
      <c r="D876" t="s">
        <v>57</v>
      </c>
      <c r="E876">
        <v>2</v>
      </c>
      <c r="F876">
        <v>488.9</v>
      </c>
      <c r="G876" t="s">
        <v>2664</v>
      </c>
      <c r="H876" t="s">
        <v>81</v>
      </c>
      <c r="I876" t="s">
        <v>66</v>
      </c>
      <c r="J876" t="s">
        <v>3230</v>
      </c>
      <c r="K876">
        <v>7</v>
      </c>
      <c r="L876" t="s">
        <v>53</v>
      </c>
      <c r="M876" t="s">
        <v>61</v>
      </c>
      <c r="N876">
        <v>977.8</v>
      </c>
    </row>
    <row r="877" spans="1:14" x14ac:dyDescent="0.3">
      <c r="A877" t="s">
        <v>3231</v>
      </c>
      <c r="B877" s="8">
        <v>45141</v>
      </c>
      <c r="C877" t="s">
        <v>3232</v>
      </c>
      <c r="D877" t="s">
        <v>74</v>
      </c>
      <c r="E877">
        <v>5</v>
      </c>
      <c r="F877">
        <v>133.38999999999999</v>
      </c>
      <c r="G877" t="s">
        <v>419</v>
      </c>
      <c r="H877" t="s">
        <v>50</v>
      </c>
      <c r="I877" t="s">
        <v>66</v>
      </c>
      <c r="J877" t="s">
        <v>3233</v>
      </c>
      <c r="K877">
        <v>6</v>
      </c>
      <c r="L877" t="s">
        <v>53</v>
      </c>
      <c r="M877" t="s">
        <v>45</v>
      </c>
      <c r="N877">
        <v>666.95</v>
      </c>
    </row>
    <row r="878" spans="1:14" x14ac:dyDescent="0.3">
      <c r="A878" t="s">
        <v>3234</v>
      </c>
      <c r="B878" s="8">
        <v>45452</v>
      </c>
      <c r="C878" t="s">
        <v>3235</v>
      </c>
      <c r="D878" t="s">
        <v>57</v>
      </c>
      <c r="E878">
        <v>5</v>
      </c>
      <c r="F878">
        <v>608.91</v>
      </c>
      <c r="G878" t="s">
        <v>2776</v>
      </c>
      <c r="H878" t="s">
        <v>76</v>
      </c>
      <c r="I878" t="s">
        <v>105</v>
      </c>
      <c r="J878" t="s">
        <v>3236</v>
      </c>
      <c r="K878">
        <v>6</v>
      </c>
      <c r="L878" t="s">
        <v>37</v>
      </c>
      <c r="M878" t="s">
        <v>92</v>
      </c>
      <c r="N878">
        <v>3044.55</v>
      </c>
    </row>
    <row r="879" spans="1:14" x14ac:dyDescent="0.3">
      <c r="A879" t="s">
        <v>3237</v>
      </c>
      <c r="B879" s="8">
        <v>45498</v>
      </c>
      <c r="C879" t="s">
        <v>3238</v>
      </c>
      <c r="D879" t="s">
        <v>48</v>
      </c>
      <c r="E879">
        <v>1</v>
      </c>
      <c r="F879">
        <v>524.05999999999995</v>
      </c>
      <c r="G879" t="s">
        <v>2362</v>
      </c>
      <c r="H879" t="s">
        <v>34</v>
      </c>
      <c r="I879" t="s">
        <v>105</v>
      </c>
      <c r="J879" t="s">
        <v>3239</v>
      </c>
      <c r="K879">
        <v>3</v>
      </c>
      <c r="L879" t="s">
        <v>53</v>
      </c>
      <c r="M879" t="s">
        <v>54</v>
      </c>
      <c r="N879">
        <v>524.05999999999995</v>
      </c>
    </row>
    <row r="880" spans="1:14" x14ac:dyDescent="0.3">
      <c r="A880" t="s">
        <v>3240</v>
      </c>
      <c r="B880" s="8">
        <v>45078</v>
      </c>
      <c r="C880" t="s">
        <v>3241</v>
      </c>
      <c r="D880" t="s">
        <v>89</v>
      </c>
      <c r="E880">
        <v>2</v>
      </c>
      <c r="F880">
        <v>330.69</v>
      </c>
      <c r="G880" t="s">
        <v>3242</v>
      </c>
      <c r="H880" t="s">
        <v>43</v>
      </c>
      <c r="I880" t="s">
        <v>51</v>
      </c>
      <c r="J880" t="s">
        <v>3243</v>
      </c>
      <c r="K880">
        <v>5</v>
      </c>
      <c r="L880" t="s">
        <v>37</v>
      </c>
      <c r="M880" t="s">
        <v>92</v>
      </c>
      <c r="N880">
        <v>661.38</v>
      </c>
    </row>
    <row r="881" spans="1:14" x14ac:dyDescent="0.3">
      <c r="A881" t="s">
        <v>3244</v>
      </c>
      <c r="B881" s="8">
        <v>45755</v>
      </c>
      <c r="C881" t="s">
        <v>3245</v>
      </c>
      <c r="D881" t="s">
        <v>41</v>
      </c>
      <c r="E881">
        <v>2</v>
      </c>
      <c r="F881">
        <v>547.66999999999996</v>
      </c>
      <c r="G881" t="s">
        <v>2132</v>
      </c>
      <c r="H881" t="s">
        <v>76</v>
      </c>
      <c r="I881" t="s">
        <v>35</v>
      </c>
      <c r="J881" t="s">
        <v>3246</v>
      </c>
      <c r="K881">
        <v>3</v>
      </c>
      <c r="M881" t="s">
        <v>38</v>
      </c>
      <c r="N881">
        <v>1095.3399999999999</v>
      </c>
    </row>
    <row r="882" spans="1:14" x14ac:dyDescent="0.3">
      <c r="A882" t="s">
        <v>3247</v>
      </c>
      <c r="B882" s="8">
        <v>45728</v>
      </c>
      <c r="C882" t="s">
        <v>3248</v>
      </c>
      <c r="D882" t="s">
        <v>74</v>
      </c>
      <c r="E882">
        <v>4</v>
      </c>
      <c r="F882">
        <v>233.7</v>
      </c>
      <c r="G882" t="s">
        <v>996</v>
      </c>
      <c r="H882" t="s">
        <v>43</v>
      </c>
      <c r="I882" t="s">
        <v>35</v>
      </c>
      <c r="J882" t="s">
        <v>3249</v>
      </c>
      <c r="K882">
        <v>8</v>
      </c>
      <c r="L882" t="s">
        <v>37</v>
      </c>
      <c r="M882" t="s">
        <v>61</v>
      </c>
      <c r="N882">
        <v>934.8</v>
      </c>
    </row>
    <row r="883" spans="1:14" x14ac:dyDescent="0.3">
      <c r="A883" t="s">
        <v>3250</v>
      </c>
      <c r="B883" s="8">
        <v>44929</v>
      </c>
      <c r="C883" t="s">
        <v>3251</v>
      </c>
      <c r="D883" t="s">
        <v>48</v>
      </c>
      <c r="E883">
        <v>2</v>
      </c>
      <c r="F883">
        <v>448.85</v>
      </c>
      <c r="G883" t="s">
        <v>3252</v>
      </c>
      <c r="H883" t="s">
        <v>50</v>
      </c>
      <c r="I883" t="s">
        <v>105</v>
      </c>
      <c r="J883" t="s">
        <v>3253</v>
      </c>
      <c r="K883">
        <v>6</v>
      </c>
      <c r="M883" t="s">
        <v>38</v>
      </c>
      <c r="N883">
        <v>897.7</v>
      </c>
    </row>
    <row r="884" spans="1:14" x14ac:dyDescent="0.3">
      <c r="A884" t="s">
        <v>3254</v>
      </c>
      <c r="B884" s="8">
        <v>45836</v>
      </c>
      <c r="C884" t="s">
        <v>3255</v>
      </c>
      <c r="D884" t="s">
        <v>41</v>
      </c>
      <c r="E884">
        <v>2</v>
      </c>
      <c r="F884">
        <v>274.12</v>
      </c>
      <c r="G884" t="s">
        <v>442</v>
      </c>
      <c r="H884" t="s">
        <v>81</v>
      </c>
      <c r="I884" t="s">
        <v>66</v>
      </c>
      <c r="J884" t="s">
        <v>3256</v>
      </c>
      <c r="K884">
        <v>6</v>
      </c>
      <c r="L884" t="s">
        <v>53</v>
      </c>
      <c r="M884" t="s">
        <v>45</v>
      </c>
      <c r="N884">
        <v>548.24</v>
      </c>
    </row>
    <row r="885" spans="1:14" x14ac:dyDescent="0.3">
      <c r="A885" t="s">
        <v>3257</v>
      </c>
      <c r="B885" s="8">
        <v>45790</v>
      </c>
      <c r="C885" t="s">
        <v>3258</v>
      </c>
      <c r="D885" t="s">
        <v>64</v>
      </c>
      <c r="E885">
        <v>5</v>
      </c>
      <c r="F885">
        <v>561.48</v>
      </c>
      <c r="G885" t="s">
        <v>3259</v>
      </c>
      <c r="H885" t="s">
        <v>43</v>
      </c>
      <c r="I885" t="s">
        <v>66</v>
      </c>
      <c r="J885" t="s">
        <v>3260</v>
      </c>
      <c r="K885">
        <v>9</v>
      </c>
      <c r="L885" t="s">
        <v>53</v>
      </c>
      <c r="M885" t="s">
        <v>61</v>
      </c>
      <c r="N885">
        <v>2807.4</v>
      </c>
    </row>
    <row r="886" spans="1:14" x14ac:dyDescent="0.3">
      <c r="A886" t="s">
        <v>3261</v>
      </c>
      <c r="B886" s="8">
        <v>45427</v>
      </c>
      <c r="C886" t="s">
        <v>3262</v>
      </c>
      <c r="D886" t="s">
        <v>57</v>
      </c>
      <c r="E886">
        <v>1</v>
      </c>
      <c r="F886">
        <v>595.54</v>
      </c>
      <c r="G886" t="s">
        <v>3263</v>
      </c>
      <c r="H886" t="s">
        <v>76</v>
      </c>
      <c r="I886" t="s">
        <v>35</v>
      </c>
      <c r="J886" t="s">
        <v>3264</v>
      </c>
      <c r="K886">
        <v>4</v>
      </c>
      <c r="M886" t="s">
        <v>38</v>
      </c>
      <c r="N886">
        <v>595.54</v>
      </c>
    </row>
    <row r="887" spans="1:14" x14ac:dyDescent="0.3">
      <c r="A887" t="s">
        <v>3265</v>
      </c>
      <c r="B887" s="8">
        <v>45389</v>
      </c>
      <c r="C887" t="s">
        <v>3266</v>
      </c>
      <c r="D887" t="s">
        <v>74</v>
      </c>
      <c r="E887">
        <v>4</v>
      </c>
      <c r="F887">
        <v>515.59</v>
      </c>
      <c r="G887" t="s">
        <v>3267</v>
      </c>
      <c r="H887" t="s">
        <v>50</v>
      </c>
      <c r="I887" t="s">
        <v>35</v>
      </c>
      <c r="J887" t="s">
        <v>3268</v>
      </c>
      <c r="K887">
        <v>7</v>
      </c>
      <c r="L887" t="s">
        <v>53</v>
      </c>
      <c r="M887" t="s">
        <v>92</v>
      </c>
      <c r="N887">
        <v>2062.36</v>
      </c>
    </row>
    <row r="888" spans="1:14" x14ac:dyDescent="0.3">
      <c r="A888" t="s">
        <v>3269</v>
      </c>
      <c r="B888" s="8">
        <v>45224</v>
      </c>
      <c r="C888" t="s">
        <v>3270</v>
      </c>
      <c r="D888" t="s">
        <v>41</v>
      </c>
      <c r="E888">
        <v>1</v>
      </c>
      <c r="F888">
        <v>460.13</v>
      </c>
      <c r="G888" t="s">
        <v>3271</v>
      </c>
      <c r="H888" t="s">
        <v>50</v>
      </c>
      <c r="I888" t="s">
        <v>59</v>
      </c>
      <c r="J888" t="s">
        <v>3272</v>
      </c>
      <c r="K888">
        <v>1</v>
      </c>
      <c r="M888" t="s">
        <v>92</v>
      </c>
      <c r="N888">
        <v>460.13</v>
      </c>
    </row>
    <row r="889" spans="1:14" x14ac:dyDescent="0.3">
      <c r="A889" t="s">
        <v>3273</v>
      </c>
      <c r="B889" s="8">
        <v>45645</v>
      </c>
      <c r="C889" t="s">
        <v>3274</v>
      </c>
      <c r="D889" t="s">
        <v>57</v>
      </c>
      <c r="E889">
        <v>3</v>
      </c>
      <c r="F889">
        <v>171.66</v>
      </c>
      <c r="G889" t="s">
        <v>3275</v>
      </c>
      <c r="H889" t="s">
        <v>34</v>
      </c>
      <c r="I889" t="s">
        <v>66</v>
      </c>
      <c r="J889" t="s">
        <v>3276</v>
      </c>
      <c r="K889">
        <v>7</v>
      </c>
      <c r="M889" t="s">
        <v>92</v>
      </c>
      <c r="N889">
        <v>514.98</v>
      </c>
    </row>
    <row r="890" spans="1:14" x14ac:dyDescent="0.3">
      <c r="A890" t="s">
        <v>3277</v>
      </c>
      <c r="B890" s="8">
        <v>45496</v>
      </c>
      <c r="C890" t="s">
        <v>3278</v>
      </c>
      <c r="D890" t="s">
        <v>74</v>
      </c>
      <c r="E890">
        <v>2</v>
      </c>
      <c r="F890">
        <v>266.95</v>
      </c>
      <c r="G890" t="s">
        <v>3279</v>
      </c>
      <c r="H890" t="s">
        <v>50</v>
      </c>
      <c r="I890" t="s">
        <v>105</v>
      </c>
      <c r="J890" t="s">
        <v>3280</v>
      </c>
      <c r="K890">
        <v>3</v>
      </c>
      <c r="M890" t="s">
        <v>38</v>
      </c>
      <c r="N890">
        <v>533.9</v>
      </c>
    </row>
    <row r="891" spans="1:14" x14ac:dyDescent="0.3">
      <c r="A891" t="s">
        <v>3281</v>
      </c>
      <c r="B891" s="8">
        <v>45592</v>
      </c>
      <c r="C891" t="s">
        <v>3282</v>
      </c>
      <c r="D891" t="s">
        <v>32</v>
      </c>
      <c r="E891">
        <v>5</v>
      </c>
      <c r="F891">
        <v>650.72</v>
      </c>
      <c r="G891" t="s">
        <v>3283</v>
      </c>
      <c r="H891" t="s">
        <v>50</v>
      </c>
      <c r="I891" t="s">
        <v>51</v>
      </c>
      <c r="J891" t="s">
        <v>3284</v>
      </c>
      <c r="K891">
        <v>8</v>
      </c>
      <c r="L891" t="s">
        <v>97</v>
      </c>
      <c r="M891" t="s">
        <v>54</v>
      </c>
      <c r="N891">
        <v>3253.6</v>
      </c>
    </row>
    <row r="892" spans="1:14" x14ac:dyDescent="0.3">
      <c r="A892" t="s">
        <v>3285</v>
      </c>
      <c r="B892" s="8">
        <v>45149</v>
      </c>
      <c r="C892" t="s">
        <v>3286</v>
      </c>
      <c r="D892" t="s">
        <v>74</v>
      </c>
      <c r="E892">
        <v>3</v>
      </c>
      <c r="F892">
        <v>439.53</v>
      </c>
      <c r="G892" t="s">
        <v>1865</v>
      </c>
      <c r="H892" t="s">
        <v>34</v>
      </c>
      <c r="I892" t="s">
        <v>105</v>
      </c>
      <c r="J892" t="s">
        <v>3287</v>
      </c>
      <c r="K892">
        <v>5</v>
      </c>
      <c r="M892" t="s">
        <v>92</v>
      </c>
      <c r="N892">
        <v>1318.59</v>
      </c>
    </row>
    <row r="893" spans="1:14" x14ac:dyDescent="0.3">
      <c r="A893" t="s">
        <v>3288</v>
      </c>
      <c r="B893" s="8">
        <v>45241</v>
      </c>
      <c r="C893" t="s">
        <v>3289</v>
      </c>
      <c r="D893" t="s">
        <v>32</v>
      </c>
      <c r="E893">
        <v>3</v>
      </c>
      <c r="F893">
        <v>654.54</v>
      </c>
      <c r="G893" t="s">
        <v>3290</v>
      </c>
      <c r="H893" t="s">
        <v>81</v>
      </c>
      <c r="I893" t="s">
        <v>59</v>
      </c>
      <c r="J893" t="s">
        <v>3291</v>
      </c>
      <c r="K893">
        <v>7</v>
      </c>
      <c r="L893" t="s">
        <v>37</v>
      </c>
      <c r="M893" t="s">
        <v>45</v>
      </c>
      <c r="N893">
        <v>1963.62</v>
      </c>
    </row>
    <row r="894" spans="1:14" x14ac:dyDescent="0.3">
      <c r="A894" t="s">
        <v>3292</v>
      </c>
      <c r="B894" s="8">
        <v>45447</v>
      </c>
      <c r="C894" t="s">
        <v>3293</v>
      </c>
      <c r="D894" t="s">
        <v>89</v>
      </c>
      <c r="E894">
        <v>1</v>
      </c>
      <c r="F894">
        <v>394.53</v>
      </c>
      <c r="G894" t="s">
        <v>3294</v>
      </c>
      <c r="H894" t="s">
        <v>81</v>
      </c>
      <c r="I894" t="s">
        <v>35</v>
      </c>
      <c r="J894" t="s">
        <v>3295</v>
      </c>
      <c r="K894">
        <v>2</v>
      </c>
      <c r="L894" t="s">
        <v>53</v>
      </c>
      <c r="M894" t="s">
        <v>45</v>
      </c>
      <c r="N894">
        <v>394.53</v>
      </c>
    </row>
    <row r="895" spans="1:14" x14ac:dyDescent="0.3">
      <c r="A895" t="s">
        <v>3296</v>
      </c>
      <c r="B895" s="8">
        <v>45006</v>
      </c>
      <c r="C895" t="s">
        <v>3297</v>
      </c>
      <c r="D895" t="s">
        <v>32</v>
      </c>
      <c r="E895">
        <v>1</v>
      </c>
      <c r="F895">
        <v>678.01</v>
      </c>
      <c r="G895" t="s">
        <v>1961</v>
      </c>
      <c r="H895" t="s">
        <v>81</v>
      </c>
      <c r="I895" t="s">
        <v>105</v>
      </c>
      <c r="J895" t="s">
        <v>3298</v>
      </c>
      <c r="K895">
        <v>4</v>
      </c>
      <c r="L895" t="s">
        <v>53</v>
      </c>
      <c r="M895" t="s">
        <v>45</v>
      </c>
      <c r="N895">
        <v>678.01</v>
      </c>
    </row>
    <row r="896" spans="1:14" x14ac:dyDescent="0.3">
      <c r="A896" t="s">
        <v>3299</v>
      </c>
      <c r="B896" s="8">
        <v>45069</v>
      </c>
      <c r="C896" t="s">
        <v>3300</v>
      </c>
      <c r="D896" t="s">
        <v>48</v>
      </c>
      <c r="E896">
        <v>3</v>
      </c>
      <c r="F896">
        <v>575.01</v>
      </c>
      <c r="G896" t="s">
        <v>2078</v>
      </c>
      <c r="H896" t="s">
        <v>43</v>
      </c>
      <c r="I896" t="s">
        <v>51</v>
      </c>
      <c r="J896" t="s">
        <v>3301</v>
      </c>
      <c r="K896">
        <v>8</v>
      </c>
      <c r="L896" t="s">
        <v>97</v>
      </c>
      <c r="M896" t="s">
        <v>38</v>
      </c>
      <c r="N896">
        <v>1725.03</v>
      </c>
    </row>
    <row r="897" spans="1:14" x14ac:dyDescent="0.3">
      <c r="A897" t="s">
        <v>3302</v>
      </c>
      <c r="B897" s="8">
        <v>45239</v>
      </c>
      <c r="C897" t="s">
        <v>3303</v>
      </c>
      <c r="D897" t="s">
        <v>57</v>
      </c>
      <c r="E897">
        <v>3</v>
      </c>
      <c r="F897">
        <v>154.63999999999999</v>
      </c>
      <c r="G897" t="s">
        <v>3304</v>
      </c>
      <c r="H897" t="s">
        <v>34</v>
      </c>
      <c r="I897" t="s">
        <v>105</v>
      </c>
      <c r="J897" t="s">
        <v>3305</v>
      </c>
      <c r="K897">
        <v>6</v>
      </c>
      <c r="L897" t="s">
        <v>97</v>
      </c>
      <c r="M897" t="s">
        <v>61</v>
      </c>
      <c r="N897">
        <v>463.92</v>
      </c>
    </row>
    <row r="898" spans="1:14" x14ac:dyDescent="0.3">
      <c r="A898" t="s">
        <v>3306</v>
      </c>
      <c r="B898" s="8">
        <v>45583</v>
      </c>
      <c r="C898" t="s">
        <v>3307</v>
      </c>
      <c r="D898" t="s">
        <v>89</v>
      </c>
      <c r="E898">
        <v>3</v>
      </c>
      <c r="F898">
        <v>147.29</v>
      </c>
      <c r="G898" t="s">
        <v>90</v>
      </c>
      <c r="H898" t="s">
        <v>76</v>
      </c>
      <c r="I898" t="s">
        <v>35</v>
      </c>
      <c r="J898" t="s">
        <v>3308</v>
      </c>
      <c r="K898">
        <v>3</v>
      </c>
      <c r="L898" t="s">
        <v>53</v>
      </c>
      <c r="M898" t="s">
        <v>92</v>
      </c>
      <c r="N898">
        <v>441.87</v>
      </c>
    </row>
    <row r="899" spans="1:14" x14ac:dyDescent="0.3">
      <c r="A899" t="s">
        <v>3309</v>
      </c>
      <c r="B899" s="8">
        <v>45538</v>
      </c>
      <c r="C899" t="s">
        <v>3310</v>
      </c>
      <c r="D899" t="s">
        <v>74</v>
      </c>
      <c r="E899">
        <v>4</v>
      </c>
      <c r="F899">
        <v>481.48</v>
      </c>
      <c r="G899" t="s">
        <v>833</v>
      </c>
      <c r="H899" t="s">
        <v>76</v>
      </c>
      <c r="I899" t="s">
        <v>66</v>
      </c>
      <c r="J899" t="s">
        <v>3311</v>
      </c>
      <c r="K899">
        <v>5</v>
      </c>
      <c r="L899" t="s">
        <v>37</v>
      </c>
      <c r="M899" t="s">
        <v>38</v>
      </c>
      <c r="N899">
        <v>1925.92</v>
      </c>
    </row>
    <row r="900" spans="1:14" x14ac:dyDescent="0.3">
      <c r="A900" t="s">
        <v>3312</v>
      </c>
      <c r="B900" s="8">
        <v>45721</v>
      </c>
      <c r="C900" t="s">
        <v>3313</v>
      </c>
      <c r="D900" t="s">
        <v>32</v>
      </c>
      <c r="E900">
        <v>3</v>
      </c>
      <c r="F900">
        <v>158.37</v>
      </c>
      <c r="G900" t="s">
        <v>3116</v>
      </c>
      <c r="H900" t="s">
        <v>81</v>
      </c>
      <c r="I900" t="s">
        <v>35</v>
      </c>
      <c r="J900" t="s">
        <v>3314</v>
      </c>
      <c r="K900">
        <v>6</v>
      </c>
      <c r="M900" t="s">
        <v>45</v>
      </c>
      <c r="N900">
        <v>475.11</v>
      </c>
    </row>
    <row r="901" spans="1:14" x14ac:dyDescent="0.3">
      <c r="A901" t="s">
        <v>3315</v>
      </c>
      <c r="B901" s="8">
        <v>45770</v>
      </c>
      <c r="C901" t="s">
        <v>3316</v>
      </c>
      <c r="D901" t="s">
        <v>64</v>
      </c>
      <c r="E901">
        <v>2</v>
      </c>
      <c r="F901">
        <v>323.37</v>
      </c>
      <c r="G901" t="s">
        <v>328</v>
      </c>
      <c r="H901" t="s">
        <v>43</v>
      </c>
      <c r="I901" t="s">
        <v>105</v>
      </c>
      <c r="J901" t="s">
        <v>3317</v>
      </c>
      <c r="K901">
        <v>3</v>
      </c>
      <c r="L901" t="s">
        <v>37</v>
      </c>
      <c r="M901" t="s">
        <v>38</v>
      </c>
      <c r="N901">
        <v>646.74</v>
      </c>
    </row>
    <row r="902" spans="1:14" x14ac:dyDescent="0.3">
      <c r="A902" t="s">
        <v>3318</v>
      </c>
      <c r="B902" s="8">
        <v>45695</v>
      </c>
      <c r="C902" t="s">
        <v>3319</v>
      </c>
      <c r="D902" t="s">
        <v>74</v>
      </c>
      <c r="E902">
        <v>5</v>
      </c>
      <c r="F902">
        <v>73.83</v>
      </c>
      <c r="G902" t="s">
        <v>2012</v>
      </c>
      <c r="H902" t="s">
        <v>34</v>
      </c>
      <c r="I902" t="s">
        <v>105</v>
      </c>
      <c r="J902" t="s">
        <v>3320</v>
      </c>
      <c r="K902">
        <v>9</v>
      </c>
      <c r="M902" t="s">
        <v>38</v>
      </c>
      <c r="N902">
        <v>369.15</v>
      </c>
    </row>
    <row r="903" spans="1:14" x14ac:dyDescent="0.3">
      <c r="A903" t="s">
        <v>3321</v>
      </c>
      <c r="B903" s="8">
        <v>45410</v>
      </c>
      <c r="C903" t="s">
        <v>3322</v>
      </c>
      <c r="D903" t="s">
        <v>48</v>
      </c>
      <c r="E903">
        <v>1</v>
      </c>
      <c r="F903">
        <v>458.63</v>
      </c>
      <c r="G903" t="s">
        <v>431</v>
      </c>
      <c r="H903" t="s">
        <v>34</v>
      </c>
      <c r="I903" t="s">
        <v>59</v>
      </c>
      <c r="J903" t="s">
        <v>3323</v>
      </c>
      <c r="K903">
        <v>4</v>
      </c>
      <c r="L903" t="s">
        <v>97</v>
      </c>
      <c r="M903" t="s">
        <v>45</v>
      </c>
      <c r="N903">
        <v>458.63</v>
      </c>
    </row>
    <row r="904" spans="1:14" x14ac:dyDescent="0.3">
      <c r="A904" t="s">
        <v>3324</v>
      </c>
      <c r="B904" s="8">
        <v>45486</v>
      </c>
      <c r="C904" t="s">
        <v>3325</v>
      </c>
      <c r="D904" t="s">
        <v>32</v>
      </c>
      <c r="E904">
        <v>4</v>
      </c>
      <c r="F904">
        <v>180.25</v>
      </c>
      <c r="G904" t="s">
        <v>305</v>
      </c>
      <c r="H904" t="s">
        <v>34</v>
      </c>
      <c r="I904" t="s">
        <v>51</v>
      </c>
      <c r="J904" t="s">
        <v>3326</v>
      </c>
      <c r="K904">
        <v>7</v>
      </c>
      <c r="M904" t="s">
        <v>61</v>
      </c>
      <c r="N904">
        <v>721</v>
      </c>
    </row>
    <row r="905" spans="1:14" x14ac:dyDescent="0.3">
      <c r="A905" t="s">
        <v>3327</v>
      </c>
      <c r="B905" s="8">
        <v>45063</v>
      </c>
      <c r="C905" t="s">
        <v>3328</v>
      </c>
      <c r="D905" t="s">
        <v>32</v>
      </c>
      <c r="E905">
        <v>3</v>
      </c>
      <c r="F905">
        <v>473.49</v>
      </c>
      <c r="G905" t="s">
        <v>2981</v>
      </c>
      <c r="H905" t="s">
        <v>50</v>
      </c>
      <c r="I905" t="s">
        <v>105</v>
      </c>
      <c r="J905" t="s">
        <v>3329</v>
      </c>
      <c r="K905">
        <v>7</v>
      </c>
      <c r="M905" t="s">
        <v>54</v>
      </c>
      <c r="N905">
        <v>1420.47</v>
      </c>
    </row>
    <row r="906" spans="1:14" x14ac:dyDescent="0.3">
      <c r="A906" t="s">
        <v>3330</v>
      </c>
      <c r="B906" s="8">
        <v>45693</v>
      </c>
      <c r="C906" t="s">
        <v>3331</v>
      </c>
      <c r="D906" t="s">
        <v>32</v>
      </c>
      <c r="E906">
        <v>4</v>
      </c>
      <c r="F906">
        <v>237.43</v>
      </c>
      <c r="G906" t="s">
        <v>1743</v>
      </c>
      <c r="H906" t="s">
        <v>81</v>
      </c>
      <c r="I906" t="s">
        <v>51</v>
      </c>
      <c r="J906" t="s">
        <v>3332</v>
      </c>
      <c r="K906">
        <v>8</v>
      </c>
      <c r="L906" t="s">
        <v>97</v>
      </c>
      <c r="M906" t="s">
        <v>45</v>
      </c>
      <c r="N906">
        <v>949.72</v>
      </c>
    </row>
    <row r="907" spans="1:14" x14ac:dyDescent="0.3">
      <c r="A907" t="s">
        <v>3333</v>
      </c>
      <c r="B907" s="8">
        <v>45253</v>
      </c>
      <c r="C907" t="s">
        <v>3334</v>
      </c>
      <c r="D907" t="s">
        <v>74</v>
      </c>
      <c r="E907">
        <v>1</v>
      </c>
      <c r="F907">
        <v>442.39</v>
      </c>
      <c r="G907" t="s">
        <v>1272</v>
      </c>
      <c r="H907" t="s">
        <v>76</v>
      </c>
      <c r="I907" t="s">
        <v>105</v>
      </c>
      <c r="J907" t="s">
        <v>3335</v>
      </c>
      <c r="K907">
        <v>6</v>
      </c>
      <c r="L907" t="s">
        <v>53</v>
      </c>
      <c r="M907" t="s">
        <v>61</v>
      </c>
      <c r="N907">
        <v>442.39</v>
      </c>
    </row>
    <row r="908" spans="1:14" x14ac:dyDescent="0.3">
      <c r="A908" t="s">
        <v>3336</v>
      </c>
      <c r="B908" s="8">
        <v>45538</v>
      </c>
      <c r="C908" t="s">
        <v>3337</v>
      </c>
      <c r="D908" t="s">
        <v>32</v>
      </c>
      <c r="E908">
        <v>1</v>
      </c>
      <c r="F908">
        <v>62.12</v>
      </c>
      <c r="G908" t="s">
        <v>3338</v>
      </c>
      <c r="H908" t="s">
        <v>81</v>
      </c>
      <c r="I908" t="s">
        <v>59</v>
      </c>
      <c r="J908" t="s">
        <v>3339</v>
      </c>
      <c r="K908">
        <v>2</v>
      </c>
      <c r="M908" t="s">
        <v>54</v>
      </c>
      <c r="N908">
        <v>62.12</v>
      </c>
    </row>
    <row r="909" spans="1:14" x14ac:dyDescent="0.3">
      <c r="A909" t="s">
        <v>3340</v>
      </c>
      <c r="B909" s="8">
        <v>45508</v>
      </c>
      <c r="C909" t="s">
        <v>3341</v>
      </c>
      <c r="D909" t="s">
        <v>89</v>
      </c>
      <c r="E909">
        <v>5</v>
      </c>
      <c r="F909">
        <v>298.39</v>
      </c>
      <c r="G909" t="s">
        <v>577</v>
      </c>
      <c r="H909" t="s">
        <v>76</v>
      </c>
      <c r="I909" t="s">
        <v>51</v>
      </c>
      <c r="J909" t="s">
        <v>3342</v>
      </c>
      <c r="K909">
        <v>7</v>
      </c>
      <c r="L909" t="s">
        <v>97</v>
      </c>
      <c r="M909" t="s">
        <v>45</v>
      </c>
      <c r="N909">
        <v>1491.95</v>
      </c>
    </row>
    <row r="910" spans="1:14" x14ac:dyDescent="0.3">
      <c r="A910" t="s">
        <v>3343</v>
      </c>
      <c r="B910" s="8">
        <v>45783</v>
      </c>
      <c r="C910" t="s">
        <v>3344</v>
      </c>
      <c r="D910" t="s">
        <v>89</v>
      </c>
      <c r="E910">
        <v>2</v>
      </c>
      <c r="F910">
        <v>697.93</v>
      </c>
      <c r="G910" t="s">
        <v>739</v>
      </c>
      <c r="H910" t="s">
        <v>50</v>
      </c>
      <c r="I910" t="s">
        <v>51</v>
      </c>
      <c r="J910" t="s">
        <v>3345</v>
      </c>
      <c r="K910">
        <v>2</v>
      </c>
      <c r="L910" t="s">
        <v>37</v>
      </c>
      <c r="M910" t="s">
        <v>92</v>
      </c>
      <c r="N910">
        <v>1395.86</v>
      </c>
    </row>
    <row r="911" spans="1:14" x14ac:dyDescent="0.3">
      <c r="A911" t="s">
        <v>3346</v>
      </c>
      <c r="B911" s="8">
        <v>45439</v>
      </c>
      <c r="C911" t="s">
        <v>3347</v>
      </c>
      <c r="D911" t="s">
        <v>48</v>
      </c>
      <c r="E911">
        <v>2</v>
      </c>
      <c r="F911">
        <v>291.85000000000002</v>
      </c>
      <c r="G911" t="s">
        <v>141</v>
      </c>
      <c r="H911" t="s">
        <v>81</v>
      </c>
      <c r="I911" t="s">
        <v>35</v>
      </c>
      <c r="J911" t="s">
        <v>3348</v>
      </c>
      <c r="K911">
        <v>5</v>
      </c>
      <c r="L911" t="s">
        <v>53</v>
      </c>
      <c r="M911" t="s">
        <v>38</v>
      </c>
      <c r="N911">
        <v>583.70000000000005</v>
      </c>
    </row>
    <row r="912" spans="1:14" x14ac:dyDescent="0.3">
      <c r="A912" t="s">
        <v>3349</v>
      </c>
      <c r="B912" s="8">
        <v>45443</v>
      </c>
      <c r="C912" t="s">
        <v>3350</v>
      </c>
      <c r="D912" t="s">
        <v>64</v>
      </c>
      <c r="E912">
        <v>3</v>
      </c>
      <c r="F912">
        <v>308.98</v>
      </c>
      <c r="G912" t="s">
        <v>359</v>
      </c>
      <c r="H912" t="s">
        <v>81</v>
      </c>
      <c r="I912" t="s">
        <v>66</v>
      </c>
      <c r="J912" t="s">
        <v>3351</v>
      </c>
      <c r="K912">
        <v>3</v>
      </c>
      <c r="L912" t="s">
        <v>37</v>
      </c>
      <c r="M912" t="s">
        <v>38</v>
      </c>
      <c r="N912">
        <v>926.94</v>
      </c>
    </row>
    <row r="913" spans="1:14" x14ac:dyDescent="0.3">
      <c r="A913" t="s">
        <v>3352</v>
      </c>
      <c r="B913" s="8">
        <v>45517</v>
      </c>
      <c r="C913" t="s">
        <v>3353</v>
      </c>
      <c r="D913" t="s">
        <v>89</v>
      </c>
      <c r="E913">
        <v>5</v>
      </c>
      <c r="F913">
        <v>396.86</v>
      </c>
      <c r="G913" t="s">
        <v>518</v>
      </c>
      <c r="H913" t="s">
        <v>81</v>
      </c>
      <c r="I913" t="s">
        <v>51</v>
      </c>
      <c r="J913" t="s">
        <v>3354</v>
      </c>
      <c r="K913">
        <v>9</v>
      </c>
      <c r="L913" t="s">
        <v>37</v>
      </c>
      <c r="M913" t="s">
        <v>38</v>
      </c>
      <c r="N913">
        <v>1984.3</v>
      </c>
    </row>
    <row r="914" spans="1:14" x14ac:dyDescent="0.3">
      <c r="A914" t="s">
        <v>3355</v>
      </c>
      <c r="B914" s="8">
        <v>45313</v>
      </c>
      <c r="C914" t="s">
        <v>3356</v>
      </c>
      <c r="D914" t="s">
        <v>89</v>
      </c>
      <c r="E914">
        <v>2</v>
      </c>
      <c r="F914">
        <v>139.69</v>
      </c>
      <c r="G914" t="s">
        <v>403</v>
      </c>
      <c r="H914" t="s">
        <v>43</v>
      </c>
      <c r="I914" t="s">
        <v>59</v>
      </c>
      <c r="J914" t="s">
        <v>3357</v>
      </c>
      <c r="K914">
        <v>7</v>
      </c>
      <c r="L914" t="s">
        <v>53</v>
      </c>
      <c r="M914" t="s">
        <v>54</v>
      </c>
      <c r="N914">
        <v>279.38</v>
      </c>
    </row>
    <row r="915" spans="1:14" x14ac:dyDescent="0.3">
      <c r="A915" t="s">
        <v>3358</v>
      </c>
      <c r="B915" s="8">
        <v>44973</v>
      </c>
      <c r="C915" t="s">
        <v>3359</v>
      </c>
      <c r="D915" t="s">
        <v>64</v>
      </c>
      <c r="E915">
        <v>5</v>
      </c>
      <c r="F915">
        <v>475.95</v>
      </c>
      <c r="G915" t="s">
        <v>803</v>
      </c>
      <c r="H915" t="s">
        <v>50</v>
      </c>
      <c r="I915" t="s">
        <v>59</v>
      </c>
      <c r="J915" t="s">
        <v>3360</v>
      </c>
      <c r="K915">
        <v>8</v>
      </c>
      <c r="L915" t="s">
        <v>97</v>
      </c>
      <c r="M915" t="s">
        <v>61</v>
      </c>
      <c r="N915">
        <v>2379.75</v>
      </c>
    </row>
    <row r="916" spans="1:14" x14ac:dyDescent="0.3">
      <c r="A916" t="s">
        <v>3361</v>
      </c>
      <c r="B916" s="8">
        <v>45698</v>
      </c>
      <c r="C916" t="s">
        <v>3362</v>
      </c>
      <c r="D916" t="s">
        <v>89</v>
      </c>
      <c r="E916">
        <v>1</v>
      </c>
      <c r="F916">
        <v>626.6</v>
      </c>
      <c r="G916" t="s">
        <v>1709</v>
      </c>
      <c r="H916" t="s">
        <v>76</v>
      </c>
      <c r="I916" t="s">
        <v>59</v>
      </c>
      <c r="J916" t="s">
        <v>3363</v>
      </c>
      <c r="K916">
        <v>4</v>
      </c>
      <c r="L916" t="s">
        <v>97</v>
      </c>
      <c r="M916" t="s">
        <v>61</v>
      </c>
      <c r="N916">
        <v>626.6</v>
      </c>
    </row>
    <row r="917" spans="1:14" x14ac:dyDescent="0.3">
      <c r="A917" t="s">
        <v>3364</v>
      </c>
      <c r="B917" s="8">
        <v>45338</v>
      </c>
      <c r="C917" t="s">
        <v>3365</v>
      </c>
      <c r="D917" t="s">
        <v>74</v>
      </c>
      <c r="E917">
        <v>4</v>
      </c>
      <c r="F917">
        <v>502.99</v>
      </c>
      <c r="G917" t="s">
        <v>3366</v>
      </c>
      <c r="H917" t="s">
        <v>34</v>
      </c>
      <c r="I917" t="s">
        <v>35</v>
      </c>
      <c r="J917" t="s">
        <v>3367</v>
      </c>
      <c r="K917">
        <v>4</v>
      </c>
      <c r="L917" t="s">
        <v>97</v>
      </c>
      <c r="M917" t="s">
        <v>45</v>
      </c>
      <c r="N917">
        <v>2011.96</v>
      </c>
    </row>
    <row r="918" spans="1:14" x14ac:dyDescent="0.3">
      <c r="A918" t="s">
        <v>3368</v>
      </c>
      <c r="B918" s="8">
        <v>45464</v>
      </c>
      <c r="C918" t="s">
        <v>3369</v>
      </c>
      <c r="D918" t="s">
        <v>64</v>
      </c>
      <c r="E918">
        <v>5</v>
      </c>
      <c r="F918">
        <v>578.83000000000004</v>
      </c>
      <c r="G918" t="s">
        <v>2861</v>
      </c>
      <c r="H918" t="s">
        <v>81</v>
      </c>
      <c r="I918" t="s">
        <v>59</v>
      </c>
      <c r="J918" t="s">
        <v>3370</v>
      </c>
      <c r="K918">
        <v>6</v>
      </c>
      <c r="M918" t="s">
        <v>45</v>
      </c>
      <c r="N918">
        <v>2894.15</v>
      </c>
    </row>
    <row r="919" spans="1:14" x14ac:dyDescent="0.3">
      <c r="A919" t="s">
        <v>3371</v>
      </c>
      <c r="B919" s="8">
        <v>45677</v>
      </c>
      <c r="C919" t="s">
        <v>3372</v>
      </c>
      <c r="D919" t="s">
        <v>74</v>
      </c>
      <c r="E919">
        <v>5</v>
      </c>
      <c r="F919">
        <v>383.82</v>
      </c>
      <c r="G919" t="s">
        <v>3373</v>
      </c>
      <c r="H919" t="s">
        <v>50</v>
      </c>
      <c r="I919" t="s">
        <v>59</v>
      </c>
      <c r="J919" t="s">
        <v>3374</v>
      </c>
      <c r="K919">
        <v>7</v>
      </c>
      <c r="L919" t="s">
        <v>53</v>
      </c>
      <c r="M919" t="s">
        <v>92</v>
      </c>
      <c r="N919">
        <v>1919.1</v>
      </c>
    </row>
    <row r="920" spans="1:14" x14ac:dyDescent="0.3">
      <c r="A920" t="s">
        <v>3375</v>
      </c>
      <c r="B920" s="8">
        <v>45832</v>
      </c>
      <c r="C920" t="s">
        <v>3376</v>
      </c>
      <c r="D920" t="s">
        <v>74</v>
      </c>
      <c r="E920">
        <v>5</v>
      </c>
      <c r="F920">
        <v>368.25</v>
      </c>
      <c r="G920" t="s">
        <v>80</v>
      </c>
      <c r="H920" t="s">
        <v>43</v>
      </c>
      <c r="I920" t="s">
        <v>66</v>
      </c>
      <c r="J920" t="s">
        <v>3377</v>
      </c>
      <c r="K920">
        <v>5</v>
      </c>
      <c r="M920" t="s">
        <v>38</v>
      </c>
      <c r="N920">
        <v>1841.25</v>
      </c>
    </row>
    <row r="921" spans="1:14" x14ac:dyDescent="0.3">
      <c r="A921" t="s">
        <v>3378</v>
      </c>
      <c r="B921" s="8">
        <v>45695</v>
      </c>
      <c r="C921" t="s">
        <v>3379</v>
      </c>
      <c r="D921" t="s">
        <v>64</v>
      </c>
      <c r="E921">
        <v>2</v>
      </c>
      <c r="F921">
        <v>374.6</v>
      </c>
      <c r="G921" t="s">
        <v>526</v>
      </c>
      <c r="H921" t="s">
        <v>43</v>
      </c>
      <c r="I921" t="s">
        <v>35</v>
      </c>
      <c r="J921" t="s">
        <v>3380</v>
      </c>
      <c r="K921">
        <v>3</v>
      </c>
      <c r="L921" t="s">
        <v>53</v>
      </c>
      <c r="M921" t="s">
        <v>45</v>
      </c>
      <c r="N921">
        <v>749.2</v>
      </c>
    </row>
    <row r="922" spans="1:14" x14ac:dyDescent="0.3">
      <c r="A922" t="s">
        <v>3381</v>
      </c>
      <c r="B922" s="8">
        <v>45728</v>
      </c>
      <c r="C922" t="s">
        <v>3382</v>
      </c>
      <c r="D922" t="s">
        <v>48</v>
      </c>
      <c r="E922">
        <v>2</v>
      </c>
      <c r="F922">
        <v>428.09</v>
      </c>
      <c r="G922" t="s">
        <v>1260</v>
      </c>
      <c r="H922" t="s">
        <v>50</v>
      </c>
      <c r="I922" t="s">
        <v>59</v>
      </c>
      <c r="J922" t="s">
        <v>3383</v>
      </c>
      <c r="K922">
        <v>6</v>
      </c>
      <c r="M922" t="s">
        <v>38</v>
      </c>
      <c r="N922">
        <v>856.18</v>
      </c>
    </row>
    <row r="923" spans="1:14" x14ac:dyDescent="0.3">
      <c r="A923" t="s">
        <v>3384</v>
      </c>
      <c r="B923" s="8">
        <v>45131</v>
      </c>
      <c r="C923" t="s">
        <v>3385</v>
      </c>
      <c r="D923" t="s">
        <v>48</v>
      </c>
      <c r="E923">
        <v>1</v>
      </c>
      <c r="F923">
        <v>438.93</v>
      </c>
      <c r="G923" t="s">
        <v>3386</v>
      </c>
      <c r="H923" t="s">
        <v>76</v>
      </c>
      <c r="I923" t="s">
        <v>51</v>
      </c>
      <c r="J923" t="s">
        <v>3387</v>
      </c>
      <c r="K923">
        <v>3</v>
      </c>
      <c r="L923" t="s">
        <v>37</v>
      </c>
      <c r="M923" t="s">
        <v>45</v>
      </c>
      <c r="N923">
        <v>438.93</v>
      </c>
    </row>
    <row r="924" spans="1:14" x14ac:dyDescent="0.3">
      <c r="A924" t="s">
        <v>3388</v>
      </c>
      <c r="B924" s="8">
        <v>45460</v>
      </c>
      <c r="C924" t="s">
        <v>3389</v>
      </c>
      <c r="D924" t="s">
        <v>89</v>
      </c>
      <c r="E924">
        <v>2</v>
      </c>
      <c r="F924">
        <v>563.82000000000005</v>
      </c>
      <c r="G924" t="s">
        <v>3390</v>
      </c>
      <c r="H924" t="s">
        <v>50</v>
      </c>
      <c r="I924" t="s">
        <v>105</v>
      </c>
      <c r="J924" t="s">
        <v>3391</v>
      </c>
      <c r="K924">
        <v>3</v>
      </c>
      <c r="M924" t="s">
        <v>38</v>
      </c>
      <c r="N924">
        <v>1127.6400000000001</v>
      </c>
    </row>
    <row r="925" spans="1:14" x14ac:dyDescent="0.3">
      <c r="A925" t="s">
        <v>3392</v>
      </c>
      <c r="B925" s="8">
        <v>44968</v>
      </c>
      <c r="C925" t="s">
        <v>3393</v>
      </c>
      <c r="D925" t="s">
        <v>64</v>
      </c>
      <c r="E925">
        <v>3</v>
      </c>
      <c r="F925">
        <v>649.92999999999995</v>
      </c>
      <c r="G925" t="s">
        <v>3373</v>
      </c>
      <c r="H925" t="s">
        <v>50</v>
      </c>
      <c r="I925" t="s">
        <v>105</v>
      </c>
      <c r="J925" t="s">
        <v>3394</v>
      </c>
      <c r="K925">
        <v>7</v>
      </c>
      <c r="L925" t="s">
        <v>97</v>
      </c>
      <c r="M925" t="s">
        <v>61</v>
      </c>
      <c r="N925">
        <v>1949.79</v>
      </c>
    </row>
    <row r="926" spans="1:14" x14ac:dyDescent="0.3">
      <c r="A926" t="s">
        <v>3395</v>
      </c>
      <c r="B926" s="8">
        <v>45738</v>
      </c>
      <c r="C926" t="s">
        <v>3396</v>
      </c>
      <c r="D926" t="s">
        <v>64</v>
      </c>
      <c r="E926">
        <v>5</v>
      </c>
      <c r="F926">
        <v>268.43</v>
      </c>
      <c r="G926" t="s">
        <v>2012</v>
      </c>
      <c r="H926" t="s">
        <v>81</v>
      </c>
      <c r="I926" t="s">
        <v>59</v>
      </c>
      <c r="J926" t="s">
        <v>3397</v>
      </c>
      <c r="K926">
        <v>5</v>
      </c>
      <c r="L926" t="s">
        <v>37</v>
      </c>
      <c r="M926" t="s">
        <v>54</v>
      </c>
      <c r="N926">
        <v>1342.15</v>
      </c>
    </row>
    <row r="927" spans="1:14" x14ac:dyDescent="0.3">
      <c r="A927" t="s">
        <v>3398</v>
      </c>
      <c r="B927" s="8">
        <v>45646</v>
      </c>
      <c r="C927" t="s">
        <v>3399</v>
      </c>
      <c r="D927" t="s">
        <v>32</v>
      </c>
      <c r="E927">
        <v>5</v>
      </c>
      <c r="F927">
        <v>502.47</v>
      </c>
      <c r="G927" t="s">
        <v>1580</v>
      </c>
      <c r="H927" t="s">
        <v>43</v>
      </c>
      <c r="I927" t="s">
        <v>35</v>
      </c>
      <c r="J927" t="s">
        <v>3400</v>
      </c>
      <c r="K927">
        <v>10</v>
      </c>
      <c r="L927" t="s">
        <v>97</v>
      </c>
      <c r="M927" t="s">
        <v>54</v>
      </c>
      <c r="N927">
        <v>2512.35</v>
      </c>
    </row>
    <row r="928" spans="1:14" x14ac:dyDescent="0.3">
      <c r="A928" t="s">
        <v>3401</v>
      </c>
      <c r="B928" s="8">
        <v>45371</v>
      </c>
      <c r="C928" t="s">
        <v>3402</v>
      </c>
      <c r="D928" t="s">
        <v>89</v>
      </c>
      <c r="E928">
        <v>1</v>
      </c>
      <c r="F928">
        <v>26.95</v>
      </c>
      <c r="G928" t="s">
        <v>1831</v>
      </c>
      <c r="H928" t="s">
        <v>81</v>
      </c>
      <c r="I928" t="s">
        <v>66</v>
      </c>
      <c r="J928" t="s">
        <v>3403</v>
      </c>
      <c r="K928">
        <v>1</v>
      </c>
      <c r="L928" t="s">
        <v>97</v>
      </c>
      <c r="M928" t="s">
        <v>54</v>
      </c>
      <c r="N928">
        <v>26.95</v>
      </c>
    </row>
    <row r="929" spans="1:14" x14ac:dyDescent="0.3">
      <c r="A929" t="s">
        <v>3404</v>
      </c>
      <c r="B929" s="8">
        <v>44971</v>
      </c>
      <c r="C929" t="s">
        <v>3405</v>
      </c>
      <c r="D929" t="s">
        <v>74</v>
      </c>
      <c r="E929">
        <v>4</v>
      </c>
      <c r="F929">
        <v>64.69</v>
      </c>
      <c r="G929" t="s">
        <v>2573</v>
      </c>
      <c r="H929" t="s">
        <v>34</v>
      </c>
      <c r="I929" t="s">
        <v>35</v>
      </c>
      <c r="J929" t="s">
        <v>3406</v>
      </c>
      <c r="K929">
        <v>7</v>
      </c>
      <c r="L929" t="s">
        <v>97</v>
      </c>
      <c r="M929" t="s">
        <v>92</v>
      </c>
      <c r="N929">
        <v>258.76</v>
      </c>
    </row>
    <row r="930" spans="1:14" x14ac:dyDescent="0.3">
      <c r="A930" t="s">
        <v>3407</v>
      </c>
      <c r="B930" s="8">
        <v>45421</v>
      </c>
      <c r="C930" t="s">
        <v>3408</v>
      </c>
      <c r="D930" t="s">
        <v>74</v>
      </c>
      <c r="E930">
        <v>3</v>
      </c>
      <c r="F930">
        <v>247.11</v>
      </c>
      <c r="G930" t="s">
        <v>1031</v>
      </c>
      <c r="H930" t="s">
        <v>34</v>
      </c>
      <c r="I930" t="s">
        <v>59</v>
      </c>
      <c r="J930" t="s">
        <v>3409</v>
      </c>
      <c r="K930">
        <v>3</v>
      </c>
      <c r="L930" t="s">
        <v>97</v>
      </c>
      <c r="M930" t="s">
        <v>45</v>
      </c>
      <c r="N930">
        <v>741.33</v>
      </c>
    </row>
    <row r="931" spans="1:14" x14ac:dyDescent="0.3">
      <c r="A931" t="s">
        <v>3410</v>
      </c>
      <c r="B931" s="8">
        <v>45581</v>
      </c>
      <c r="C931" t="s">
        <v>3411</v>
      </c>
      <c r="D931" t="s">
        <v>48</v>
      </c>
      <c r="E931">
        <v>2</v>
      </c>
      <c r="F931">
        <v>536.25</v>
      </c>
      <c r="G931" t="s">
        <v>743</v>
      </c>
      <c r="H931" t="s">
        <v>34</v>
      </c>
      <c r="I931" t="s">
        <v>105</v>
      </c>
      <c r="J931" t="s">
        <v>3412</v>
      </c>
      <c r="K931">
        <v>3</v>
      </c>
      <c r="M931" t="s">
        <v>54</v>
      </c>
      <c r="N931">
        <v>1072.5</v>
      </c>
    </row>
    <row r="932" spans="1:14" x14ac:dyDescent="0.3">
      <c r="A932" t="s">
        <v>3413</v>
      </c>
      <c r="B932" s="8">
        <v>45642</v>
      </c>
      <c r="C932" t="s">
        <v>3414</v>
      </c>
      <c r="D932" t="s">
        <v>41</v>
      </c>
      <c r="E932">
        <v>2</v>
      </c>
      <c r="F932">
        <v>456.04</v>
      </c>
      <c r="G932" t="s">
        <v>125</v>
      </c>
      <c r="H932" t="s">
        <v>34</v>
      </c>
      <c r="I932" t="s">
        <v>59</v>
      </c>
      <c r="J932" t="s">
        <v>3415</v>
      </c>
      <c r="K932">
        <v>4</v>
      </c>
      <c r="L932" t="s">
        <v>53</v>
      </c>
      <c r="M932" t="s">
        <v>54</v>
      </c>
      <c r="N932">
        <v>912.08</v>
      </c>
    </row>
    <row r="933" spans="1:14" x14ac:dyDescent="0.3">
      <c r="A933" t="s">
        <v>3416</v>
      </c>
      <c r="B933" s="8">
        <v>45292</v>
      </c>
      <c r="C933" t="s">
        <v>3417</v>
      </c>
      <c r="D933" t="s">
        <v>64</v>
      </c>
      <c r="E933">
        <v>2</v>
      </c>
      <c r="F933">
        <v>40.229999999999997</v>
      </c>
      <c r="G933" t="s">
        <v>269</v>
      </c>
      <c r="H933" t="s">
        <v>50</v>
      </c>
      <c r="I933" t="s">
        <v>51</v>
      </c>
      <c r="J933" t="s">
        <v>3418</v>
      </c>
      <c r="K933">
        <v>4</v>
      </c>
      <c r="L933" t="s">
        <v>37</v>
      </c>
      <c r="M933" t="s">
        <v>92</v>
      </c>
      <c r="N933">
        <v>80.459999999999994</v>
      </c>
    </row>
    <row r="934" spans="1:14" x14ac:dyDescent="0.3">
      <c r="A934" t="s">
        <v>3419</v>
      </c>
      <c r="B934" s="8">
        <v>45011</v>
      </c>
      <c r="C934" t="s">
        <v>3420</v>
      </c>
      <c r="D934" t="s">
        <v>74</v>
      </c>
      <c r="E934">
        <v>2</v>
      </c>
      <c r="F934">
        <v>72.39</v>
      </c>
      <c r="G934" t="s">
        <v>3421</v>
      </c>
      <c r="H934" t="s">
        <v>43</v>
      </c>
      <c r="I934" t="s">
        <v>66</v>
      </c>
      <c r="J934" t="s">
        <v>3422</v>
      </c>
      <c r="K934">
        <v>7</v>
      </c>
      <c r="L934" t="s">
        <v>97</v>
      </c>
      <c r="M934" t="s">
        <v>38</v>
      </c>
      <c r="N934">
        <v>144.78</v>
      </c>
    </row>
    <row r="935" spans="1:14" x14ac:dyDescent="0.3">
      <c r="A935" t="s">
        <v>3423</v>
      </c>
      <c r="B935" s="8">
        <v>44952</v>
      </c>
      <c r="C935" t="s">
        <v>3424</v>
      </c>
      <c r="D935" t="s">
        <v>32</v>
      </c>
      <c r="E935">
        <v>2</v>
      </c>
      <c r="F935">
        <v>394.16</v>
      </c>
      <c r="G935" t="s">
        <v>984</v>
      </c>
      <c r="H935" t="s">
        <v>43</v>
      </c>
      <c r="I935" t="s">
        <v>35</v>
      </c>
      <c r="J935" t="s">
        <v>3425</v>
      </c>
      <c r="K935">
        <v>2</v>
      </c>
      <c r="M935" t="s">
        <v>45</v>
      </c>
      <c r="N935">
        <v>788.32</v>
      </c>
    </row>
    <row r="936" spans="1:14" x14ac:dyDescent="0.3">
      <c r="A936" t="s">
        <v>3426</v>
      </c>
      <c r="B936" s="8">
        <v>45809</v>
      </c>
      <c r="C936" t="s">
        <v>3427</v>
      </c>
      <c r="D936" t="s">
        <v>74</v>
      </c>
      <c r="E936">
        <v>4</v>
      </c>
      <c r="F936">
        <v>119.84</v>
      </c>
      <c r="G936" t="s">
        <v>926</v>
      </c>
      <c r="H936" t="s">
        <v>76</v>
      </c>
      <c r="I936" t="s">
        <v>35</v>
      </c>
      <c r="J936" t="s">
        <v>3428</v>
      </c>
      <c r="K936">
        <v>8</v>
      </c>
      <c r="L936" t="s">
        <v>53</v>
      </c>
      <c r="M936" t="s">
        <v>45</v>
      </c>
      <c r="N936">
        <v>479.36</v>
      </c>
    </row>
    <row r="937" spans="1:14" x14ac:dyDescent="0.3">
      <c r="A937" t="s">
        <v>3429</v>
      </c>
      <c r="B937" s="8">
        <v>45254</v>
      </c>
      <c r="C937" t="s">
        <v>3430</v>
      </c>
      <c r="D937" t="s">
        <v>41</v>
      </c>
      <c r="E937">
        <v>3</v>
      </c>
      <c r="F937">
        <v>692.71</v>
      </c>
      <c r="G937" t="s">
        <v>1356</v>
      </c>
      <c r="H937" t="s">
        <v>50</v>
      </c>
      <c r="I937" t="s">
        <v>66</v>
      </c>
      <c r="J937" t="s">
        <v>3431</v>
      </c>
      <c r="K937">
        <v>3</v>
      </c>
      <c r="L937" t="s">
        <v>53</v>
      </c>
      <c r="M937" t="s">
        <v>38</v>
      </c>
      <c r="N937">
        <v>2078.13</v>
      </c>
    </row>
    <row r="938" spans="1:14" x14ac:dyDescent="0.3">
      <c r="A938" t="s">
        <v>3432</v>
      </c>
      <c r="B938" s="8">
        <v>45303</v>
      </c>
      <c r="C938" t="s">
        <v>3433</v>
      </c>
      <c r="D938" t="s">
        <v>57</v>
      </c>
      <c r="E938">
        <v>4</v>
      </c>
      <c r="F938">
        <v>56.66</v>
      </c>
      <c r="G938" t="s">
        <v>675</v>
      </c>
      <c r="H938" t="s">
        <v>43</v>
      </c>
      <c r="I938" t="s">
        <v>66</v>
      </c>
      <c r="J938" t="s">
        <v>3434</v>
      </c>
      <c r="K938">
        <v>4</v>
      </c>
      <c r="L938" t="s">
        <v>37</v>
      </c>
      <c r="M938" t="s">
        <v>38</v>
      </c>
      <c r="N938">
        <v>226.64</v>
      </c>
    </row>
    <row r="939" spans="1:14" x14ac:dyDescent="0.3">
      <c r="A939" t="s">
        <v>3435</v>
      </c>
      <c r="B939" s="8">
        <v>45307</v>
      </c>
      <c r="C939" t="s">
        <v>3436</v>
      </c>
      <c r="D939" t="s">
        <v>57</v>
      </c>
      <c r="E939">
        <v>2</v>
      </c>
      <c r="F939">
        <v>298.52999999999997</v>
      </c>
      <c r="G939" t="s">
        <v>1606</v>
      </c>
      <c r="H939" t="s">
        <v>34</v>
      </c>
      <c r="I939" t="s">
        <v>51</v>
      </c>
      <c r="J939" t="s">
        <v>3437</v>
      </c>
      <c r="K939">
        <v>5</v>
      </c>
      <c r="L939" t="s">
        <v>97</v>
      </c>
      <c r="M939" t="s">
        <v>54</v>
      </c>
      <c r="N939">
        <v>597.05999999999995</v>
      </c>
    </row>
    <row r="940" spans="1:14" x14ac:dyDescent="0.3">
      <c r="A940" t="s">
        <v>3438</v>
      </c>
      <c r="B940" s="8">
        <v>45119</v>
      </c>
      <c r="C940" t="s">
        <v>3439</v>
      </c>
      <c r="D940" t="s">
        <v>57</v>
      </c>
      <c r="E940">
        <v>3</v>
      </c>
      <c r="F940">
        <v>331.46</v>
      </c>
      <c r="G940" t="s">
        <v>1961</v>
      </c>
      <c r="H940" t="s">
        <v>50</v>
      </c>
      <c r="I940" t="s">
        <v>51</v>
      </c>
      <c r="J940" t="s">
        <v>3440</v>
      </c>
      <c r="K940">
        <v>6</v>
      </c>
      <c r="L940" t="s">
        <v>97</v>
      </c>
      <c r="M940" t="s">
        <v>45</v>
      </c>
      <c r="N940">
        <v>994.38</v>
      </c>
    </row>
    <row r="941" spans="1:14" x14ac:dyDescent="0.3">
      <c r="A941" t="s">
        <v>3441</v>
      </c>
      <c r="B941" s="8">
        <v>45763</v>
      </c>
      <c r="C941" t="s">
        <v>3442</v>
      </c>
      <c r="D941" t="s">
        <v>74</v>
      </c>
      <c r="E941">
        <v>2</v>
      </c>
      <c r="F941">
        <v>521.4</v>
      </c>
      <c r="G941" t="s">
        <v>3443</v>
      </c>
      <c r="H941" t="s">
        <v>81</v>
      </c>
      <c r="I941" t="s">
        <v>66</v>
      </c>
      <c r="J941" t="s">
        <v>3444</v>
      </c>
      <c r="K941">
        <v>7</v>
      </c>
      <c r="L941" t="s">
        <v>37</v>
      </c>
      <c r="M941" t="s">
        <v>38</v>
      </c>
      <c r="N941">
        <v>1042.8</v>
      </c>
    </row>
    <row r="942" spans="1:14" x14ac:dyDescent="0.3">
      <c r="A942" t="s">
        <v>3445</v>
      </c>
      <c r="B942" s="8">
        <v>45012</v>
      </c>
      <c r="C942" t="s">
        <v>3446</v>
      </c>
      <c r="D942" t="s">
        <v>64</v>
      </c>
      <c r="E942">
        <v>4</v>
      </c>
      <c r="F942">
        <v>305.32</v>
      </c>
      <c r="G942" t="s">
        <v>3447</v>
      </c>
      <c r="H942" t="s">
        <v>43</v>
      </c>
      <c r="I942" t="s">
        <v>51</v>
      </c>
      <c r="J942" t="s">
        <v>3448</v>
      </c>
      <c r="K942">
        <v>4</v>
      </c>
      <c r="L942" t="s">
        <v>37</v>
      </c>
      <c r="M942" t="s">
        <v>92</v>
      </c>
      <c r="N942">
        <v>1221.28</v>
      </c>
    </row>
    <row r="943" spans="1:14" x14ac:dyDescent="0.3">
      <c r="A943" t="s">
        <v>3449</v>
      </c>
      <c r="B943" s="8">
        <v>45124</v>
      </c>
      <c r="C943" t="s">
        <v>1716</v>
      </c>
      <c r="D943" t="s">
        <v>64</v>
      </c>
      <c r="E943">
        <v>5</v>
      </c>
      <c r="F943">
        <v>111.7</v>
      </c>
      <c r="G943" t="s">
        <v>1348</v>
      </c>
      <c r="H943" t="s">
        <v>50</v>
      </c>
      <c r="I943" t="s">
        <v>51</v>
      </c>
      <c r="J943" t="s">
        <v>3450</v>
      </c>
      <c r="K943">
        <v>9</v>
      </c>
      <c r="L943" t="s">
        <v>53</v>
      </c>
      <c r="M943" t="s">
        <v>54</v>
      </c>
      <c r="N943">
        <v>558.5</v>
      </c>
    </row>
    <row r="944" spans="1:14" x14ac:dyDescent="0.3">
      <c r="A944" t="s">
        <v>3451</v>
      </c>
      <c r="B944" s="8">
        <v>45198</v>
      </c>
      <c r="C944" t="s">
        <v>3452</v>
      </c>
      <c r="D944" t="s">
        <v>48</v>
      </c>
      <c r="E944">
        <v>1</v>
      </c>
      <c r="F944">
        <v>479.76</v>
      </c>
      <c r="G944" t="s">
        <v>900</v>
      </c>
      <c r="H944" t="s">
        <v>50</v>
      </c>
      <c r="I944" t="s">
        <v>105</v>
      </c>
      <c r="J944" t="s">
        <v>3453</v>
      </c>
      <c r="K944">
        <v>1</v>
      </c>
      <c r="M944" t="s">
        <v>54</v>
      </c>
      <c r="N944">
        <v>479.76</v>
      </c>
    </row>
    <row r="945" spans="1:14" x14ac:dyDescent="0.3">
      <c r="A945" t="s">
        <v>3454</v>
      </c>
      <c r="B945" s="8">
        <v>45287</v>
      </c>
      <c r="C945" t="s">
        <v>3455</v>
      </c>
      <c r="D945" t="s">
        <v>32</v>
      </c>
      <c r="E945">
        <v>3</v>
      </c>
      <c r="F945">
        <v>193.49</v>
      </c>
      <c r="G945" t="s">
        <v>3456</v>
      </c>
      <c r="H945" t="s">
        <v>76</v>
      </c>
      <c r="I945" t="s">
        <v>59</v>
      </c>
      <c r="J945" t="s">
        <v>3457</v>
      </c>
      <c r="K945">
        <v>6</v>
      </c>
      <c r="L945" t="s">
        <v>53</v>
      </c>
      <c r="M945" t="s">
        <v>61</v>
      </c>
      <c r="N945">
        <v>580.47</v>
      </c>
    </row>
    <row r="946" spans="1:14" x14ac:dyDescent="0.3">
      <c r="A946" t="s">
        <v>3458</v>
      </c>
      <c r="B946" s="8">
        <v>45642</v>
      </c>
      <c r="C946" t="s">
        <v>3459</v>
      </c>
      <c r="D946" t="s">
        <v>74</v>
      </c>
      <c r="E946">
        <v>2</v>
      </c>
      <c r="F946">
        <v>426.22</v>
      </c>
      <c r="G946" t="s">
        <v>3226</v>
      </c>
      <c r="H946" t="s">
        <v>43</v>
      </c>
      <c r="I946" t="s">
        <v>66</v>
      </c>
      <c r="J946" t="s">
        <v>3460</v>
      </c>
      <c r="K946">
        <v>7</v>
      </c>
      <c r="L946" t="s">
        <v>97</v>
      </c>
      <c r="M946" t="s">
        <v>92</v>
      </c>
      <c r="N946">
        <v>852.44</v>
      </c>
    </row>
    <row r="947" spans="1:14" x14ac:dyDescent="0.3">
      <c r="A947" t="s">
        <v>3461</v>
      </c>
      <c r="B947" s="8">
        <v>45158</v>
      </c>
      <c r="C947" t="s">
        <v>3462</v>
      </c>
      <c r="D947" t="s">
        <v>48</v>
      </c>
      <c r="E947">
        <v>5</v>
      </c>
      <c r="F947">
        <v>276.44</v>
      </c>
      <c r="G947" t="s">
        <v>1368</v>
      </c>
      <c r="H947" t="s">
        <v>76</v>
      </c>
      <c r="I947" t="s">
        <v>35</v>
      </c>
      <c r="J947" t="s">
        <v>3463</v>
      </c>
      <c r="K947">
        <v>10</v>
      </c>
      <c r="L947" t="s">
        <v>53</v>
      </c>
      <c r="M947" t="s">
        <v>45</v>
      </c>
      <c r="N947">
        <v>1382.2</v>
      </c>
    </row>
    <row r="948" spans="1:14" x14ac:dyDescent="0.3">
      <c r="A948" t="s">
        <v>3464</v>
      </c>
      <c r="B948" s="8">
        <v>45416</v>
      </c>
      <c r="C948" t="s">
        <v>3465</v>
      </c>
      <c r="D948" t="s">
        <v>41</v>
      </c>
      <c r="E948">
        <v>2</v>
      </c>
      <c r="F948">
        <v>404.96</v>
      </c>
      <c r="G948" t="s">
        <v>1315</v>
      </c>
      <c r="H948" t="s">
        <v>81</v>
      </c>
      <c r="I948" t="s">
        <v>35</v>
      </c>
      <c r="J948" t="s">
        <v>3466</v>
      </c>
      <c r="K948">
        <v>4</v>
      </c>
      <c r="L948" t="s">
        <v>37</v>
      </c>
      <c r="M948" t="s">
        <v>54</v>
      </c>
      <c r="N948">
        <v>809.92</v>
      </c>
    </row>
    <row r="949" spans="1:14" x14ac:dyDescent="0.3">
      <c r="A949" t="s">
        <v>3467</v>
      </c>
      <c r="B949" s="8">
        <v>45176</v>
      </c>
      <c r="C949" t="s">
        <v>3468</v>
      </c>
      <c r="D949" t="s">
        <v>41</v>
      </c>
      <c r="E949">
        <v>4</v>
      </c>
      <c r="F949">
        <v>465.66</v>
      </c>
      <c r="G949" t="s">
        <v>1105</v>
      </c>
      <c r="H949" t="s">
        <v>43</v>
      </c>
      <c r="I949" t="s">
        <v>59</v>
      </c>
      <c r="J949" t="s">
        <v>3469</v>
      </c>
      <c r="K949">
        <v>9</v>
      </c>
      <c r="L949" t="s">
        <v>53</v>
      </c>
      <c r="M949" t="s">
        <v>54</v>
      </c>
      <c r="N949">
        <v>1862.64</v>
      </c>
    </row>
    <row r="950" spans="1:14" x14ac:dyDescent="0.3">
      <c r="A950" t="s">
        <v>3470</v>
      </c>
      <c r="B950" s="8">
        <v>45464</v>
      </c>
      <c r="C950" t="s">
        <v>1738</v>
      </c>
      <c r="D950" t="s">
        <v>41</v>
      </c>
      <c r="E950">
        <v>2</v>
      </c>
      <c r="F950">
        <v>594.07000000000005</v>
      </c>
      <c r="G950" t="s">
        <v>1810</v>
      </c>
      <c r="H950" t="s">
        <v>76</v>
      </c>
      <c r="I950" t="s">
        <v>51</v>
      </c>
      <c r="J950" t="s">
        <v>3471</v>
      </c>
      <c r="K950">
        <v>2</v>
      </c>
      <c r="M950" t="s">
        <v>92</v>
      </c>
      <c r="N950">
        <v>1188.1400000000001</v>
      </c>
    </row>
    <row r="951" spans="1:14" x14ac:dyDescent="0.3">
      <c r="A951" t="s">
        <v>3472</v>
      </c>
      <c r="B951" s="8">
        <v>45239</v>
      </c>
      <c r="C951" t="s">
        <v>3473</v>
      </c>
      <c r="D951" t="s">
        <v>89</v>
      </c>
      <c r="E951">
        <v>5</v>
      </c>
      <c r="F951">
        <v>110.38</v>
      </c>
      <c r="G951" t="s">
        <v>1576</v>
      </c>
      <c r="H951" t="s">
        <v>81</v>
      </c>
      <c r="I951" t="s">
        <v>105</v>
      </c>
      <c r="J951" t="s">
        <v>3474</v>
      </c>
      <c r="K951">
        <v>10</v>
      </c>
      <c r="M951" t="s">
        <v>45</v>
      </c>
      <c r="N951">
        <v>551.9</v>
      </c>
    </row>
    <row r="952" spans="1:14" x14ac:dyDescent="0.3">
      <c r="A952" t="s">
        <v>3475</v>
      </c>
      <c r="B952" s="8">
        <v>45443</v>
      </c>
      <c r="C952" t="s">
        <v>3476</v>
      </c>
      <c r="D952" t="s">
        <v>74</v>
      </c>
      <c r="E952">
        <v>1</v>
      </c>
      <c r="F952">
        <v>596.24</v>
      </c>
      <c r="G952" t="s">
        <v>129</v>
      </c>
      <c r="H952" t="s">
        <v>50</v>
      </c>
      <c r="I952" t="s">
        <v>59</v>
      </c>
      <c r="J952" t="s">
        <v>3477</v>
      </c>
      <c r="K952">
        <v>4</v>
      </c>
      <c r="L952" t="s">
        <v>53</v>
      </c>
      <c r="M952" t="s">
        <v>38</v>
      </c>
      <c r="N952">
        <v>596.24</v>
      </c>
    </row>
    <row r="953" spans="1:14" x14ac:dyDescent="0.3">
      <c r="A953" t="s">
        <v>3478</v>
      </c>
      <c r="B953" s="8">
        <v>45495</v>
      </c>
      <c r="C953" t="s">
        <v>3479</v>
      </c>
      <c r="D953" t="s">
        <v>64</v>
      </c>
      <c r="E953">
        <v>2</v>
      </c>
      <c r="F953">
        <v>306.24</v>
      </c>
      <c r="G953" t="s">
        <v>1082</v>
      </c>
      <c r="H953" t="s">
        <v>43</v>
      </c>
      <c r="I953" t="s">
        <v>59</v>
      </c>
      <c r="J953" t="s">
        <v>3480</v>
      </c>
      <c r="K953">
        <v>4</v>
      </c>
      <c r="L953" t="s">
        <v>53</v>
      </c>
      <c r="M953" t="s">
        <v>54</v>
      </c>
      <c r="N953">
        <v>612.48</v>
      </c>
    </row>
    <row r="954" spans="1:14" x14ac:dyDescent="0.3">
      <c r="A954" t="s">
        <v>3481</v>
      </c>
      <c r="B954" s="8">
        <v>45715</v>
      </c>
      <c r="C954" t="s">
        <v>3482</v>
      </c>
      <c r="D954" t="s">
        <v>32</v>
      </c>
      <c r="E954">
        <v>3</v>
      </c>
      <c r="F954">
        <v>503.39</v>
      </c>
      <c r="G954" t="s">
        <v>3483</v>
      </c>
      <c r="H954" t="s">
        <v>43</v>
      </c>
      <c r="I954" t="s">
        <v>105</v>
      </c>
      <c r="J954" t="s">
        <v>3484</v>
      </c>
      <c r="K954">
        <v>5</v>
      </c>
      <c r="M954" t="s">
        <v>61</v>
      </c>
      <c r="N954">
        <v>1510.17</v>
      </c>
    </row>
    <row r="955" spans="1:14" x14ac:dyDescent="0.3">
      <c r="A955" t="s">
        <v>3485</v>
      </c>
      <c r="B955" s="8">
        <v>44963</v>
      </c>
      <c r="C955" t="s">
        <v>3486</v>
      </c>
      <c r="D955" t="s">
        <v>41</v>
      </c>
      <c r="E955">
        <v>1</v>
      </c>
      <c r="F955">
        <v>131.61000000000001</v>
      </c>
      <c r="G955" t="s">
        <v>379</v>
      </c>
      <c r="H955" t="s">
        <v>81</v>
      </c>
      <c r="I955" t="s">
        <v>35</v>
      </c>
      <c r="J955" t="s">
        <v>3487</v>
      </c>
      <c r="K955">
        <v>2</v>
      </c>
      <c r="L955" t="s">
        <v>53</v>
      </c>
      <c r="M955" t="s">
        <v>61</v>
      </c>
      <c r="N955">
        <v>131.61000000000001</v>
      </c>
    </row>
    <row r="956" spans="1:14" x14ac:dyDescent="0.3">
      <c r="A956" t="s">
        <v>3488</v>
      </c>
      <c r="B956" s="8">
        <v>45587</v>
      </c>
      <c r="C956" t="s">
        <v>3489</v>
      </c>
      <c r="D956" t="s">
        <v>57</v>
      </c>
      <c r="E956">
        <v>3</v>
      </c>
      <c r="F956">
        <v>443.44</v>
      </c>
      <c r="G956" t="s">
        <v>683</v>
      </c>
      <c r="H956" t="s">
        <v>76</v>
      </c>
      <c r="I956" t="s">
        <v>35</v>
      </c>
      <c r="J956" t="s">
        <v>3490</v>
      </c>
      <c r="K956">
        <v>3</v>
      </c>
      <c r="L956" t="s">
        <v>53</v>
      </c>
      <c r="M956" t="s">
        <v>92</v>
      </c>
      <c r="N956">
        <v>1330.32</v>
      </c>
    </row>
    <row r="957" spans="1:14" x14ac:dyDescent="0.3">
      <c r="A957" t="s">
        <v>3491</v>
      </c>
      <c r="B957" s="8">
        <v>44949</v>
      </c>
      <c r="C957" t="s">
        <v>3492</v>
      </c>
      <c r="D957" t="s">
        <v>57</v>
      </c>
      <c r="E957">
        <v>1</v>
      </c>
      <c r="F957">
        <v>408.13</v>
      </c>
      <c r="G957" t="s">
        <v>1008</v>
      </c>
      <c r="H957" t="s">
        <v>76</v>
      </c>
      <c r="I957" t="s">
        <v>35</v>
      </c>
      <c r="J957" t="s">
        <v>3493</v>
      </c>
      <c r="K957">
        <v>3</v>
      </c>
      <c r="L957" t="s">
        <v>97</v>
      </c>
      <c r="M957" t="s">
        <v>38</v>
      </c>
      <c r="N957">
        <v>408.13</v>
      </c>
    </row>
    <row r="958" spans="1:14" x14ac:dyDescent="0.3">
      <c r="A958" t="s">
        <v>3494</v>
      </c>
      <c r="B958" s="8">
        <v>45393</v>
      </c>
      <c r="C958" t="s">
        <v>2915</v>
      </c>
      <c r="D958" t="s">
        <v>41</v>
      </c>
      <c r="E958">
        <v>2</v>
      </c>
      <c r="F958">
        <v>160.97999999999999</v>
      </c>
      <c r="G958" t="s">
        <v>3495</v>
      </c>
      <c r="H958" t="s">
        <v>34</v>
      </c>
      <c r="I958" t="s">
        <v>66</v>
      </c>
      <c r="J958" t="s">
        <v>3496</v>
      </c>
      <c r="K958">
        <v>3</v>
      </c>
      <c r="L958" t="s">
        <v>37</v>
      </c>
      <c r="M958" t="s">
        <v>45</v>
      </c>
      <c r="N958">
        <v>321.95999999999998</v>
      </c>
    </row>
    <row r="959" spans="1:14" x14ac:dyDescent="0.3">
      <c r="A959" t="s">
        <v>3497</v>
      </c>
      <c r="B959" s="8">
        <v>44938</v>
      </c>
      <c r="C959" t="s">
        <v>3498</v>
      </c>
      <c r="D959" t="s">
        <v>32</v>
      </c>
      <c r="E959">
        <v>5</v>
      </c>
      <c r="F959">
        <v>643.89</v>
      </c>
      <c r="G959" t="s">
        <v>3499</v>
      </c>
      <c r="H959" t="s">
        <v>81</v>
      </c>
      <c r="I959" t="s">
        <v>59</v>
      </c>
      <c r="J959" t="s">
        <v>3500</v>
      </c>
      <c r="K959">
        <v>8</v>
      </c>
      <c r="L959" t="s">
        <v>97</v>
      </c>
      <c r="M959" t="s">
        <v>61</v>
      </c>
      <c r="N959">
        <v>3219.45</v>
      </c>
    </row>
    <row r="960" spans="1:14" x14ac:dyDescent="0.3">
      <c r="A960" t="s">
        <v>3501</v>
      </c>
      <c r="B960" s="8">
        <v>45059</v>
      </c>
      <c r="C960" t="s">
        <v>3502</v>
      </c>
      <c r="D960" t="s">
        <v>89</v>
      </c>
      <c r="E960">
        <v>3</v>
      </c>
      <c r="F960">
        <v>158.66</v>
      </c>
      <c r="G960" t="s">
        <v>1167</v>
      </c>
      <c r="H960" t="s">
        <v>76</v>
      </c>
      <c r="I960" t="s">
        <v>66</v>
      </c>
      <c r="J960" t="s">
        <v>3503</v>
      </c>
      <c r="K960">
        <v>7</v>
      </c>
      <c r="L960" t="s">
        <v>97</v>
      </c>
      <c r="M960" t="s">
        <v>54</v>
      </c>
      <c r="N960">
        <v>475.98</v>
      </c>
    </row>
    <row r="961" spans="1:14" x14ac:dyDescent="0.3">
      <c r="A961" t="s">
        <v>3504</v>
      </c>
      <c r="B961" s="8">
        <v>45395</v>
      </c>
      <c r="C961" t="s">
        <v>3505</v>
      </c>
      <c r="D961" t="s">
        <v>48</v>
      </c>
      <c r="E961">
        <v>2</v>
      </c>
      <c r="F961">
        <v>143.82</v>
      </c>
      <c r="G961" t="s">
        <v>1206</v>
      </c>
      <c r="H961" t="s">
        <v>50</v>
      </c>
      <c r="I961" t="s">
        <v>59</v>
      </c>
      <c r="J961" t="s">
        <v>3506</v>
      </c>
      <c r="K961">
        <v>6</v>
      </c>
      <c r="L961" t="s">
        <v>37</v>
      </c>
      <c r="M961" t="s">
        <v>38</v>
      </c>
      <c r="N961">
        <v>287.64</v>
      </c>
    </row>
    <row r="962" spans="1:14" x14ac:dyDescent="0.3">
      <c r="A962" t="s">
        <v>3507</v>
      </c>
      <c r="B962" s="8">
        <v>45271</v>
      </c>
      <c r="C962" t="s">
        <v>3508</v>
      </c>
      <c r="D962" t="s">
        <v>74</v>
      </c>
      <c r="E962">
        <v>3</v>
      </c>
      <c r="F962">
        <v>379.07</v>
      </c>
      <c r="G962" t="s">
        <v>1447</v>
      </c>
      <c r="H962" t="s">
        <v>76</v>
      </c>
      <c r="I962" t="s">
        <v>105</v>
      </c>
      <c r="J962" t="s">
        <v>3509</v>
      </c>
      <c r="K962">
        <v>3</v>
      </c>
      <c r="L962" t="s">
        <v>97</v>
      </c>
      <c r="M962" t="s">
        <v>92</v>
      </c>
      <c r="N962">
        <v>1137.21</v>
      </c>
    </row>
    <row r="963" spans="1:14" x14ac:dyDescent="0.3">
      <c r="A963" t="s">
        <v>3510</v>
      </c>
      <c r="B963" s="8">
        <v>45607</v>
      </c>
      <c r="C963" t="s">
        <v>3511</v>
      </c>
      <c r="D963" t="s">
        <v>41</v>
      </c>
      <c r="E963">
        <v>1</v>
      </c>
      <c r="F963">
        <v>601.36</v>
      </c>
      <c r="G963" t="s">
        <v>1322</v>
      </c>
      <c r="H963" t="s">
        <v>43</v>
      </c>
      <c r="I963" t="s">
        <v>35</v>
      </c>
      <c r="J963" t="s">
        <v>3512</v>
      </c>
      <c r="K963">
        <v>1</v>
      </c>
      <c r="M963" t="s">
        <v>61</v>
      </c>
      <c r="N963">
        <v>601.36</v>
      </c>
    </row>
    <row r="964" spans="1:14" x14ac:dyDescent="0.3">
      <c r="A964" t="s">
        <v>3513</v>
      </c>
      <c r="B964" s="8">
        <v>45541</v>
      </c>
      <c r="C964" t="s">
        <v>3514</v>
      </c>
      <c r="D964" t="s">
        <v>41</v>
      </c>
      <c r="E964">
        <v>2</v>
      </c>
      <c r="F964">
        <v>142.08000000000001</v>
      </c>
      <c r="G964" t="s">
        <v>1000</v>
      </c>
      <c r="H964" t="s">
        <v>76</v>
      </c>
      <c r="I964" t="s">
        <v>66</v>
      </c>
      <c r="J964" t="s">
        <v>3515</v>
      </c>
      <c r="K964">
        <v>4</v>
      </c>
      <c r="L964" t="s">
        <v>37</v>
      </c>
      <c r="M964" t="s">
        <v>45</v>
      </c>
      <c r="N964">
        <v>284.16000000000003</v>
      </c>
    </row>
    <row r="965" spans="1:14" x14ac:dyDescent="0.3">
      <c r="A965" t="s">
        <v>3516</v>
      </c>
      <c r="B965" s="8">
        <v>45362</v>
      </c>
      <c r="C965" t="s">
        <v>3517</v>
      </c>
      <c r="D965" t="s">
        <v>57</v>
      </c>
      <c r="E965">
        <v>5</v>
      </c>
      <c r="F965">
        <v>530.34</v>
      </c>
      <c r="G965" t="s">
        <v>759</v>
      </c>
      <c r="H965" t="s">
        <v>43</v>
      </c>
      <c r="I965" t="s">
        <v>35</v>
      </c>
      <c r="J965" t="s">
        <v>3518</v>
      </c>
      <c r="K965">
        <v>9</v>
      </c>
      <c r="L965" t="s">
        <v>53</v>
      </c>
      <c r="M965" t="s">
        <v>92</v>
      </c>
      <c r="N965">
        <v>2651.7</v>
      </c>
    </row>
    <row r="966" spans="1:14" x14ac:dyDescent="0.3">
      <c r="A966" t="s">
        <v>3519</v>
      </c>
      <c r="B966" s="8">
        <v>45158</v>
      </c>
      <c r="C966" t="s">
        <v>3520</v>
      </c>
      <c r="D966" t="s">
        <v>41</v>
      </c>
      <c r="E966">
        <v>5</v>
      </c>
      <c r="F966">
        <v>364.42</v>
      </c>
      <c r="G966" t="s">
        <v>1565</v>
      </c>
      <c r="H966" t="s">
        <v>50</v>
      </c>
      <c r="I966" t="s">
        <v>51</v>
      </c>
      <c r="J966" t="s">
        <v>3521</v>
      </c>
      <c r="K966">
        <v>10</v>
      </c>
      <c r="L966" t="s">
        <v>37</v>
      </c>
      <c r="M966" t="s">
        <v>45</v>
      </c>
      <c r="N966">
        <v>1822.1</v>
      </c>
    </row>
    <row r="967" spans="1:14" x14ac:dyDescent="0.3">
      <c r="A967" t="s">
        <v>3522</v>
      </c>
      <c r="B967" s="8">
        <v>45826</v>
      </c>
      <c r="C967" t="s">
        <v>3523</v>
      </c>
      <c r="D967" t="s">
        <v>74</v>
      </c>
      <c r="E967">
        <v>4</v>
      </c>
      <c r="F967">
        <v>578.28</v>
      </c>
      <c r="G967" t="s">
        <v>1101</v>
      </c>
      <c r="H967" t="s">
        <v>76</v>
      </c>
      <c r="I967" t="s">
        <v>51</v>
      </c>
      <c r="J967" t="s">
        <v>3524</v>
      </c>
      <c r="K967">
        <v>5</v>
      </c>
      <c r="L967" t="s">
        <v>53</v>
      </c>
      <c r="M967" t="s">
        <v>54</v>
      </c>
      <c r="N967">
        <v>2313.12</v>
      </c>
    </row>
    <row r="968" spans="1:14" x14ac:dyDescent="0.3">
      <c r="A968" t="s">
        <v>3525</v>
      </c>
      <c r="B968" s="8">
        <v>45797</v>
      </c>
      <c r="C968" t="s">
        <v>3526</v>
      </c>
      <c r="D968" t="s">
        <v>32</v>
      </c>
      <c r="E968">
        <v>5</v>
      </c>
      <c r="F968">
        <v>280.52</v>
      </c>
      <c r="G968" t="s">
        <v>3527</v>
      </c>
      <c r="H968" t="s">
        <v>50</v>
      </c>
      <c r="I968" t="s">
        <v>51</v>
      </c>
      <c r="J968" t="s">
        <v>3528</v>
      </c>
      <c r="K968">
        <v>7</v>
      </c>
      <c r="L968" t="s">
        <v>97</v>
      </c>
      <c r="M968" t="s">
        <v>61</v>
      </c>
      <c r="N968">
        <v>1402.6</v>
      </c>
    </row>
    <row r="969" spans="1:14" x14ac:dyDescent="0.3">
      <c r="A969" t="s">
        <v>3529</v>
      </c>
      <c r="B969" s="8">
        <v>45783</v>
      </c>
      <c r="C969" t="s">
        <v>3530</v>
      </c>
      <c r="D969" t="s">
        <v>48</v>
      </c>
      <c r="E969">
        <v>5</v>
      </c>
      <c r="F969">
        <v>638.91999999999996</v>
      </c>
      <c r="G969" t="s">
        <v>3531</v>
      </c>
      <c r="H969" t="s">
        <v>50</v>
      </c>
      <c r="I969" t="s">
        <v>59</v>
      </c>
      <c r="J969" t="s">
        <v>3532</v>
      </c>
      <c r="K969">
        <v>5</v>
      </c>
      <c r="L969" t="s">
        <v>53</v>
      </c>
      <c r="M969" t="s">
        <v>92</v>
      </c>
      <c r="N969">
        <v>3194.6</v>
      </c>
    </row>
    <row r="970" spans="1:14" x14ac:dyDescent="0.3">
      <c r="A970" t="s">
        <v>3533</v>
      </c>
      <c r="B970" s="8">
        <v>45330</v>
      </c>
      <c r="C970" t="s">
        <v>3534</v>
      </c>
      <c r="D970" t="s">
        <v>32</v>
      </c>
      <c r="E970">
        <v>4</v>
      </c>
      <c r="F970">
        <v>412.2</v>
      </c>
      <c r="G970" t="s">
        <v>3058</v>
      </c>
      <c r="H970" t="s">
        <v>50</v>
      </c>
      <c r="I970" t="s">
        <v>35</v>
      </c>
      <c r="J970" t="s">
        <v>3535</v>
      </c>
      <c r="K970">
        <v>6</v>
      </c>
      <c r="L970" t="s">
        <v>97</v>
      </c>
      <c r="M970" t="s">
        <v>45</v>
      </c>
      <c r="N970">
        <v>1648.8</v>
      </c>
    </row>
    <row r="971" spans="1:14" x14ac:dyDescent="0.3">
      <c r="A971" t="s">
        <v>3536</v>
      </c>
      <c r="B971" s="8">
        <v>45813</v>
      </c>
      <c r="C971" t="s">
        <v>3537</v>
      </c>
      <c r="D971" t="s">
        <v>89</v>
      </c>
      <c r="E971">
        <v>1</v>
      </c>
      <c r="F971">
        <v>440.34</v>
      </c>
      <c r="G971" t="s">
        <v>3538</v>
      </c>
      <c r="H971" t="s">
        <v>76</v>
      </c>
      <c r="I971" t="s">
        <v>35</v>
      </c>
      <c r="J971" t="s">
        <v>3539</v>
      </c>
      <c r="K971">
        <v>2</v>
      </c>
      <c r="L971" t="s">
        <v>97</v>
      </c>
      <c r="M971" t="s">
        <v>61</v>
      </c>
      <c r="N971">
        <v>440.34</v>
      </c>
    </row>
    <row r="972" spans="1:14" x14ac:dyDescent="0.3">
      <c r="A972" t="s">
        <v>3540</v>
      </c>
      <c r="B972" s="8">
        <v>45542</v>
      </c>
      <c r="C972" t="s">
        <v>3541</v>
      </c>
      <c r="D972" t="s">
        <v>89</v>
      </c>
      <c r="E972">
        <v>1</v>
      </c>
      <c r="F972">
        <v>627.15</v>
      </c>
      <c r="G972" t="s">
        <v>3542</v>
      </c>
      <c r="H972" t="s">
        <v>81</v>
      </c>
      <c r="I972" t="s">
        <v>66</v>
      </c>
      <c r="J972" t="s">
        <v>3543</v>
      </c>
      <c r="K972">
        <v>5</v>
      </c>
      <c r="L972" t="s">
        <v>37</v>
      </c>
      <c r="M972" t="s">
        <v>38</v>
      </c>
      <c r="N972">
        <v>627.15</v>
      </c>
    </row>
    <row r="973" spans="1:14" x14ac:dyDescent="0.3">
      <c r="A973" t="s">
        <v>3544</v>
      </c>
      <c r="B973" s="8">
        <v>45439</v>
      </c>
      <c r="C973" t="s">
        <v>3545</v>
      </c>
      <c r="D973" t="s">
        <v>32</v>
      </c>
      <c r="E973">
        <v>2</v>
      </c>
      <c r="F973">
        <v>605.26</v>
      </c>
      <c r="G973" t="s">
        <v>70</v>
      </c>
      <c r="H973" t="s">
        <v>81</v>
      </c>
      <c r="I973" t="s">
        <v>51</v>
      </c>
      <c r="J973" t="s">
        <v>3546</v>
      </c>
      <c r="K973">
        <v>4</v>
      </c>
      <c r="L973" t="s">
        <v>97</v>
      </c>
      <c r="M973" t="s">
        <v>45</v>
      </c>
      <c r="N973">
        <v>1210.52</v>
      </c>
    </row>
    <row r="974" spans="1:14" x14ac:dyDescent="0.3">
      <c r="A974" t="s">
        <v>3547</v>
      </c>
      <c r="B974" s="8">
        <v>45452</v>
      </c>
      <c r="C974" t="s">
        <v>3548</v>
      </c>
      <c r="D974" t="s">
        <v>74</v>
      </c>
      <c r="E974">
        <v>1</v>
      </c>
      <c r="F974">
        <v>90.27</v>
      </c>
      <c r="G974" t="s">
        <v>3549</v>
      </c>
      <c r="H974" t="s">
        <v>81</v>
      </c>
      <c r="I974" t="s">
        <v>66</v>
      </c>
      <c r="J974" t="s">
        <v>3550</v>
      </c>
      <c r="K974">
        <v>5</v>
      </c>
      <c r="L974" t="s">
        <v>37</v>
      </c>
      <c r="M974" t="s">
        <v>61</v>
      </c>
      <c r="N974">
        <v>90.27</v>
      </c>
    </row>
    <row r="975" spans="1:14" x14ac:dyDescent="0.3">
      <c r="A975" t="s">
        <v>3551</v>
      </c>
      <c r="B975" s="8">
        <v>45817</v>
      </c>
      <c r="C975" t="s">
        <v>3552</v>
      </c>
      <c r="D975" t="s">
        <v>89</v>
      </c>
      <c r="E975">
        <v>5</v>
      </c>
      <c r="F975">
        <v>230.77</v>
      </c>
      <c r="G975" t="s">
        <v>3338</v>
      </c>
      <c r="H975" t="s">
        <v>43</v>
      </c>
      <c r="I975" t="s">
        <v>105</v>
      </c>
      <c r="J975" t="s">
        <v>3553</v>
      </c>
      <c r="K975">
        <v>10</v>
      </c>
      <c r="L975" t="s">
        <v>97</v>
      </c>
      <c r="M975" t="s">
        <v>45</v>
      </c>
      <c r="N975">
        <v>1153.8499999999999</v>
      </c>
    </row>
    <row r="976" spans="1:14" x14ac:dyDescent="0.3">
      <c r="A976" t="s">
        <v>3554</v>
      </c>
      <c r="B976" s="8">
        <v>45196</v>
      </c>
      <c r="C976" t="s">
        <v>3555</v>
      </c>
      <c r="D976" t="s">
        <v>89</v>
      </c>
      <c r="E976">
        <v>5</v>
      </c>
      <c r="F976">
        <v>266.77999999999997</v>
      </c>
      <c r="G976" t="s">
        <v>1253</v>
      </c>
      <c r="H976" t="s">
        <v>76</v>
      </c>
      <c r="I976" t="s">
        <v>51</v>
      </c>
      <c r="J976" t="s">
        <v>3556</v>
      </c>
      <c r="K976">
        <v>5</v>
      </c>
      <c r="M976" t="s">
        <v>54</v>
      </c>
      <c r="N976">
        <v>1333.9</v>
      </c>
    </row>
    <row r="977" spans="1:14" x14ac:dyDescent="0.3">
      <c r="A977" t="s">
        <v>3557</v>
      </c>
      <c r="B977" s="8">
        <v>45064</v>
      </c>
      <c r="C977" t="s">
        <v>3558</v>
      </c>
      <c r="D977" t="s">
        <v>89</v>
      </c>
      <c r="E977">
        <v>1</v>
      </c>
      <c r="F977">
        <v>105.92</v>
      </c>
      <c r="G977" t="s">
        <v>1109</v>
      </c>
      <c r="H977" t="s">
        <v>76</v>
      </c>
      <c r="I977" t="s">
        <v>59</v>
      </c>
      <c r="J977" t="s">
        <v>3559</v>
      </c>
      <c r="K977">
        <v>6</v>
      </c>
      <c r="L977" t="s">
        <v>37</v>
      </c>
      <c r="M977" t="s">
        <v>54</v>
      </c>
      <c r="N977">
        <v>105.92</v>
      </c>
    </row>
    <row r="978" spans="1:14" x14ac:dyDescent="0.3">
      <c r="A978" t="s">
        <v>3560</v>
      </c>
      <c r="B978" s="8">
        <v>45386</v>
      </c>
      <c r="C978" t="s">
        <v>3561</v>
      </c>
      <c r="D978" t="s">
        <v>48</v>
      </c>
      <c r="E978">
        <v>3</v>
      </c>
      <c r="F978">
        <v>589.29999999999995</v>
      </c>
      <c r="G978" t="s">
        <v>3041</v>
      </c>
      <c r="H978" t="s">
        <v>50</v>
      </c>
      <c r="I978" t="s">
        <v>59</v>
      </c>
      <c r="J978" t="s">
        <v>3562</v>
      </c>
      <c r="K978">
        <v>6</v>
      </c>
      <c r="L978" t="s">
        <v>97</v>
      </c>
      <c r="M978" t="s">
        <v>45</v>
      </c>
      <c r="N978">
        <v>1767.9</v>
      </c>
    </row>
    <row r="979" spans="1:14" x14ac:dyDescent="0.3">
      <c r="A979" t="s">
        <v>3563</v>
      </c>
      <c r="B979" s="8">
        <v>44954</v>
      </c>
      <c r="C979" t="s">
        <v>3564</v>
      </c>
      <c r="D979" t="s">
        <v>57</v>
      </c>
      <c r="E979">
        <v>4</v>
      </c>
      <c r="F979">
        <v>649.47</v>
      </c>
      <c r="G979" t="s">
        <v>3565</v>
      </c>
      <c r="H979" t="s">
        <v>81</v>
      </c>
      <c r="I979" t="s">
        <v>105</v>
      </c>
      <c r="J979" t="s">
        <v>3566</v>
      </c>
      <c r="K979">
        <v>8</v>
      </c>
      <c r="L979" t="s">
        <v>37</v>
      </c>
      <c r="M979" t="s">
        <v>92</v>
      </c>
      <c r="N979">
        <v>2597.88</v>
      </c>
    </row>
    <row r="980" spans="1:14" x14ac:dyDescent="0.3">
      <c r="A980" t="s">
        <v>3567</v>
      </c>
      <c r="B980" s="8">
        <v>45468</v>
      </c>
      <c r="C980" t="s">
        <v>3568</v>
      </c>
      <c r="D980" t="s">
        <v>64</v>
      </c>
      <c r="E980">
        <v>4</v>
      </c>
      <c r="F980">
        <v>107.49</v>
      </c>
      <c r="G980" t="s">
        <v>2667</v>
      </c>
      <c r="H980" t="s">
        <v>81</v>
      </c>
      <c r="I980" t="s">
        <v>66</v>
      </c>
      <c r="J980" t="s">
        <v>3569</v>
      </c>
      <c r="K980">
        <v>5</v>
      </c>
      <c r="M980" t="s">
        <v>92</v>
      </c>
      <c r="N980">
        <v>429.96</v>
      </c>
    </row>
    <row r="981" spans="1:14" x14ac:dyDescent="0.3">
      <c r="A981" t="s">
        <v>3570</v>
      </c>
      <c r="B981" s="8">
        <v>45077</v>
      </c>
      <c r="C981" t="s">
        <v>3571</v>
      </c>
      <c r="D981" t="s">
        <v>32</v>
      </c>
      <c r="E981">
        <v>3</v>
      </c>
      <c r="F981">
        <v>669.06</v>
      </c>
      <c r="G981" t="s">
        <v>1129</v>
      </c>
      <c r="H981" t="s">
        <v>81</v>
      </c>
      <c r="I981" t="s">
        <v>66</v>
      </c>
      <c r="J981" t="s">
        <v>3572</v>
      </c>
      <c r="K981">
        <v>7</v>
      </c>
      <c r="L981" t="s">
        <v>37</v>
      </c>
      <c r="M981" t="s">
        <v>61</v>
      </c>
      <c r="N981">
        <v>2007.18</v>
      </c>
    </row>
    <row r="982" spans="1:14" x14ac:dyDescent="0.3">
      <c r="A982" t="s">
        <v>3573</v>
      </c>
      <c r="B982" s="8">
        <v>45213</v>
      </c>
      <c r="C982" t="s">
        <v>3574</v>
      </c>
      <c r="D982" t="s">
        <v>57</v>
      </c>
      <c r="E982">
        <v>3</v>
      </c>
      <c r="F982">
        <v>69.650000000000006</v>
      </c>
      <c r="G982" t="s">
        <v>3575</v>
      </c>
      <c r="H982" t="s">
        <v>81</v>
      </c>
      <c r="I982" t="s">
        <v>66</v>
      </c>
      <c r="J982" t="s">
        <v>3576</v>
      </c>
      <c r="K982">
        <v>7</v>
      </c>
      <c r="L982" t="s">
        <v>97</v>
      </c>
      <c r="M982" t="s">
        <v>38</v>
      </c>
      <c r="N982">
        <v>208.95</v>
      </c>
    </row>
    <row r="983" spans="1:14" x14ac:dyDescent="0.3">
      <c r="A983" t="s">
        <v>3577</v>
      </c>
      <c r="B983" s="8">
        <v>45256</v>
      </c>
      <c r="C983" t="s">
        <v>3578</v>
      </c>
      <c r="D983" t="s">
        <v>41</v>
      </c>
      <c r="E983">
        <v>4</v>
      </c>
      <c r="F983">
        <v>136.83000000000001</v>
      </c>
      <c r="G983" t="s">
        <v>3579</v>
      </c>
      <c r="H983" t="s">
        <v>34</v>
      </c>
      <c r="I983" t="s">
        <v>105</v>
      </c>
      <c r="J983" t="s">
        <v>3580</v>
      </c>
      <c r="K983">
        <v>8</v>
      </c>
      <c r="L983" t="s">
        <v>37</v>
      </c>
      <c r="M983" t="s">
        <v>54</v>
      </c>
      <c r="N983">
        <v>547.32000000000005</v>
      </c>
    </row>
    <row r="984" spans="1:14" x14ac:dyDescent="0.3">
      <c r="A984" t="s">
        <v>3581</v>
      </c>
      <c r="B984" s="8">
        <v>45541</v>
      </c>
      <c r="C984" t="s">
        <v>3582</v>
      </c>
      <c r="D984" t="s">
        <v>32</v>
      </c>
      <c r="E984">
        <v>1</v>
      </c>
      <c r="F984">
        <v>304.11</v>
      </c>
      <c r="G984" t="s">
        <v>2684</v>
      </c>
      <c r="H984" t="s">
        <v>76</v>
      </c>
      <c r="I984" t="s">
        <v>35</v>
      </c>
      <c r="J984" t="s">
        <v>3583</v>
      </c>
      <c r="K984">
        <v>2</v>
      </c>
      <c r="L984" t="s">
        <v>37</v>
      </c>
      <c r="M984" t="s">
        <v>45</v>
      </c>
      <c r="N984">
        <v>304.11</v>
      </c>
    </row>
    <row r="985" spans="1:14" x14ac:dyDescent="0.3">
      <c r="A985" t="s">
        <v>3584</v>
      </c>
      <c r="B985" s="8">
        <v>45620</v>
      </c>
      <c r="C985" t="s">
        <v>3585</v>
      </c>
      <c r="D985" t="s">
        <v>32</v>
      </c>
      <c r="E985">
        <v>4</v>
      </c>
      <c r="F985">
        <v>296.27999999999997</v>
      </c>
      <c r="G985" t="s">
        <v>3586</v>
      </c>
      <c r="H985" t="s">
        <v>76</v>
      </c>
      <c r="I985" t="s">
        <v>35</v>
      </c>
      <c r="J985" t="s">
        <v>3587</v>
      </c>
      <c r="K985">
        <v>5</v>
      </c>
      <c r="L985" t="s">
        <v>37</v>
      </c>
      <c r="M985" t="s">
        <v>54</v>
      </c>
      <c r="N985">
        <v>1185.1199999999999</v>
      </c>
    </row>
    <row r="986" spans="1:14" x14ac:dyDescent="0.3">
      <c r="A986" t="s">
        <v>3588</v>
      </c>
      <c r="B986" s="8">
        <v>45716</v>
      </c>
      <c r="C986" t="s">
        <v>3589</v>
      </c>
      <c r="D986" t="s">
        <v>89</v>
      </c>
      <c r="E986">
        <v>1</v>
      </c>
      <c r="F986">
        <v>77.64</v>
      </c>
      <c r="G986" t="s">
        <v>80</v>
      </c>
      <c r="H986" t="s">
        <v>50</v>
      </c>
      <c r="I986" t="s">
        <v>35</v>
      </c>
      <c r="J986" t="s">
        <v>3590</v>
      </c>
      <c r="K986">
        <v>1</v>
      </c>
      <c r="L986" t="s">
        <v>53</v>
      </c>
      <c r="M986" t="s">
        <v>61</v>
      </c>
      <c r="N986">
        <v>77.64</v>
      </c>
    </row>
    <row r="987" spans="1:14" x14ac:dyDescent="0.3">
      <c r="A987" t="s">
        <v>3591</v>
      </c>
      <c r="B987" s="8">
        <v>45493</v>
      </c>
      <c r="C987" t="s">
        <v>3592</v>
      </c>
      <c r="D987" t="s">
        <v>89</v>
      </c>
      <c r="E987">
        <v>1</v>
      </c>
      <c r="F987">
        <v>243.71</v>
      </c>
      <c r="G987" t="s">
        <v>945</v>
      </c>
      <c r="H987" t="s">
        <v>76</v>
      </c>
      <c r="I987" t="s">
        <v>66</v>
      </c>
      <c r="J987" t="s">
        <v>3593</v>
      </c>
      <c r="K987">
        <v>6</v>
      </c>
      <c r="L987" t="s">
        <v>37</v>
      </c>
      <c r="M987" t="s">
        <v>92</v>
      </c>
      <c r="N987">
        <v>243.71</v>
      </c>
    </row>
    <row r="988" spans="1:14" x14ac:dyDescent="0.3">
      <c r="A988" t="s">
        <v>3594</v>
      </c>
      <c r="B988" s="8">
        <v>45542</v>
      </c>
      <c r="C988" t="s">
        <v>3595</v>
      </c>
      <c r="D988" t="s">
        <v>74</v>
      </c>
      <c r="E988">
        <v>4</v>
      </c>
      <c r="F988">
        <v>644.96</v>
      </c>
      <c r="G988" t="s">
        <v>442</v>
      </c>
      <c r="H988" t="s">
        <v>50</v>
      </c>
      <c r="I988" t="s">
        <v>105</v>
      </c>
      <c r="J988" t="s">
        <v>3596</v>
      </c>
      <c r="K988">
        <v>7</v>
      </c>
      <c r="L988" t="s">
        <v>53</v>
      </c>
      <c r="M988" t="s">
        <v>54</v>
      </c>
      <c r="N988">
        <v>2579.84</v>
      </c>
    </row>
    <row r="989" spans="1:14" x14ac:dyDescent="0.3">
      <c r="A989" t="s">
        <v>3597</v>
      </c>
      <c r="B989" s="8">
        <v>45813</v>
      </c>
      <c r="C989" t="s">
        <v>3598</v>
      </c>
      <c r="D989" t="s">
        <v>41</v>
      </c>
      <c r="E989">
        <v>5</v>
      </c>
      <c r="F989">
        <v>283.73</v>
      </c>
      <c r="G989" t="s">
        <v>1713</v>
      </c>
      <c r="H989" t="s">
        <v>76</v>
      </c>
      <c r="I989" t="s">
        <v>105</v>
      </c>
      <c r="J989" t="s">
        <v>3599</v>
      </c>
      <c r="K989">
        <v>8</v>
      </c>
      <c r="L989" t="s">
        <v>53</v>
      </c>
      <c r="M989" t="s">
        <v>38</v>
      </c>
      <c r="N989">
        <v>1418.65</v>
      </c>
    </row>
    <row r="990" spans="1:14" x14ac:dyDescent="0.3">
      <c r="A990" t="s">
        <v>3600</v>
      </c>
      <c r="B990" s="8">
        <v>45692</v>
      </c>
      <c r="C990" t="s">
        <v>3601</v>
      </c>
      <c r="D990" t="s">
        <v>89</v>
      </c>
      <c r="E990">
        <v>2</v>
      </c>
      <c r="F990">
        <v>629.55999999999995</v>
      </c>
      <c r="G990" t="s">
        <v>1333</v>
      </c>
      <c r="H990" t="s">
        <v>76</v>
      </c>
      <c r="I990" t="s">
        <v>51</v>
      </c>
      <c r="J990" t="s">
        <v>3602</v>
      </c>
      <c r="K990">
        <v>5</v>
      </c>
      <c r="L990" t="s">
        <v>97</v>
      </c>
      <c r="M990" t="s">
        <v>38</v>
      </c>
      <c r="N990">
        <v>1259.1199999999999</v>
      </c>
    </row>
    <row r="991" spans="1:14" x14ac:dyDescent="0.3">
      <c r="A991" t="s">
        <v>3603</v>
      </c>
      <c r="B991" s="8">
        <v>45008</v>
      </c>
      <c r="C991" t="s">
        <v>3604</v>
      </c>
      <c r="D991" t="s">
        <v>74</v>
      </c>
      <c r="E991">
        <v>4</v>
      </c>
      <c r="F991">
        <v>246.11</v>
      </c>
      <c r="G991" t="s">
        <v>3605</v>
      </c>
      <c r="H991" t="s">
        <v>50</v>
      </c>
      <c r="I991" t="s">
        <v>105</v>
      </c>
      <c r="J991" t="s">
        <v>3606</v>
      </c>
      <c r="K991">
        <v>4</v>
      </c>
      <c r="L991" t="s">
        <v>37</v>
      </c>
      <c r="M991" t="s">
        <v>38</v>
      </c>
      <c r="N991">
        <v>984.44</v>
      </c>
    </row>
    <row r="992" spans="1:14" x14ac:dyDescent="0.3">
      <c r="A992" t="s">
        <v>3607</v>
      </c>
      <c r="B992" s="8">
        <v>45249</v>
      </c>
      <c r="C992" t="s">
        <v>3608</v>
      </c>
      <c r="D992" t="s">
        <v>41</v>
      </c>
      <c r="E992">
        <v>2</v>
      </c>
      <c r="F992">
        <v>418.26</v>
      </c>
      <c r="G992" t="s">
        <v>3609</v>
      </c>
      <c r="H992" t="s">
        <v>34</v>
      </c>
      <c r="I992" t="s">
        <v>105</v>
      </c>
      <c r="J992" t="s">
        <v>3610</v>
      </c>
      <c r="K992">
        <v>2</v>
      </c>
      <c r="L992" t="s">
        <v>37</v>
      </c>
      <c r="M992" t="s">
        <v>92</v>
      </c>
      <c r="N992">
        <v>836.52</v>
      </c>
    </row>
    <row r="993" spans="1:14" x14ac:dyDescent="0.3">
      <c r="A993" t="s">
        <v>3611</v>
      </c>
      <c r="B993" s="8">
        <v>45421</v>
      </c>
      <c r="C993" t="s">
        <v>3612</v>
      </c>
      <c r="D993" t="s">
        <v>89</v>
      </c>
      <c r="E993">
        <v>5</v>
      </c>
      <c r="F993">
        <v>127.18</v>
      </c>
      <c r="G993" t="s">
        <v>596</v>
      </c>
      <c r="H993" t="s">
        <v>34</v>
      </c>
      <c r="I993" t="s">
        <v>51</v>
      </c>
      <c r="J993" t="s">
        <v>3613</v>
      </c>
      <c r="K993">
        <v>10</v>
      </c>
      <c r="L993" t="s">
        <v>53</v>
      </c>
      <c r="M993" t="s">
        <v>92</v>
      </c>
      <c r="N993">
        <v>635.9</v>
      </c>
    </row>
    <row r="994" spans="1:14" x14ac:dyDescent="0.3">
      <c r="A994" t="s">
        <v>3614</v>
      </c>
      <c r="B994" s="8">
        <v>45531</v>
      </c>
      <c r="C994" t="s">
        <v>3615</v>
      </c>
      <c r="D994" t="s">
        <v>64</v>
      </c>
      <c r="E994">
        <v>3</v>
      </c>
      <c r="F994">
        <v>586.21</v>
      </c>
      <c r="G994" t="s">
        <v>619</v>
      </c>
      <c r="H994" t="s">
        <v>76</v>
      </c>
      <c r="I994" t="s">
        <v>105</v>
      </c>
      <c r="J994" t="s">
        <v>3616</v>
      </c>
      <c r="K994">
        <v>4</v>
      </c>
      <c r="L994" t="s">
        <v>97</v>
      </c>
      <c r="M994" t="s">
        <v>45</v>
      </c>
      <c r="N994">
        <v>1758.63</v>
      </c>
    </row>
    <row r="995" spans="1:14" x14ac:dyDescent="0.3">
      <c r="A995" t="s">
        <v>3617</v>
      </c>
      <c r="B995" s="8">
        <v>45388</v>
      </c>
      <c r="C995" t="s">
        <v>3618</v>
      </c>
      <c r="D995" t="s">
        <v>32</v>
      </c>
      <c r="E995">
        <v>3</v>
      </c>
      <c r="F995">
        <v>267.45</v>
      </c>
      <c r="G995" t="s">
        <v>3619</v>
      </c>
      <c r="H995" t="s">
        <v>76</v>
      </c>
      <c r="I995" t="s">
        <v>66</v>
      </c>
      <c r="J995" t="s">
        <v>3620</v>
      </c>
      <c r="K995">
        <v>5</v>
      </c>
      <c r="L995" t="s">
        <v>97</v>
      </c>
      <c r="M995" t="s">
        <v>38</v>
      </c>
      <c r="N995">
        <v>802.35</v>
      </c>
    </row>
    <row r="996" spans="1:14" x14ac:dyDescent="0.3">
      <c r="A996" t="s">
        <v>3621</v>
      </c>
      <c r="B996" s="8">
        <v>45470</v>
      </c>
      <c r="C996" t="s">
        <v>3622</v>
      </c>
      <c r="D996" t="s">
        <v>48</v>
      </c>
      <c r="E996">
        <v>4</v>
      </c>
      <c r="F996">
        <v>615.65</v>
      </c>
      <c r="G996" t="s">
        <v>379</v>
      </c>
      <c r="H996" t="s">
        <v>34</v>
      </c>
      <c r="I996" t="s">
        <v>66</v>
      </c>
      <c r="J996" t="s">
        <v>3623</v>
      </c>
      <c r="K996">
        <v>9</v>
      </c>
      <c r="L996" t="s">
        <v>97</v>
      </c>
      <c r="M996" t="s">
        <v>92</v>
      </c>
      <c r="N996">
        <v>2462.6</v>
      </c>
    </row>
    <row r="997" spans="1:14" x14ac:dyDescent="0.3">
      <c r="A997" t="s">
        <v>3624</v>
      </c>
      <c r="B997" s="8">
        <v>45248</v>
      </c>
      <c r="C997" t="s">
        <v>3625</v>
      </c>
      <c r="D997" t="s">
        <v>32</v>
      </c>
      <c r="E997">
        <v>2</v>
      </c>
      <c r="F997">
        <v>113.29</v>
      </c>
      <c r="G997" t="s">
        <v>2008</v>
      </c>
      <c r="H997" t="s">
        <v>81</v>
      </c>
      <c r="I997" t="s">
        <v>105</v>
      </c>
      <c r="J997" t="s">
        <v>3626</v>
      </c>
      <c r="K997">
        <v>5</v>
      </c>
      <c r="L997" t="s">
        <v>37</v>
      </c>
      <c r="M997" t="s">
        <v>61</v>
      </c>
      <c r="N997">
        <v>226.58</v>
      </c>
    </row>
    <row r="998" spans="1:14" x14ac:dyDescent="0.3">
      <c r="A998" t="s">
        <v>3627</v>
      </c>
      <c r="B998" s="8">
        <v>45410</v>
      </c>
      <c r="C998" t="s">
        <v>3628</v>
      </c>
      <c r="D998" t="s">
        <v>32</v>
      </c>
      <c r="E998">
        <v>4</v>
      </c>
      <c r="F998">
        <v>473.86</v>
      </c>
      <c r="G998" t="s">
        <v>1272</v>
      </c>
      <c r="H998" t="s">
        <v>34</v>
      </c>
      <c r="I998" t="s">
        <v>66</v>
      </c>
      <c r="J998" t="s">
        <v>3629</v>
      </c>
      <c r="K998">
        <v>7</v>
      </c>
      <c r="L998" t="s">
        <v>37</v>
      </c>
      <c r="M998" t="s">
        <v>61</v>
      </c>
      <c r="N998">
        <v>1895.44</v>
      </c>
    </row>
    <row r="999" spans="1:14" x14ac:dyDescent="0.3">
      <c r="A999" t="s">
        <v>3630</v>
      </c>
      <c r="B999" s="8">
        <v>45257</v>
      </c>
      <c r="C999" t="s">
        <v>3631</v>
      </c>
      <c r="D999" t="s">
        <v>74</v>
      </c>
      <c r="E999">
        <v>3</v>
      </c>
      <c r="F999">
        <v>444.75</v>
      </c>
      <c r="G999" t="s">
        <v>1954</v>
      </c>
      <c r="H999" t="s">
        <v>81</v>
      </c>
      <c r="I999" t="s">
        <v>66</v>
      </c>
      <c r="J999" t="s">
        <v>3632</v>
      </c>
      <c r="K999">
        <v>6</v>
      </c>
      <c r="L999" t="s">
        <v>37</v>
      </c>
      <c r="M999" t="s">
        <v>61</v>
      </c>
      <c r="N999">
        <v>1334.25</v>
      </c>
    </row>
    <row r="1000" spans="1:14" x14ac:dyDescent="0.3">
      <c r="A1000" t="s">
        <v>3633</v>
      </c>
      <c r="B1000" s="8">
        <v>45065</v>
      </c>
      <c r="C1000" t="s">
        <v>3634</v>
      </c>
      <c r="D1000" t="s">
        <v>41</v>
      </c>
      <c r="E1000">
        <v>2</v>
      </c>
      <c r="F1000">
        <v>183.67</v>
      </c>
      <c r="G1000" t="s">
        <v>972</v>
      </c>
      <c r="H1000" t="s">
        <v>34</v>
      </c>
      <c r="I1000" t="s">
        <v>51</v>
      </c>
      <c r="J1000" t="s">
        <v>3635</v>
      </c>
      <c r="K1000">
        <v>6</v>
      </c>
      <c r="L1000" t="s">
        <v>37</v>
      </c>
      <c r="M1000" t="s">
        <v>92</v>
      </c>
      <c r="N1000">
        <v>367.34</v>
      </c>
    </row>
    <row r="1001" spans="1:14" x14ac:dyDescent="0.3">
      <c r="A1001" t="s">
        <v>3636</v>
      </c>
      <c r="B1001" s="8">
        <v>45284</v>
      </c>
      <c r="C1001" t="s">
        <v>3637</v>
      </c>
      <c r="D1001" t="s">
        <v>64</v>
      </c>
      <c r="E1001">
        <v>1</v>
      </c>
      <c r="F1001">
        <v>483.38</v>
      </c>
      <c r="G1001" t="s">
        <v>1636</v>
      </c>
      <c r="H1001" t="s">
        <v>81</v>
      </c>
      <c r="I1001" t="s">
        <v>105</v>
      </c>
      <c r="J1001" t="s">
        <v>3638</v>
      </c>
      <c r="K1001">
        <v>6</v>
      </c>
      <c r="L1001" t="s">
        <v>53</v>
      </c>
      <c r="M1001" t="s">
        <v>92</v>
      </c>
      <c r="N1001">
        <v>483.38</v>
      </c>
    </row>
    <row r="1002" spans="1:14" x14ac:dyDescent="0.3">
      <c r="A1002" t="s">
        <v>3639</v>
      </c>
      <c r="B1002" s="8">
        <v>45098</v>
      </c>
      <c r="C1002" t="s">
        <v>3640</v>
      </c>
      <c r="D1002" t="s">
        <v>64</v>
      </c>
      <c r="E1002">
        <v>5</v>
      </c>
      <c r="F1002">
        <v>260.93</v>
      </c>
      <c r="G1002" t="s">
        <v>3641</v>
      </c>
      <c r="H1002" t="s">
        <v>43</v>
      </c>
      <c r="I1002" t="s">
        <v>66</v>
      </c>
      <c r="J1002" t="s">
        <v>3642</v>
      </c>
      <c r="K1002">
        <v>9</v>
      </c>
      <c r="L1002" t="s">
        <v>37</v>
      </c>
      <c r="M1002" t="s">
        <v>54</v>
      </c>
      <c r="N1002">
        <v>1304.6500000000001</v>
      </c>
    </row>
    <row r="1003" spans="1:14" x14ac:dyDescent="0.3">
      <c r="A1003" t="s">
        <v>3643</v>
      </c>
      <c r="B1003" s="8">
        <v>45268</v>
      </c>
      <c r="C1003" t="s">
        <v>3644</v>
      </c>
      <c r="D1003" t="s">
        <v>64</v>
      </c>
      <c r="E1003">
        <v>2</v>
      </c>
      <c r="F1003">
        <v>253.68</v>
      </c>
      <c r="G1003" t="s">
        <v>510</v>
      </c>
      <c r="H1003" t="s">
        <v>76</v>
      </c>
      <c r="I1003" t="s">
        <v>35</v>
      </c>
      <c r="J1003" t="s">
        <v>3645</v>
      </c>
      <c r="K1003">
        <v>6</v>
      </c>
      <c r="M1003" t="s">
        <v>45</v>
      </c>
      <c r="N1003">
        <v>507.36</v>
      </c>
    </row>
    <row r="1004" spans="1:14" x14ac:dyDescent="0.3">
      <c r="A1004" t="s">
        <v>3646</v>
      </c>
      <c r="B1004" s="8">
        <v>45827</v>
      </c>
      <c r="C1004" t="s">
        <v>3647</v>
      </c>
      <c r="D1004" t="s">
        <v>48</v>
      </c>
      <c r="E1004">
        <v>4</v>
      </c>
      <c r="F1004">
        <v>699.88</v>
      </c>
      <c r="G1004" t="s">
        <v>458</v>
      </c>
      <c r="H1004" t="s">
        <v>81</v>
      </c>
      <c r="I1004" t="s">
        <v>105</v>
      </c>
      <c r="J1004" t="s">
        <v>3648</v>
      </c>
      <c r="K1004">
        <v>5</v>
      </c>
      <c r="L1004" t="s">
        <v>97</v>
      </c>
      <c r="M1004" t="s">
        <v>45</v>
      </c>
      <c r="N1004">
        <v>2799.52</v>
      </c>
    </row>
    <row r="1005" spans="1:14" x14ac:dyDescent="0.3">
      <c r="A1005" t="s">
        <v>3649</v>
      </c>
      <c r="B1005" s="8">
        <v>44937</v>
      </c>
      <c r="C1005" t="s">
        <v>3650</v>
      </c>
      <c r="D1005" t="s">
        <v>64</v>
      </c>
      <c r="E1005">
        <v>5</v>
      </c>
      <c r="F1005">
        <v>319.97000000000003</v>
      </c>
      <c r="G1005" t="s">
        <v>3641</v>
      </c>
      <c r="H1005" t="s">
        <v>81</v>
      </c>
      <c r="I1005" t="s">
        <v>35</v>
      </c>
      <c r="J1005" t="s">
        <v>3651</v>
      </c>
      <c r="K1005">
        <v>7</v>
      </c>
      <c r="L1005" t="s">
        <v>37</v>
      </c>
      <c r="M1005" t="s">
        <v>92</v>
      </c>
      <c r="N1005">
        <v>1599.85</v>
      </c>
    </row>
    <row r="1006" spans="1:14" x14ac:dyDescent="0.3">
      <c r="A1006" t="s">
        <v>3652</v>
      </c>
      <c r="B1006" s="8">
        <v>45817</v>
      </c>
      <c r="C1006" t="s">
        <v>3653</v>
      </c>
      <c r="D1006" t="s">
        <v>57</v>
      </c>
      <c r="E1006">
        <v>4</v>
      </c>
      <c r="F1006">
        <v>246.91</v>
      </c>
      <c r="G1006" t="s">
        <v>161</v>
      </c>
      <c r="H1006" t="s">
        <v>43</v>
      </c>
      <c r="I1006" t="s">
        <v>105</v>
      </c>
      <c r="J1006" t="s">
        <v>3654</v>
      </c>
      <c r="K1006">
        <v>8</v>
      </c>
      <c r="L1006" t="s">
        <v>37</v>
      </c>
      <c r="M1006" t="s">
        <v>45</v>
      </c>
      <c r="N1006">
        <v>987.64</v>
      </c>
    </row>
    <row r="1007" spans="1:14" x14ac:dyDescent="0.3">
      <c r="A1007" t="s">
        <v>3655</v>
      </c>
      <c r="B1007" s="8">
        <v>44987</v>
      </c>
      <c r="C1007" t="s">
        <v>3656</v>
      </c>
      <c r="D1007" t="s">
        <v>64</v>
      </c>
      <c r="E1007">
        <v>3</v>
      </c>
      <c r="F1007">
        <v>392.85</v>
      </c>
      <c r="G1007" t="s">
        <v>2964</v>
      </c>
      <c r="H1007" t="s">
        <v>50</v>
      </c>
      <c r="I1007" t="s">
        <v>59</v>
      </c>
      <c r="J1007" t="s">
        <v>3657</v>
      </c>
      <c r="K1007">
        <v>6</v>
      </c>
      <c r="M1007" t="s">
        <v>92</v>
      </c>
      <c r="N1007">
        <v>1178.55</v>
      </c>
    </row>
    <row r="1008" spans="1:14" x14ac:dyDescent="0.3">
      <c r="A1008" t="s">
        <v>3658</v>
      </c>
      <c r="B1008" s="8">
        <v>45439</v>
      </c>
      <c r="C1008" t="s">
        <v>3659</v>
      </c>
      <c r="D1008" t="s">
        <v>48</v>
      </c>
      <c r="E1008">
        <v>5</v>
      </c>
      <c r="F1008">
        <v>420.98</v>
      </c>
      <c r="G1008" t="s">
        <v>2535</v>
      </c>
      <c r="H1008" t="s">
        <v>81</v>
      </c>
      <c r="I1008" t="s">
        <v>66</v>
      </c>
      <c r="J1008" t="s">
        <v>3660</v>
      </c>
      <c r="K1008">
        <v>7</v>
      </c>
      <c r="L1008" t="s">
        <v>37</v>
      </c>
      <c r="M1008" t="s">
        <v>61</v>
      </c>
      <c r="N1008">
        <v>2104.9</v>
      </c>
    </row>
    <row r="1009" spans="1:14" x14ac:dyDescent="0.3">
      <c r="A1009" t="s">
        <v>3661</v>
      </c>
      <c r="B1009" s="8">
        <v>45371</v>
      </c>
      <c r="C1009" t="s">
        <v>1884</v>
      </c>
      <c r="D1009" t="s">
        <v>32</v>
      </c>
      <c r="E1009">
        <v>2</v>
      </c>
      <c r="F1009">
        <v>73.260000000000005</v>
      </c>
      <c r="G1009" t="s">
        <v>431</v>
      </c>
      <c r="H1009" t="s">
        <v>81</v>
      </c>
      <c r="I1009" t="s">
        <v>105</v>
      </c>
      <c r="J1009" t="s">
        <v>3662</v>
      </c>
      <c r="K1009">
        <v>4</v>
      </c>
      <c r="L1009" t="s">
        <v>97</v>
      </c>
      <c r="M1009" t="s">
        <v>61</v>
      </c>
      <c r="N1009">
        <v>146.52000000000001</v>
      </c>
    </row>
    <row r="1010" spans="1:14" x14ac:dyDescent="0.3">
      <c r="A1010" t="s">
        <v>3663</v>
      </c>
      <c r="B1010" s="8">
        <v>44939</v>
      </c>
      <c r="C1010" t="s">
        <v>3664</v>
      </c>
      <c r="D1010" t="s">
        <v>32</v>
      </c>
      <c r="E1010">
        <v>3</v>
      </c>
      <c r="F1010">
        <v>410.88</v>
      </c>
      <c r="G1010" t="s">
        <v>2882</v>
      </c>
      <c r="H1010" t="s">
        <v>81</v>
      </c>
      <c r="I1010" t="s">
        <v>66</v>
      </c>
      <c r="J1010" t="s">
        <v>3665</v>
      </c>
      <c r="K1010">
        <v>8</v>
      </c>
      <c r="L1010" t="s">
        <v>53</v>
      </c>
      <c r="M1010" t="s">
        <v>38</v>
      </c>
      <c r="N1010">
        <v>1232.6400000000001</v>
      </c>
    </row>
    <row r="1011" spans="1:14" x14ac:dyDescent="0.3">
      <c r="A1011" t="s">
        <v>3666</v>
      </c>
      <c r="B1011" s="8">
        <v>45171</v>
      </c>
      <c r="C1011" t="s">
        <v>3667</v>
      </c>
      <c r="D1011" t="s">
        <v>48</v>
      </c>
      <c r="E1011">
        <v>2</v>
      </c>
      <c r="F1011">
        <v>176.46</v>
      </c>
      <c r="G1011" t="s">
        <v>1961</v>
      </c>
      <c r="H1011" t="s">
        <v>50</v>
      </c>
      <c r="I1011" t="s">
        <v>66</v>
      </c>
      <c r="J1011" t="s">
        <v>3668</v>
      </c>
      <c r="K1011">
        <v>2</v>
      </c>
      <c r="L1011" t="s">
        <v>53</v>
      </c>
      <c r="M1011" t="s">
        <v>54</v>
      </c>
      <c r="N1011">
        <v>352.92</v>
      </c>
    </row>
    <row r="1012" spans="1:14" x14ac:dyDescent="0.3">
      <c r="A1012" t="s">
        <v>3669</v>
      </c>
      <c r="B1012" s="8">
        <v>45016</v>
      </c>
      <c r="C1012" t="s">
        <v>3670</v>
      </c>
      <c r="D1012" t="s">
        <v>32</v>
      </c>
      <c r="E1012">
        <v>3</v>
      </c>
      <c r="F1012">
        <v>659.57</v>
      </c>
      <c r="G1012" t="s">
        <v>442</v>
      </c>
      <c r="H1012" t="s">
        <v>50</v>
      </c>
      <c r="I1012" t="s">
        <v>51</v>
      </c>
      <c r="J1012" t="s">
        <v>3671</v>
      </c>
      <c r="K1012">
        <v>6</v>
      </c>
      <c r="L1012" t="s">
        <v>37</v>
      </c>
      <c r="M1012" t="s">
        <v>54</v>
      </c>
      <c r="N1012">
        <v>1978.71</v>
      </c>
    </row>
    <row r="1013" spans="1:14" x14ac:dyDescent="0.3">
      <c r="A1013" t="s">
        <v>3672</v>
      </c>
      <c r="B1013" s="8">
        <v>45629</v>
      </c>
      <c r="C1013" t="s">
        <v>3673</v>
      </c>
      <c r="D1013" t="s">
        <v>41</v>
      </c>
      <c r="E1013">
        <v>2</v>
      </c>
      <c r="F1013">
        <v>478.36</v>
      </c>
      <c r="G1013" t="s">
        <v>1121</v>
      </c>
      <c r="H1013" t="s">
        <v>43</v>
      </c>
      <c r="I1013" t="s">
        <v>35</v>
      </c>
      <c r="J1013" t="s">
        <v>3674</v>
      </c>
      <c r="K1013">
        <v>3</v>
      </c>
      <c r="M1013" t="s">
        <v>92</v>
      </c>
      <c r="N1013">
        <v>956.72</v>
      </c>
    </row>
    <row r="1014" spans="1:14" x14ac:dyDescent="0.3">
      <c r="A1014" t="s">
        <v>3675</v>
      </c>
      <c r="B1014" s="8">
        <v>45629</v>
      </c>
      <c r="C1014" t="s">
        <v>3676</v>
      </c>
      <c r="D1014" t="s">
        <v>64</v>
      </c>
      <c r="E1014">
        <v>4</v>
      </c>
      <c r="F1014">
        <v>30.05</v>
      </c>
      <c r="G1014" t="s">
        <v>1268</v>
      </c>
      <c r="H1014" t="s">
        <v>43</v>
      </c>
      <c r="I1014" t="s">
        <v>59</v>
      </c>
      <c r="J1014" t="s">
        <v>3677</v>
      </c>
      <c r="K1014">
        <v>6</v>
      </c>
      <c r="M1014" t="s">
        <v>61</v>
      </c>
      <c r="N1014">
        <v>120.2</v>
      </c>
    </row>
    <row r="1015" spans="1:14" x14ac:dyDescent="0.3">
      <c r="A1015" t="s">
        <v>3678</v>
      </c>
      <c r="B1015" s="8">
        <v>45773</v>
      </c>
      <c r="C1015" t="s">
        <v>3679</v>
      </c>
      <c r="D1015" t="s">
        <v>74</v>
      </c>
      <c r="E1015">
        <v>4</v>
      </c>
      <c r="F1015">
        <v>300.56</v>
      </c>
      <c r="G1015" t="s">
        <v>281</v>
      </c>
      <c r="H1015" t="s">
        <v>81</v>
      </c>
      <c r="I1015" t="s">
        <v>51</v>
      </c>
      <c r="J1015" t="s">
        <v>3680</v>
      </c>
      <c r="K1015">
        <v>9</v>
      </c>
      <c r="L1015" t="s">
        <v>53</v>
      </c>
      <c r="M1015" t="s">
        <v>61</v>
      </c>
      <c r="N1015">
        <v>1202.24</v>
      </c>
    </row>
    <row r="1016" spans="1:14" x14ac:dyDescent="0.3">
      <c r="A1016" t="s">
        <v>3681</v>
      </c>
      <c r="B1016" s="8">
        <v>45326</v>
      </c>
      <c r="C1016" t="s">
        <v>3682</v>
      </c>
      <c r="D1016" t="s">
        <v>48</v>
      </c>
      <c r="E1016">
        <v>5</v>
      </c>
      <c r="F1016">
        <v>226.45</v>
      </c>
      <c r="G1016" t="s">
        <v>1759</v>
      </c>
      <c r="H1016" t="s">
        <v>34</v>
      </c>
      <c r="I1016" t="s">
        <v>59</v>
      </c>
      <c r="J1016" t="s">
        <v>3683</v>
      </c>
      <c r="K1016">
        <v>6</v>
      </c>
      <c r="L1016" t="s">
        <v>53</v>
      </c>
      <c r="M1016" t="s">
        <v>54</v>
      </c>
      <c r="N1016">
        <v>1132.25</v>
      </c>
    </row>
    <row r="1017" spans="1:14" x14ac:dyDescent="0.3">
      <c r="A1017" t="s">
        <v>3684</v>
      </c>
      <c r="B1017" s="8">
        <v>45317</v>
      </c>
      <c r="C1017" t="s">
        <v>3685</v>
      </c>
      <c r="D1017" t="s">
        <v>64</v>
      </c>
      <c r="E1017">
        <v>2</v>
      </c>
      <c r="F1017">
        <v>349.4</v>
      </c>
      <c r="G1017" t="s">
        <v>2299</v>
      </c>
      <c r="H1017" t="s">
        <v>43</v>
      </c>
      <c r="I1017" t="s">
        <v>35</v>
      </c>
      <c r="J1017" t="s">
        <v>3686</v>
      </c>
      <c r="K1017">
        <v>2</v>
      </c>
      <c r="L1017" t="s">
        <v>37</v>
      </c>
      <c r="M1017" t="s">
        <v>38</v>
      </c>
      <c r="N1017">
        <v>698.8</v>
      </c>
    </row>
    <row r="1018" spans="1:14" x14ac:dyDescent="0.3">
      <c r="A1018" t="s">
        <v>3687</v>
      </c>
      <c r="B1018" s="8">
        <v>45289</v>
      </c>
      <c r="C1018" t="s">
        <v>3688</v>
      </c>
      <c r="D1018" t="s">
        <v>48</v>
      </c>
      <c r="E1018">
        <v>5</v>
      </c>
      <c r="F1018">
        <v>268.77999999999997</v>
      </c>
      <c r="G1018" t="s">
        <v>3689</v>
      </c>
      <c r="H1018" t="s">
        <v>34</v>
      </c>
      <c r="I1018" t="s">
        <v>66</v>
      </c>
      <c r="J1018" t="s">
        <v>3690</v>
      </c>
      <c r="K1018">
        <v>7</v>
      </c>
      <c r="L1018" t="s">
        <v>97</v>
      </c>
      <c r="M1018" t="s">
        <v>54</v>
      </c>
      <c r="N1018">
        <v>1343.9</v>
      </c>
    </row>
    <row r="1019" spans="1:14" x14ac:dyDescent="0.3">
      <c r="A1019" t="s">
        <v>3691</v>
      </c>
      <c r="B1019" s="8">
        <v>45529</v>
      </c>
      <c r="C1019" t="s">
        <v>3692</v>
      </c>
      <c r="D1019" t="s">
        <v>57</v>
      </c>
      <c r="E1019">
        <v>2</v>
      </c>
      <c r="F1019">
        <v>680.85</v>
      </c>
      <c r="G1019" t="s">
        <v>3693</v>
      </c>
      <c r="H1019" t="s">
        <v>76</v>
      </c>
      <c r="I1019" t="s">
        <v>66</v>
      </c>
      <c r="J1019" t="s">
        <v>3694</v>
      </c>
      <c r="K1019">
        <v>6</v>
      </c>
      <c r="L1019" t="s">
        <v>53</v>
      </c>
      <c r="M1019" t="s">
        <v>45</v>
      </c>
      <c r="N1019">
        <v>1361.7</v>
      </c>
    </row>
    <row r="1020" spans="1:14" x14ac:dyDescent="0.3">
      <c r="A1020" t="s">
        <v>3695</v>
      </c>
      <c r="B1020" s="8">
        <v>45115</v>
      </c>
      <c r="C1020" t="s">
        <v>3696</v>
      </c>
      <c r="D1020" t="s">
        <v>74</v>
      </c>
      <c r="E1020">
        <v>3</v>
      </c>
      <c r="F1020">
        <v>182.48</v>
      </c>
      <c r="G1020" t="s">
        <v>3697</v>
      </c>
      <c r="H1020" t="s">
        <v>81</v>
      </c>
      <c r="I1020" t="s">
        <v>66</v>
      </c>
      <c r="J1020" t="s">
        <v>3698</v>
      </c>
      <c r="K1020">
        <v>3</v>
      </c>
      <c r="M1020" t="s">
        <v>38</v>
      </c>
      <c r="N1020">
        <v>547.44000000000005</v>
      </c>
    </row>
    <row r="1021" spans="1:14" x14ac:dyDescent="0.3">
      <c r="A1021" t="s">
        <v>3699</v>
      </c>
      <c r="B1021" s="8">
        <v>45388</v>
      </c>
      <c r="C1021" t="s">
        <v>3700</v>
      </c>
      <c r="D1021" t="s">
        <v>89</v>
      </c>
      <c r="E1021">
        <v>1</v>
      </c>
      <c r="F1021">
        <v>277.08999999999997</v>
      </c>
      <c r="G1021" t="s">
        <v>1364</v>
      </c>
      <c r="H1021" t="s">
        <v>81</v>
      </c>
      <c r="I1021" t="s">
        <v>59</v>
      </c>
      <c r="J1021" t="s">
        <v>3701</v>
      </c>
      <c r="K1021">
        <v>2</v>
      </c>
      <c r="L1021" t="s">
        <v>37</v>
      </c>
      <c r="M1021" t="s">
        <v>45</v>
      </c>
      <c r="N1021">
        <v>277.08999999999997</v>
      </c>
    </row>
    <row r="1022" spans="1:14" x14ac:dyDescent="0.3">
      <c r="A1022" t="s">
        <v>3702</v>
      </c>
      <c r="B1022" s="8">
        <v>45404</v>
      </c>
      <c r="C1022" t="s">
        <v>3703</v>
      </c>
      <c r="D1022" t="s">
        <v>48</v>
      </c>
      <c r="E1022">
        <v>2</v>
      </c>
      <c r="F1022">
        <v>26.5</v>
      </c>
      <c r="G1022" t="s">
        <v>1447</v>
      </c>
      <c r="H1022" t="s">
        <v>43</v>
      </c>
      <c r="I1022" t="s">
        <v>66</v>
      </c>
      <c r="J1022" t="s">
        <v>3704</v>
      </c>
      <c r="K1022">
        <v>3</v>
      </c>
      <c r="L1022" t="s">
        <v>37</v>
      </c>
      <c r="M1022" t="s">
        <v>38</v>
      </c>
      <c r="N1022">
        <v>53</v>
      </c>
    </row>
    <row r="1023" spans="1:14" x14ac:dyDescent="0.3">
      <c r="A1023" t="s">
        <v>3705</v>
      </c>
      <c r="B1023" s="8">
        <v>45222</v>
      </c>
      <c r="C1023" t="s">
        <v>3706</v>
      </c>
      <c r="D1023" t="s">
        <v>41</v>
      </c>
      <c r="E1023">
        <v>3</v>
      </c>
      <c r="F1023">
        <v>315.27</v>
      </c>
      <c r="G1023" t="s">
        <v>3208</v>
      </c>
      <c r="H1023" t="s">
        <v>50</v>
      </c>
      <c r="I1023" t="s">
        <v>51</v>
      </c>
      <c r="J1023" t="s">
        <v>3707</v>
      </c>
      <c r="K1023">
        <v>4</v>
      </c>
      <c r="L1023" t="s">
        <v>37</v>
      </c>
      <c r="M1023" t="s">
        <v>54</v>
      </c>
      <c r="N1023">
        <v>945.81</v>
      </c>
    </row>
    <row r="1024" spans="1:14" x14ac:dyDescent="0.3">
      <c r="A1024" t="s">
        <v>3708</v>
      </c>
      <c r="B1024" s="8">
        <v>45712</v>
      </c>
      <c r="C1024" t="s">
        <v>3709</v>
      </c>
      <c r="D1024" t="s">
        <v>48</v>
      </c>
      <c r="E1024">
        <v>3</v>
      </c>
      <c r="F1024">
        <v>450.98</v>
      </c>
      <c r="G1024" t="s">
        <v>2595</v>
      </c>
      <c r="H1024" t="s">
        <v>50</v>
      </c>
      <c r="I1024" t="s">
        <v>35</v>
      </c>
      <c r="J1024" t="s">
        <v>3710</v>
      </c>
      <c r="K1024">
        <v>8</v>
      </c>
      <c r="L1024" t="s">
        <v>37</v>
      </c>
      <c r="M1024" t="s">
        <v>45</v>
      </c>
      <c r="N1024">
        <v>1352.94</v>
      </c>
    </row>
    <row r="1025" spans="1:14" x14ac:dyDescent="0.3">
      <c r="A1025" t="s">
        <v>3711</v>
      </c>
      <c r="B1025" s="8">
        <v>45558</v>
      </c>
      <c r="C1025" t="s">
        <v>3712</v>
      </c>
      <c r="D1025" t="s">
        <v>74</v>
      </c>
      <c r="E1025">
        <v>5</v>
      </c>
      <c r="F1025">
        <v>233.67</v>
      </c>
      <c r="G1025" t="s">
        <v>407</v>
      </c>
      <c r="H1025" t="s">
        <v>81</v>
      </c>
      <c r="I1025" t="s">
        <v>35</v>
      </c>
      <c r="J1025" t="s">
        <v>3713</v>
      </c>
      <c r="K1025">
        <v>10</v>
      </c>
      <c r="M1025" t="s">
        <v>45</v>
      </c>
      <c r="N1025">
        <v>1168.3499999999999</v>
      </c>
    </row>
    <row r="1026" spans="1:14" x14ac:dyDescent="0.3">
      <c r="A1026" t="s">
        <v>3714</v>
      </c>
      <c r="B1026" s="8">
        <v>45320</v>
      </c>
      <c r="C1026" t="s">
        <v>3715</v>
      </c>
      <c r="D1026" t="s">
        <v>57</v>
      </c>
      <c r="E1026">
        <v>3</v>
      </c>
      <c r="F1026">
        <v>367.75</v>
      </c>
      <c r="G1026" t="s">
        <v>1802</v>
      </c>
      <c r="H1026" t="s">
        <v>81</v>
      </c>
      <c r="I1026" t="s">
        <v>105</v>
      </c>
      <c r="J1026" t="s">
        <v>3716</v>
      </c>
      <c r="K1026">
        <v>7</v>
      </c>
      <c r="L1026" t="s">
        <v>53</v>
      </c>
      <c r="M1026" t="s">
        <v>61</v>
      </c>
      <c r="N1026">
        <v>1103.25</v>
      </c>
    </row>
    <row r="1027" spans="1:14" x14ac:dyDescent="0.3">
      <c r="A1027" t="s">
        <v>3717</v>
      </c>
      <c r="B1027" s="8">
        <v>45794</v>
      </c>
      <c r="C1027" t="s">
        <v>3718</v>
      </c>
      <c r="D1027" t="s">
        <v>57</v>
      </c>
      <c r="E1027">
        <v>1</v>
      </c>
      <c r="F1027">
        <v>23.53</v>
      </c>
      <c r="G1027" t="s">
        <v>642</v>
      </c>
      <c r="H1027" t="s">
        <v>76</v>
      </c>
      <c r="I1027" t="s">
        <v>66</v>
      </c>
      <c r="J1027" t="s">
        <v>3719</v>
      </c>
      <c r="K1027">
        <v>2</v>
      </c>
      <c r="L1027" t="s">
        <v>53</v>
      </c>
      <c r="M1027" t="s">
        <v>38</v>
      </c>
      <c r="N1027">
        <v>23.53</v>
      </c>
    </row>
    <row r="1028" spans="1:14" x14ac:dyDescent="0.3">
      <c r="A1028" t="s">
        <v>3720</v>
      </c>
      <c r="B1028" s="8">
        <v>45047</v>
      </c>
      <c r="C1028" t="s">
        <v>3721</v>
      </c>
      <c r="D1028" t="s">
        <v>32</v>
      </c>
      <c r="E1028">
        <v>1</v>
      </c>
      <c r="F1028">
        <v>677.48</v>
      </c>
      <c r="G1028" t="s">
        <v>522</v>
      </c>
      <c r="H1028" t="s">
        <v>43</v>
      </c>
      <c r="I1028" t="s">
        <v>66</v>
      </c>
      <c r="J1028" t="s">
        <v>3722</v>
      </c>
      <c r="K1028">
        <v>1</v>
      </c>
      <c r="L1028" t="s">
        <v>97</v>
      </c>
      <c r="M1028" t="s">
        <v>61</v>
      </c>
      <c r="N1028">
        <v>677.48</v>
      </c>
    </row>
    <row r="1029" spans="1:14" x14ac:dyDescent="0.3">
      <c r="A1029" t="s">
        <v>3723</v>
      </c>
      <c r="B1029" s="8">
        <v>45433</v>
      </c>
      <c r="C1029" t="s">
        <v>3724</v>
      </c>
      <c r="D1029" t="s">
        <v>74</v>
      </c>
      <c r="E1029">
        <v>4</v>
      </c>
      <c r="F1029">
        <v>554.83000000000004</v>
      </c>
      <c r="G1029" t="s">
        <v>2814</v>
      </c>
      <c r="H1029" t="s">
        <v>81</v>
      </c>
      <c r="I1029" t="s">
        <v>59</v>
      </c>
      <c r="J1029" t="s">
        <v>3725</v>
      </c>
      <c r="K1029">
        <v>6</v>
      </c>
      <c r="M1029" t="s">
        <v>92</v>
      </c>
      <c r="N1029">
        <v>2219.3200000000002</v>
      </c>
    </row>
    <row r="1030" spans="1:14" x14ac:dyDescent="0.3">
      <c r="A1030" t="s">
        <v>3726</v>
      </c>
      <c r="B1030" s="8">
        <v>44974</v>
      </c>
      <c r="C1030" t="s">
        <v>3727</v>
      </c>
      <c r="D1030" t="s">
        <v>89</v>
      </c>
      <c r="E1030">
        <v>4</v>
      </c>
      <c r="F1030">
        <v>440.31</v>
      </c>
      <c r="G1030" t="s">
        <v>953</v>
      </c>
      <c r="H1030" t="s">
        <v>81</v>
      </c>
      <c r="I1030" t="s">
        <v>51</v>
      </c>
      <c r="J1030" t="s">
        <v>3728</v>
      </c>
      <c r="K1030">
        <v>6</v>
      </c>
      <c r="M1030" t="s">
        <v>38</v>
      </c>
      <c r="N1030">
        <v>1761.24</v>
      </c>
    </row>
    <row r="1031" spans="1:14" x14ac:dyDescent="0.3">
      <c r="A1031" t="s">
        <v>3729</v>
      </c>
      <c r="B1031" s="8">
        <v>45717</v>
      </c>
      <c r="C1031" t="s">
        <v>3730</v>
      </c>
      <c r="D1031" t="s">
        <v>89</v>
      </c>
      <c r="E1031">
        <v>1</v>
      </c>
      <c r="F1031">
        <v>87.06</v>
      </c>
      <c r="G1031" t="s">
        <v>3499</v>
      </c>
      <c r="H1031" t="s">
        <v>50</v>
      </c>
      <c r="I1031" t="s">
        <v>35</v>
      </c>
      <c r="J1031" t="s">
        <v>3731</v>
      </c>
      <c r="K1031">
        <v>4</v>
      </c>
      <c r="L1031" t="s">
        <v>53</v>
      </c>
      <c r="M1031" t="s">
        <v>54</v>
      </c>
      <c r="N1031">
        <v>87.06</v>
      </c>
    </row>
    <row r="1032" spans="1:14" x14ac:dyDescent="0.3">
      <c r="A1032" t="s">
        <v>3732</v>
      </c>
      <c r="B1032" s="8">
        <v>45201</v>
      </c>
      <c r="C1032" t="s">
        <v>3733</v>
      </c>
      <c r="D1032" t="s">
        <v>41</v>
      </c>
      <c r="E1032">
        <v>4</v>
      </c>
      <c r="F1032">
        <v>245.28</v>
      </c>
      <c r="G1032" t="s">
        <v>3734</v>
      </c>
      <c r="H1032" t="s">
        <v>50</v>
      </c>
      <c r="I1032" t="s">
        <v>66</v>
      </c>
      <c r="J1032" t="s">
        <v>3735</v>
      </c>
      <c r="K1032">
        <v>6</v>
      </c>
      <c r="L1032" t="s">
        <v>97</v>
      </c>
      <c r="M1032" t="s">
        <v>54</v>
      </c>
      <c r="N1032">
        <v>981.12</v>
      </c>
    </row>
    <row r="1033" spans="1:14" x14ac:dyDescent="0.3">
      <c r="A1033" t="s">
        <v>3736</v>
      </c>
      <c r="B1033" s="8">
        <v>44985</v>
      </c>
      <c r="C1033" t="s">
        <v>3737</v>
      </c>
      <c r="D1033" t="s">
        <v>41</v>
      </c>
      <c r="E1033">
        <v>5</v>
      </c>
      <c r="F1033">
        <v>664.51</v>
      </c>
      <c r="G1033" t="s">
        <v>3738</v>
      </c>
      <c r="H1033" t="s">
        <v>34</v>
      </c>
      <c r="I1033" t="s">
        <v>105</v>
      </c>
      <c r="J1033" t="s">
        <v>3739</v>
      </c>
      <c r="K1033">
        <v>8</v>
      </c>
      <c r="L1033" t="s">
        <v>37</v>
      </c>
      <c r="M1033" t="s">
        <v>54</v>
      </c>
      <c r="N1033">
        <v>3322.55</v>
      </c>
    </row>
    <row r="1034" spans="1:14" x14ac:dyDescent="0.3">
      <c r="A1034" t="s">
        <v>3740</v>
      </c>
      <c r="B1034" s="8">
        <v>45036</v>
      </c>
      <c r="C1034" t="s">
        <v>3741</v>
      </c>
      <c r="D1034" t="s">
        <v>57</v>
      </c>
      <c r="E1034">
        <v>1</v>
      </c>
      <c r="F1034">
        <v>618.67999999999995</v>
      </c>
      <c r="G1034" t="s">
        <v>1149</v>
      </c>
      <c r="H1034" t="s">
        <v>43</v>
      </c>
      <c r="I1034" t="s">
        <v>66</v>
      </c>
      <c r="J1034" t="s">
        <v>3742</v>
      </c>
      <c r="K1034">
        <v>6</v>
      </c>
      <c r="L1034" t="s">
        <v>97</v>
      </c>
      <c r="M1034" t="s">
        <v>45</v>
      </c>
      <c r="N1034">
        <v>618.67999999999995</v>
      </c>
    </row>
    <row r="1035" spans="1:14" x14ac:dyDescent="0.3">
      <c r="A1035" t="s">
        <v>3743</v>
      </c>
      <c r="B1035" s="8">
        <v>45650</v>
      </c>
      <c r="C1035" t="s">
        <v>3744</v>
      </c>
      <c r="D1035" t="s">
        <v>32</v>
      </c>
      <c r="E1035">
        <v>1</v>
      </c>
      <c r="F1035">
        <v>370.85</v>
      </c>
      <c r="G1035" t="s">
        <v>3745</v>
      </c>
      <c r="H1035" t="s">
        <v>76</v>
      </c>
      <c r="I1035" t="s">
        <v>66</v>
      </c>
      <c r="J1035" t="s">
        <v>3746</v>
      </c>
      <c r="K1035">
        <v>2</v>
      </c>
      <c r="L1035" t="s">
        <v>53</v>
      </c>
      <c r="M1035" t="s">
        <v>45</v>
      </c>
      <c r="N1035">
        <v>370.85</v>
      </c>
    </row>
    <row r="1036" spans="1:14" x14ac:dyDescent="0.3">
      <c r="A1036" t="s">
        <v>3747</v>
      </c>
      <c r="B1036" s="8">
        <v>45459</v>
      </c>
      <c r="C1036" t="s">
        <v>3748</v>
      </c>
      <c r="D1036" t="s">
        <v>64</v>
      </c>
      <c r="E1036">
        <v>4</v>
      </c>
      <c r="F1036">
        <v>517.98</v>
      </c>
      <c r="G1036" t="s">
        <v>3749</v>
      </c>
      <c r="H1036" t="s">
        <v>81</v>
      </c>
      <c r="I1036" t="s">
        <v>51</v>
      </c>
      <c r="J1036" t="s">
        <v>3750</v>
      </c>
      <c r="K1036">
        <v>8</v>
      </c>
      <c r="L1036" t="s">
        <v>53</v>
      </c>
      <c r="M1036" t="s">
        <v>61</v>
      </c>
      <c r="N1036">
        <v>2071.92</v>
      </c>
    </row>
    <row r="1037" spans="1:14" x14ac:dyDescent="0.3">
      <c r="A1037" t="s">
        <v>3751</v>
      </c>
      <c r="B1037" s="8">
        <v>45242</v>
      </c>
      <c r="C1037" t="s">
        <v>3752</v>
      </c>
      <c r="D1037" t="s">
        <v>74</v>
      </c>
      <c r="E1037">
        <v>4</v>
      </c>
      <c r="F1037">
        <v>506.11</v>
      </c>
      <c r="G1037" t="s">
        <v>3753</v>
      </c>
      <c r="H1037" t="s">
        <v>81</v>
      </c>
      <c r="I1037" t="s">
        <v>51</v>
      </c>
      <c r="J1037" t="s">
        <v>3754</v>
      </c>
      <c r="K1037">
        <v>5</v>
      </c>
      <c r="M1037" t="s">
        <v>45</v>
      </c>
      <c r="N1037">
        <v>2024.44</v>
      </c>
    </row>
    <row r="1038" spans="1:14" x14ac:dyDescent="0.3">
      <c r="A1038" t="s">
        <v>3755</v>
      </c>
      <c r="B1038" s="8">
        <v>45443</v>
      </c>
      <c r="C1038" t="s">
        <v>3756</v>
      </c>
      <c r="D1038" t="s">
        <v>41</v>
      </c>
      <c r="E1038">
        <v>3</v>
      </c>
      <c r="F1038">
        <v>413.83</v>
      </c>
      <c r="G1038" t="s">
        <v>328</v>
      </c>
      <c r="H1038" t="s">
        <v>76</v>
      </c>
      <c r="I1038" t="s">
        <v>35</v>
      </c>
      <c r="J1038" t="s">
        <v>3757</v>
      </c>
      <c r="K1038">
        <v>8</v>
      </c>
      <c r="L1038" t="s">
        <v>37</v>
      </c>
      <c r="M1038" t="s">
        <v>61</v>
      </c>
      <c r="N1038">
        <v>1241.49</v>
      </c>
    </row>
    <row r="1039" spans="1:14" x14ac:dyDescent="0.3">
      <c r="A1039" t="s">
        <v>3758</v>
      </c>
      <c r="B1039" s="8">
        <v>45273</v>
      </c>
      <c r="C1039" t="s">
        <v>3759</v>
      </c>
      <c r="D1039" t="s">
        <v>64</v>
      </c>
      <c r="E1039">
        <v>1</v>
      </c>
      <c r="F1039">
        <v>249.81</v>
      </c>
      <c r="G1039" t="s">
        <v>2581</v>
      </c>
      <c r="H1039" t="s">
        <v>81</v>
      </c>
      <c r="I1039" t="s">
        <v>105</v>
      </c>
      <c r="J1039" t="s">
        <v>3760</v>
      </c>
      <c r="K1039">
        <v>1</v>
      </c>
      <c r="L1039" t="s">
        <v>37</v>
      </c>
      <c r="M1039" t="s">
        <v>92</v>
      </c>
      <c r="N1039">
        <v>249.81</v>
      </c>
    </row>
    <row r="1040" spans="1:14" x14ac:dyDescent="0.3">
      <c r="A1040" t="s">
        <v>3761</v>
      </c>
      <c r="B1040" s="8">
        <v>45731</v>
      </c>
      <c r="C1040" t="s">
        <v>3762</v>
      </c>
      <c r="D1040" t="s">
        <v>48</v>
      </c>
      <c r="E1040">
        <v>3</v>
      </c>
      <c r="F1040">
        <v>362.53</v>
      </c>
      <c r="G1040" t="s">
        <v>3763</v>
      </c>
      <c r="H1040" t="s">
        <v>34</v>
      </c>
      <c r="I1040" t="s">
        <v>59</v>
      </c>
      <c r="J1040" t="s">
        <v>3764</v>
      </c>
      <c r="K1040">
        <v>5</v>
      </c>
      <c r="M1040" t="s">
        <v>61</v>
      </c>
      <c r="N1040">
        <v>1087.5899999999999</v>
      </c>
    </row>
    <row r="1041" spans="1:14" x14ac:dyDescent="0.3">
      <c r="A1041" t="s">
        <v>3765</v>
      </c>
      <c r="B1041" s="8">
        <v>45836</v>
      </c>
      <c r="C1041" t="s">
        <v>3766</v>
      </c>
      <c r="D1041" t="s">
        <v>89</v>
      </c>
      <c r="E1041">
        <v>2</v>
      </c>
      <c r="F1041">
        <v>299.23</v>
      </c>
      <c r="G1041" t="s">
        <v>3767</v>
      </c>
      <c r="H1041" t="s">
        <v>50</v>
      </c>
      <c r="I1041" t="s">
        <v>51</v>
      </c>
      <c r="J1041" t="s">
        <v>3768</v>
      </c>
      <c r="K1041">
        <v>2</v>
      </c>
      <c r="L1041" t="s">
        <v>97</v>
      </c>
      <c r="M1041" t="s">
        <v>38</v>
      </c>
      <c r="N1041">
        <v>598.46</v>
      </c>
    </row>
    <row r="1042" spans="1:14" x14ac:dyDescent="0.3">
      <c r="A1042" t="s">
        <v>3769</v>
      </c>
      <c r="B1042" s="8">
        <v>45245</v>
      </c>
      <c r="C1042" t="s">
        <v>3770</v>
      </c>
      <c r="D1042" t="s">
        <v>48</v>
      </c>
      <c r="E1042">
        <v>1</v>
      </c>
      <c r="F1042">
        <v>536.07000000000005</v>
      </c>
      <c r="G1042" t="s">
        <v>2132</v>
      </c>
      <c r="H1042" t="s">
        <v>34</v>
      </c>
      <c r="I1042" t="s">
        <v>66</v>
      </c>
      <c r="J1042" t="s">
        <v>3771</v>
      </c>
      <c r="K1042">
        <v>5</v>
      </c>
      <c r="L1042" t="s">
        <v>53</v>
      </c>
      <c r="M1042" t="s">
        <v>92</v>
      </c>
      <c r="N1042">
        <v>536.07000000000005</v>
      </c>
    </row>
    <row r="1043" spans="1:14" x14ac:dyDescent="0.3">
      <c r="A1043" t="s">
        <v>3772</v>
      </c>
      <c r="B1043" s="8">
        <v>44968</v>
      </c>
      <c r="C1043" t="s">
        <v>3773</v>
      </c>
      <c r="D1043" t="s">
        <v>32</v>
      </c>
      <c r="E1043">
        <v>4</v>
      </c>
      <c r="F1043">
        <v>558.9</v>
      </c>
      <c r="G1043" t="s">
        <v>945</v>
      </c>
      <c r="H1043" t="s">
        <v>76</v>
      </c>
      <c r="I1043" t="s">
        <v>35</v>
      </c>
      <c r="J1043" t="s">
        <v>3774</v>
      </c>
      <c r="K1043">
        <v>9</v>
      </c>
      <c r="L1043" t="s">
        <v>97</v>
      </c>
      <c r="M1043" t="s">
        <v>92</v>
      </c>
      <c r="N1043">
        <v>2235.6</v>
      </c>
    </row>
    <row r="1044" spans="1:14" x14ac:dyDescent="0.3">
      <c r="A1044" t="s">
        <v>3775</v>
      </c>
      <c r="B1044" s="8">
        <v>45635</v>
      </c>
      <c r="C1044" t="s">
        <v>3776</v>
      </c>
      <c r="D1044" t="s">
        <v>48</v>
      </c>
      <c r="E1044">
        <v>2</v>
      </c>
      <c r="F1044">
        <v>409.75</v>
      </c>
      <c r="G1044" t="s">
        <v>1297</v>
      </c>
      <c r="H1044" t="s">
        <v>34</v>
      </c>
      <c r="I1044" t="s">
        <v>35</v>
      </c>
      <c r="J1044" t="s">
        <v>3777</v>
      </c>
      <c r="K1044">
        <v>2</v>
      </c>
      <c r="L1044" t="s">
        <v>97</v>
      </c>
      <c r="M1044" t="s">
        <v>61</v>
      </c>
      <c r="N1044">
        <v>819.5</v>
      </c>
    </row>
    <row r="1045" spans="1:14" x14ac:dyDescent="0.3">
      <c r="A1045" t="s">
        <v>3778</v>
      </c>
      <c r="B1045" s="8">
        <v>45668</v>
      </c>
      <c r="C1045" t="s">
        <v>3779</v>
      </c>
      <c r="D1045" t="s">
        <v>48</v>
      </c>
      <c r="E1045">
        <v>2</v>
      </c>
      <c r="F1045">
        <v>179.96</v>
      </c>
      <c r="G1045" t="s">
        <v>3538</v>
      </c>
      <c r="H1045" t="s">
        <v>76</v>
      </c>
      <c r="I1045" t="s">
        <v>35</v>
      </c>
      <c r="J1045" t="s">
        <v>3780</v>
      </c>
      <c r="K1045">
        <v>5</v>
      </c>
      <c r="M1045" t="s">
        <v>38</v>
      </c>
      <c r="N1045">
        <v>359.92</v>
      </c>
    </row>
    <row r="1046" spans="1:14" x14ac:dyDescent="0.3">
      <c r="A1046" t="s">
        <v>3781</v>
      </c>
      <c r="B1046" s="8">
        <v>45830</v>
      </c>
      <c r="C1046" t="s">
        <v>3782</v>
      </c>
      <c r="D1046" t="s">
        <v>64</v>
      </c>
      <c r="E1046">
        <v>1</v>
      </c>
      <c r="F1046">
        <v>38.49</v>
      </c>
      <c r="G1046" t="s">
        <v>3783</v>
      </c>
      <c r="H1046" t="s">
        <v>50</v>
      </c>
      <c r="I1046" t="s">
        <v>66</v>
      </c>
      <c r="J1046" t="s">
        <v>3784</v>
      </c>
      <c r="K1046">
        <v>4</v>
      </c>
      <c r="L1046" t="s">
        <v>53</v>
      </c>
      <c r="M1046" t="s">
        <v>45</v>
      </c>
      <c r="N1046">
        <v>38.49</v>
      </c>
    </row>
    <row r="1047" spans="1:14" x14ac:dyDescent="0.3">
      <c r="A1047" t="s">
        <v>3785</v>
      </c>
      <c r="B1047" s="8">
        <v>45555</v>
      </c>
      <c r="C1047" t="s">
        <v>3786</v>
      </c>
      <c r="D1047" t="s">
        <v>74</v>
      </c>
      <c r="E1047">
        <v>5</v>
      </c>
      <c r="F1047">
        <v>316.39999999999998</v>
      </c>
      <c r="G1047" t="s">
        <v>3787</v>
      </c>
      <c r="H1047" t="s">
        <v>76</v>
      </c>
      <c r="I1047" t="s">
        <v>59</v>
      </c>
      <c r="J1047" t="s">
        <v>3788</v>
      </c>
      <c r="K1047">
        <v>7</v>
      </c>
      <c r="M1047" t="s">
        <v>54</v>
      </c>
      <c r="N1047">
        <v>1582</v>
      </c>
    </row>
    <row r="1048" spans="1:14" x14ac:dyDescent="0.3">
      <c r="A1048" t="s">
        <v>3789</v>
      </c>
      <c r="B1048" s="8">
        <v>45572</v>
      </c>
      <c r="C1048" t="s">
        <v>3790</v>
      </c>
      <c r="D1048" t="s">
        <v>48</v>
      </c>
      <c r="E1048">
        <v>3</v>
      </c>
      <c r="F1048">
        <v>547.15</v>
      </c>
      <c r="G1048" t="s">
        <v>3791</v>
      </c>
      <c r="H1048" t="s">
        <v>43</v>
      </c>
      <c r="I1048" t="s">
        <v>35</v>
      </c>
      <c r="J1048" t="s">
        <v>3792</v>
      </c>
      <c r="K1048">
        <v>4</v>
      </c>
      <c r="L1048" t="s">
        <v>97</v>
      </c>
      <c r="M1048" t="s">
        <v>38</v>
      </c>
      <c r="N1048">
        <v>1641.45</v>
      </c>
    </row>
    <row r="1049" spans="1:14" x14ac:dyDescent="0.3">
      <c r="A1049" t="s">
        <v>3793</v>
      </c>
      <c r="B1049" s="8">
        <v>45100</v>
      </c>
      <c r="C1049" t="s">
        <v>3794</v>
      </c>
      <c r="D1049" t="s">
        <v>57</v>
      </c>
      <c r="E1049">
        <v>4</v>
      </c>
      <c r="F1049">
        <v>540.34</v>
      </c>
      <c r="G1049" t="s">
        <v>3795</v>
      </c>
      <c r="H1049" t="s">
        <v>76</v>
      </c>
      <c r="I1049" t="s">
        <v>35</v>
      </c>
      <c r="J1049" t="s">
        <v>3796</v>
      </c>
      <c r="K1049">
        <v>6</v>
      </c>
      <c r="L1049" t="s">
        <v>97</v>
      </c>
      <c r="M1049" t="s">
        <v>45</v>
      </c>
      <c r="N1049">
        <v>2161.36</v>
      </c>
    </row>
    <row r="1050" spans="1:14" x14ac:dyDescent="0.3">
      <c r="A1050" t="s">
        <v>3797</v>
      </c>
      <c r="B1050" s="8">
        <v>45544</v>
      </c>
      <c r="C1050" t="s">
        <v>3798</v>
      </c>
      <c r="D1050" t="s">
        <v>32</v>
      </c>
      <c r="E1050">
        <v>4</v>
      </c>
      <c r="F1050">
        <v>73.650000000000006</v>
      </c>
      <c r="G1050" t="s">
        <v>3799</v>
      </c>
      <c r="H1050" t="s">
        <v>34</v>
      </c>
      <c r="I1050" t="s">
        <v>35</v>
      </c>
      <c r="J1050" t="s">
        <v>3800</v>
      </c>
      <c r="K1050">
        <v>9</v>
      </c>
      <c r="M1050" t="s">
        <v>92</v>
      </c>
      <c r="N1050">
        <v>294.60000000000002</v>
      </c>
    </row>
    <row r="1051" spans="1:14" x14ac:dyDescent="0.3">
      <c r="A1051" t="s">
        <v>3801</v>
      </c>
      <c r="B1051" s="8">
        <v>45491</v>
      </c>
      <c r="C1051" t="s">
        <v>3802</v>
      </c>
      <c r="D1051" t="s">
        <v>89</v>
      </c>
      <c r="E1051">
        <v>5</v>
      </c>
      <c r="F1051">
        <v>391.86</v>
      </c>
      <c r="G1051" t="s">
        <v>137</v>
      </c>
      <c r="H1051" t="s">
        <v>50</v>
      </c>
      <c r="I1051" t="s">
        <v>35</v>
      </c>
      <c r="J1051" t="s">
        <v>3803</v>
      </c>
      <c r="K1051">
        <v>6</v>
      </c>
      <c r="M1051" t="s">
        <v>38</v>
      </c>
      <c r="N1051">
        <v>1959.3</v>
      </c>
    </row>
    <row r="1052" spans="1:14" x14ac:dyDescent="0.3">
      <c r="A1052" t="s">
        <v>3804</v>
      </c>
      <c r="B1052" s="8">
        <v>45158</v>
      </c>
      <c r="C1052" t="s">
        <v>3805</v>
      </c>
      <c r="D1052" t="s">
        <v>74</v>
      </c>
      <c r="E1052">
        <v>5</v>
      </c>
      <c r="F1052">
        <v>69.7</v>
      </c>
      <c r="G1052" t="s">
        <v>2045</v>
      </c>
      <c r="H1052" t="s">
        <v>43</v>
      </c>
      <c r="I1052" t="s">
        <v>59</v>
      </c>
      <c r="J1052" t="s">
        <v>3806</v>
      </c>
      <c r="K1052">
        <v>9</v>
      </c>
      <c r="M1052" t="s">
        <v>38</v>
      </c>
      <c r="N1052">
        <v>348.5</v>
      </c>
    </row>
    <row r="1053" spans="1:14" x14ac:dyDescent="0.3">
      <c r="A1053" t="s">
        <v>3807</v>
      </c>
      <c r="B1053" s="8">
        <v>45721</v>
      </c>
      <c r="C1053" t="s">
        <v>3808</v>
      </c>
      <c r="D1053" t="s">
        <v>32</v>
      </c>
      <c r="E1053">
        <v>5</v>
      </c>
      <c r="F1053">
        <v>26.43</v>
      </c>
      <c r="G1053" t="s">
        <v>3809</v>
      </c>
      <c r="H1053" t="s">
        <v>76</v>
      </c>
      <c r="I1053" t="s">
        <v>35</v>
      </c>
      <c r="J1053" t="s">
        <v>3810</v>
      </c>
      <c r="K1053">
        <v>5</v>
      </c>
      <c r="L1053" t="s">
        <v>53</v>
      </c>
      <c r="M1053" t="s">
        <v>61</v>
      </c>
      <c r="N1053">
        <v>132.15</v>
      </c>
    </row>
    <row r="1054" spans="1:14" x14ac:dyDescent="0.3">
      <c r="A1054" t="s">
        <v>3811</v>
      </c>
      <c r="B1054" s="8">
        <v>45180</v>
      </c>
      <c r="C1054" t="s">
        <v>3812</v>
      </c>
      <c r="D1054" t="s">
        <v>48</v>
      </c>
      <c r="E1054">
        <v>1</v>
      </c>
      <c r="F1054">
        <v>531.74</v>
      </c>
      <c r="G1054" t="s">
        <v>3813</v>
      </c>
      <c r="H1054" t="s">
        <v>43</v>
      </c>
      <c r="I1054" t="s">
        <v>35</v>
      </c>
      <c r="J1054" t="s">
        <v>3814</v>
      </c>
      <c r="K1054">
        <v>1</v>
      </c>
      <c r="L1054" t="s">
        <v>97</v>
      </c>
      <c r="M1054" t="s">
        <v>92</v>
      </c>
      <c r="N1054">
        <v>531.74</v>
      </c>
    </row>
    <row r="1055" spans="1:14" x14ac:dyDescent="0.3">
      <c r="A1055" t="s">
        <v>3815</v>
      </c>
      <c r="B1055" s="8">
        <v>45550</v>
      </c>
      <c r="C1055" t="s">
        <v>3816</v>
      </c>
      <c r="D1055" t="s">
        <v>41</v>
      </c>
      <c r="E1055">
        <v>2</v>
      </c>
      <c r="F1055">
        <v>496.62</v>
      </c>
      <c r="G1055" t="s">
        <v>3447</v>
      </c>
      <c r="H1055" t="s">
        <v>43</v>
      </c>
      <c r="I1055" t="s">
        <v>105</v>
      </c>
      <c r="J1055" t="s">
        <v>3817</v>
      </c>
      <c r="K1055">
        <v>2</v>
      </c>
      <c r="L1055" t="s">
        <v>37</v>
      </c>
      <c r="M1055" t="s">
        <v>38</v>
      </c>
      <c r="N1055">
        <v>993.24</v>
      </c>
    </row>
    <row r="1056" spans="1:14" x14ac:dyDescent="0.3">
      <c r="A1056" t="s">
        <v>3818</v>
      </c>
      <c r="B1056" s="8">
        <v>45259</v>
      </c>
      <c r="C1056" t="s">
        <v>3819</v>
      </c>
      <c r="D1056" t="s">
        <v>64</v>
      </c>
      <c r="E1056">
        <v>1</v>
      </c>
      <c r="F1056">
        <v>660.66</v>
      </c>
      <c r="G1056" t="s">
        <v>395</v>
      </c>
      <c r="H1056" t="s">
        <v>34</v>
      </c>
      <c r="I1056" t="s">
        <v>66</v>
      </c>
      <c r="J1056" t="s">
        <v>3820</v>
      </c>
      <c r="K1056">
        <v>3</v>
      </c>
      <c r="L1056" t="s">
        <v>97</v>
      </c>
      <c r="M1056" t="s">
        <v>38</v>
      </c>
      <c r="N1056">
        <v>660.66</v>
      </c>
    </row>
    <row r="1057" spans="1:14" x14ac:dyDescent="0.3">
      <c r="A1057" t="s">
        <v>3821</v>
      </c>
      <c r="B1057" s="8">
        <v>45222</v>
      </c>
      <c r="C1057" t="s">
        <v>3822</v>
      </c>
      <c r="D1057" t="s">
        <v>32</v>
      </c>
      <c r="E1057">
        <v>4</v>
      </c>
      <c r="F1057">
        <v>274.82</v>
      </c>
      <c r="G1057" t="s">
        <v>2132</v>
      </c>
      <c r="H1057" t="s">
        <v>34</v>
      </c>
      <c r="I1057" t="s">
        <v>66</v>
      </c>
      <c r="J1057" t="s">
        <v>3823</v>
      </c>
      <c r="K1057">
        <v>9</v>
      </c>
      <c r="L1057" t="s">
        <v>97</v>
      </c>
      <c r="M1057" t="s">
        <v>54</v>
      </c>
      <c r="N1057">
        <v>1099.28</v>
      </c>
    </row>
    <row r="1058" spans="1:14" x14ac:dyDescent="0.3">
      <c r="A1058" t="s">
        <v>3824</v>
      </c>
      <c r="B1058" s="8">
        <v>45457</v>
      </c>
      <c r="C1058" t="s">
        <v>3825</v>
      </c>
      <c r="D1058" t="s">
        <v>41</v>
      </c>
      <c r="E1058">
        <v>2</v>
      </c>
      <c r="F1058">
        <v>486.35</v>
      </c>
      <c r="G1058" t="s">
        <v>735</v>
      </c>
      <c r="H1058" t="s">
        <v>43</v>
      </c>
      <c r="I1058" t="s">
        <v>105</v>
      </c>
      <c r="J1058" t="s">
        <v>3826</v>
      </c>
      <c r="K1058">
        <v>6</v>
      </c>
      <c r="L1058" t="s">
        <v>37</v>
      </c>
      <c r="M1058" t="s">
        <v>45</v>
      </c>
      <c r="N1058">
        <v>972.7</v>
      </c>
    </row>
    <row r="1059" spans="1:14" x14ac:dyDescent="0.3">
      <c r="A1059" t="s">
        <v>3827</v>
      </c>
      <c r="B1059" s="8">
        <v>45559</v>
      </c>
      <c r="C1059" t="s">
        <v>3828</v>
      </c>
      <c r="D1059" t="s">
        <v>74</v>
      </c>
      <c r="E1059">
        <v>3</v>
      </c>
      <c r="F1059">
        <v>428.88</v>
      </c>
      <c r="G1059" t="s">
        <v>720</v>
      </c>
      <c r="H1059" t="s">
        <v>34</v>
      </c>
      <c r="I1059" t="s">
        <v>35</v>
      </c>
      <c r="J1059" t="s">
        <v>3829</v>
      </c>
      <c r="K1059">
        <v>3</v>
      </c>
      <c r="L1059" t="s">
        <v>97</v>
      </c>
      <c r="M1059" t="s">
        <v>61</v>
      </c>
      <c r="N1059">
        <v>1286.6400000000001</v>
      </c>
    </row>
    <row r="1060" spans="1:14" x14ac:dyDescent="0.3">
      <c r="A1060" t="s">
        <v>3830</v>
      </c>
      <c r="B1060" s="8">
        <v>45177</v>
      </c>
      <c r="C1060" t="s">
        <v>3831</v>
      </c>
      <c r="D1060" t="s">
        <v>89</v>
      </c>
      <c r="E1060">
        <v>2</v>
      </c>
      <c r="F1060">
        <v>412.14</v>
      </c>
      <c r="G1060" t="s">
        <v>1097</v>
      </c>
      <c r="H1060" t="s">
        <v>50</v>
      </c>
      <c r="I1060" t="s">
        <v>59</v>
      </c>
      <c r="J1060" t="s">
        <v>3832</v>
      </c>
      <c r="K1060">
        <v>2</v>
      </c>
      <c r="L1060" t="s">
        <v>53</v>
      </c>
      <c r="M1060" t="s">
        <v>38</v>
      </c>
      <c r="N1060">
        <v>824.28</v>
      </c>
    </row>
    <row r="1061" spans="1:14" x14ac:dyDescent="0.3">
      <c r="A1061" t="s">
        <v>3833</v>
      </c>
      <c r="B1061" s="8">
        <v>45557</v>
      </c>
      <c r="C1061" t="s">
        <v>3834</v>
      </c>
      <c r="D1061" t="s">
        <v>89</v>
      </c>
      <c r="E1061">
        <v>1</v>
      </c>
      <c r="F1061">
        <v>265.64</v>
      </c>
      <c r="G1061" t="s">
        <v>3835</v>
      </c>
      <c r="H1061" t="s">
        <v>50</v>
      </c>
      <c r="I1061" t="s">
        <v>59</v>
      </c>
      <c r="J1061" t="s">
        <v>3836</v>
      </c>
      <c r="K1061">
        <v>3</v>
      </c>
      <c r="L1061" t="s">
        <v>97</v>
      </c>
      <c r="M1061" t="s">
        <v>38</v>
      </c>
      <c r="N1061">
        <v>265.64</v>
      </c>
    </row>
    <row r="1062" spans="1:14" x14ac:dyDescent="0.3">
      <c r="A1062" t="s">
        <v>3837</v>
      </c>
      <c r="B1062" s="8">
        <v>45419</v>
      </c>
      <c r="C1062" t="s">
        <v>3838</v>
      </c>
      <c r="D1062" t="s">
        <v>48</v>
      </c>
      <c r="E1062">
        <v>2</v>
      </c>
      <c r="F1062">
        <v>273.43</v>
      </c>
      <c r="G1062" t="s">
        <v>1396</v>
      </c>
      <c r="H1062" t="s">
        <v>81</v>
      </c>
      <c r="I1062" t="s">
        <v>35</v>
      </c>
      <c r="J1062" t="s">
        <v>3839</v>
      </c>
      <c r="K1062">
        <v>7</v>
      </c>
      <c r="L1062" t="s">
        <v>97</v>
      </c>
      <c r="M1062" t="s">
        <v>45</v>
      </c>
      <c r="N1062">
        <v>546.86</v>
      </c>
    </row>
    <row r="1063" spans="1:14" x14ac:dyDescent="0.3">
      <c r="A1063" t="s">
        <v>3840</v>
      </c>
      <c r="B1063" s="8">
        <v>45686</v>
      </c>
      <c r="C1063" t="s">
        <v>3841</v>
      </c>
      <c r="D1063" t="s">
        <v>74</v>
      </c>
      <c r="E1063">
        <v>5</v>
      </c>
      <c r="F1063">
        <v>131.69999999999999</v>
      </c>
      <c r="G1063" t="s">
        <v>185</v>
      </c>
      <c r="H1063" t="s">
        <v>81</v>
      </c>
      <c r="I1063" t="s">
        <v>35</v>
      </c>
      <c r="J1063" t="s">
        <v>3842</v>
      </c>
      <c r="K1063">
        <v>8</v>
      </c>
      <c r="L1063" t="s">
        <v>53</v>
      </c>
      <c r="M1063" t="s">
        <v>92</v>
      </c>
      <c r="N1063">
        <v>658.5</v>
      </c>
    </row>
    <row r="1064" spans="1:14" x14ac:dyDescent="0.3">
      <c r="A1064" t="s">
        <v>3843</v>
      </c>
      <c r="B1064" s="8">
        <v>45161</v>
      </c>
      <c r="C1064" t="s">
        <v>3844</v>
      </c>
      <c r="D1064" t="s">
        <v>57</v>
      </c>
      <c r="E1064">
        <v>5</v>
      </c>
      <c r="F1064">
        <v>85.52</v>
      </c>
      <c r="G1064" t="s">
        <v>1268</v>
      </c>
      <c r="H1064" t="s">
        <v>76</v>
      </c>
      <c r="I1064" t="s">
        <v>51</v>
      </c>
      <c r="J1064" t="s">
        <v>3845</v>
      </c>
      <c r="K1064">
        <v>5</v>
      </c>
      <c r="M1064" t="s">
        <v>61</v>
      </c>
      <c r="N1064">
        <v>427.6</v>
      </c>
    </row>
    <row r="1065" spans="1:14" x14ac:dyDescent="0.3">
      <c r="A1065" t="s">
        <v>3846</v>
      </c>
      <c r="B1065" s="8">
        <v>45462</v>
      </c>
      <c r="C1065" t="s">
        <v>3847</v>
      </c>
      <c r="D1065" t="s">
        <v>89</v>
      </c>
      <c r="E1065">
        <v>2</v>
      </c>
      <c r="F1065">
        <v>320.68</v>
      </c>
      <c r="G1065" t="s">
        <v>724</v>
      </c>
      <c r="H1065" t="s">
        <v>50</v>
      </c>
      <c r="I1065" t="s">
        <v>35</v>
      </c>
      <c r="J1065" t="s">
        <v>3848</v>
      </c>
      <c r="K1065">
        <v>5</v>
      </c>
      <c r="L1065" t="s">
        <v>53</v>
      </c>
      <c r="M1065" t="s">
        <v>45</v>
      </c>
      <c r="N1065">
        <v>641.36</v>
      </c>
    </row>
    <row r="1066" spans="1:14" x14ac:dyDescent="0.3">
      <c r="A1066" t="s">
        <v>3849</v>
      </c>
      <c r="B1066" s="8">
        <v>45700</v>
      </c>
      <c r="C1066" t="s">
        <v>3850</v>
      </c>
      <c r="D1066" t="s">
        <v>74</v>
      </c>
      <c r="E1066">
        <v>4</v>
      </c>
      <c r="F1066">
        <v>198.81</v>
      </c>
      <c r="G1066" t="s">
        <v>1121</v>
      </c>
      <c r="H1066" t="s">
        <v>81</v>
      </c>
      <c r="I1066" t="s">
        <v>59</v>
      </c>
      <c r="J1066" t="s">
        <v>3851</v>
      </c>
      <c r="K1066">
        <v>9</v>
      </c>
      <c r="L1066" t="s">
        <v>53</v>
      </c>
      <c r="M1066" t="s">
        <v>45</v>
      </c>
      <c r="N1066">
        <v>795.24</v>
      </c>
    </row>
    <row r="1067" spans="1:14" x14ac:dyDescent="0.3">
      <c r="A1067" t="s">
        <v>3852</v>
      </c>
      <c r="B1067" s="8">
        <v>45229</v>
      </c>
      <c r="C1067" t="s">
        <v>3853</v>
      </c>
      <c r="D1067" t="s">
        <v>64</v>
      </c>
      <c r="E1067">
        <v>5</v>
      </c>
      <c r="F1067">
        <v>666.8</v>
      </c>
      <c r="G1067" t="s">
        <v>1668</v>
      </c>
      <c r="H1067" t="s">
        <v>34</v>
      </c>
      <c r="I1067" t="s">
        <v>66</v>
      </c>
      <c r="J1067" t="s">
        <v>3854</v>
      </c>
      <c r="K1067">
        <v>7</v>
      </c>
      <c r="L1067" t="s">
        <v>37</v>
      </c>
      <c r="M1067" t="s">
        <v>45</v>
      </c>
      <c r="N1067">
        <v>3334</v>
      </c>
    </row>
    <row r="1068" spans="1:14" x14ac:dyDescent="0.3">
      <c r="A1068" t="s">
        <v>3855</v>
      </c>
      <c r="B1068" s="8">
        <v>45280</v>
      </c>
      <c r="C1068" t="s">
        <v>3856</v>
      </c>
      <c r="D1068" t="s">
        <v>89</v>
      </c>
      <c r="E1068">
        <v>1</v>
      </c>
      <c r="F1068">
        <v>355.09</v>
      </c>
      <c r="G1068" t="s">
        <v>2602</v>
      </c>
      <c r="H1068" t="s">
        <v>34</v>
      </c>
      <c r="I1068" t="s">
        <v>51</v>
      </c>
      <c r="J1068" t="s">
        <v>3857</v>
      </c>
      <c r="K1068">
        <v>5</v>
      </c>
      <c r="L1068" t="s">
        <v>37</v>
      </c>
      <c r="M1068" t="s">
        <v>38</v>
      </c>
      <c r="N1068">
        <v>355.09</v>
      </c>
    </row>
    <row r="1069" spans="1:14" x14ac:dyDescent="0.3">
      <c r="A1069" t="s">
        <v>3858</v>
      </c>
      <c r="B1069" s="8">
        <v>45083</v>
      </c>
      <c r="C1069" t="s">
        <v>3859</v>
      </c>
      <c r="D1069" t="s">
        <v>41</v>
      </c>
      <c r="E1069">
        <v>2</v>
      </c>
      <c r="F1069">
        <v>316.2</v>
      </c>
      <c r="G1069" t="s">
        <v>332</v>
      </c>
      <c r="H1069" t="s">
        <v>43</v>
      </c>
      <c r="I1069" t="s">
        <v>59</v>
      </c>
      <c r="J1069" t="s">
        <v>3860</v>
      </c>
      <c r="K1069">
        <v>2</v>
      </c>
      <c r="M1069" t="s">
        <v>38</v>
      </c>
      <c r="N1069">
        <v>632.4</v>
      </c>
    </row>
    <row r="1070" spans="1:14" x14ac:dyDescent="0.3">
      <c r="A1070" t="s">
        <v>3861</v>
      </c>
      <c r="B1070" s="8">
        <v>45507</v>
      </c>
      <c r="C1070" t="s">
        <v>3862</v>
      </c>
      <c r="D1070" t="s">
        <v>74</v>
      </c>
      <c r="E1070">
        <v>1</v>
      </c>
      <c r="F1070">
        <v>133.38999999999999</v>
      </c>
      <c r="G1070" t="s">
        <v>3863</v>
      </c>
      <c r="H1070" t="s">
        <v>34</v>
      </c>
      <c r="I1070" t="s">
        <v>35</v>
      </c>
      <c r="J1070" t="s">
        <v>3864</v>
      </c>
      <c r="K1070">
        <v>2</v>
      </c>
      <c r="L1070" t="s">
        <v>37</v>
      </c>
      <c r="M1070" t="s">
        <v>45</v>
      </c>
      <c r="N1070">
        <v>133.38999999999999</v>
      </c>
    </row>
    <row r="1071" spans="1:14" x14ac:dyDescent="0.3">
      <c r="A1071" t="s">
        <v>3865</v>
      </c>
      <c r="B1071" s="8">
        <v>44982</v>
      </c>
      <c r="C1071" t="s">
        <v>3866</v>
      </c>
      <c r="D1071" t="s">
        <v>32</v>
      </c>
      <c r="E1071">
        <v>1</v>
      </c>
      <c r="F1071">
        <v>454.23</v>
      </c>
      <c r="G1071" t="s">
        <v>984</v>
      </c>
      <c r="H1071" t="s">
        <v>76</v>
      </c>
      <c r="I1071" t="s">
        <v>59</v>
      </c>
      <c r="J1071" t="s">
        <v>3867</v>
      </c>
      <c r="K1071">
        <v>3</v>
      </c>
      <c r="M1071" t="s">
        <v>61</v>
      </c>
      <c r="N1071">
        <v>454.23</v>
      </c>
    </row>
    <row r="1072" spans="1:14" x14ac:dyDescent="0.3">
      <c r="A1072" t="s">
        <v>3868</v>
      </c>
      <c r="B1072" s="8">
        <v>45541</v>
      </c>
      <c r="C1072" t="s">
        <v>3869</v>
      </c>
      <c r="D1072" t="s">
        <v>89</v>
      </c>
      <c r="E1072">
        <v>4</v>
      </c>
      <c r="F1072">
        <v>491.29</v>
      </c>
      <c r="G1072" t="s">
        <v>375</v>
      </c>
      <c r="H1072" t="s">
        <v>34</v>
      </c>
      <c r="I1072" t="s">
        <v>105</v>
      </c>
      <c r="J1072" t="s">
        <v>3870</v>
      </c>
      <c r="K1072">
        <v>6</v>
      </c>
      <c r="M1072" t="s">
        <v>54</v>
      </c>
      <c r="N1072">
        <v>1965.16</v>
      </c>
    </row>
    <row r="1073" spans="1:14" x14ac:dyDescent="0.3">
      <c r="A1073" t="s">
        <v>3871</v>
      </c>
      <c r="B1073" s="8">
        <v>45832</v>
      </c>
      <c r="C1073" t="s">
        <v>3872</v>
      </c>
      <c r="D1073" t="s">
        <v>41</v>
      </c>
      <c r="E1073">
        <v>2</v>
      </c>
      <c r="F1073">
        <v>255.14</v>
      </c>
      <c r="G1073" t="s">
        <v>1471</v>
      </c>
      <c r="H1073" t="s">
        <v>81</v>
      </c>
      <c r="I1073" t="s">
        <v>35</v>
      </c>
      <c r="J1073" t="s">
        <v>3873</v>
      </c>
      <c r="K1073">
        <v>2</v>
      </c>
      <c r="M1073" t="s">
        <v>92</v>
      </c>
      <c r="N1073">
        <v>510.28</v>
      </c>
    </row>
    <row r="1074" spans="1:14" x14ac:dyDescent="0.3">
      <c r="A1074" t="s">
        <v>3874</v>
      </c>
      <c r="B1074" s="8">
        <v>44983</v>
      </c>
      <c r="C1074" t="s">
        <v>3875</v>
      </c>
      <c r="D1074" t="s">
        <v>32</v>
      </c>
      <c r="E1074">
        <v>1</v>
      </c>
      <c r="F1074">
        <v>392.61</v>
      </c>
      <c r="G1074" t="s">
        <v>1074</v>
      </c>
      <c r="H1074" t="s">
        <v>76</v>
      </c>
      <c r="I1074" t="s">
        <v>51</v>
      </c>
      <c r="J1074" t="s">
        <v>3876</v>
      </c>
      <c r="K1074">
        <v>4</v>
      </c>
      <c r="L1074" t="s">
        <v>37</v>
      </c>
      <c r="M1074" t="s">
        <v>45</v>
      </c>
      <c r="N1074">
        <v>392.61</v>
      </c>
    </row>
    <row r="1075" spans="1:14" x14ac:dyDescent="0.3">
      <c r="A1075" t="s">
        <v>3877</v>
      </c>
      <c r="B1075" s="8">
        <v>45576</v>
      </c>
      <c r="C1075" t="s">
        <v>3878</v>
      </c>
      <c r="D1075" t="s">
        <v>48</v>
      </c>
      <c r="E1075">
        <v>4</v>
      </c>
      <c r="F1075">
        <v>362.06</v>
      </c>
      <c r="G1075" t="s">
        <v>1052</v>
      </c>
      <c r="H1075" t="s">
        <v>34</v>
      </c>
      <c r="I1075" t="s">
        <v>59</v>
      </c>
      <c r="J1075" t="s">
        <v>3879</v>
      </c>
      <c r="K1075">
        <v>4</v>
      </c>
      <c r="M1075" t="s">
        <v>61</v>
      </c>
      <c r="N1075">
        <v>1448.24</v>
      </c>
    </row>
    <row r="1076" spans="1:14" x14ac:dyDescent="0.3">
      <c r="A1076" t="s">
        <v>3880</v>
      </c>
      <c r="B1076" s="8">
        <v>45422</v>
      </c>
      <c r="C1076" t="s">
        <v>3881</v>
      </c>
      <c r="D1076" t="s">
        <v>41</v>
      </c>
      <c r="E1076">
        <v>1</v>
      </c>
      <c r="F1076">
        <v>222.73</v>
      </c>
      <c r="G1076" t="s">
        <v>3882</v>
      </c>
      <c r="H1076" t="s">
        <v>43</v>
      </c>
      <c r="I1076" t="s">
        <v>59</v>
      </c>
      <c r="J1076" t="s">
        <v>3883</v>
      </c>
      <c r="K1076">
        <v>4</v>
      </c>
      <c r="M1076" t="s">
        <v>92</v>
      </c>
      <c r="N1076">
        <v>222.73</v>
      </c>
    </row>
    <row r="1077" spans="1:14" x14ac:dyDescent="0.3">
      <c r="A1077" t="s">
        <v>3884</v>
      </c>
      <c r="B1077" s="8">
        <v>45535</v>
      </c>
      <c r="C1077" t="s">
        <v>3885</v>
      </c>
      <c r="D1077" t="s">
        <v>32</v>
      </c>
      <c r="E1077">
        <v>2</v>
      </c>
      <c r="F1077">
        <v>552.63</v>
      </c>
      <c r="G1077" t="s">
        <v>853</v>
      </c>
      <c r="H1077" t="s">
        <v>34</v>
      </c>
      <c r="I1077" t="s">
        <v>66</v>
      </c>
      <c r="J1077" t="s">
        <v>3886</v>
      </c>
      <c r="K1077">
        <v>7</v>
      </c>
      <c r="L1077" t="s">
        <v>97</v>
      </c>
      <c r="M1077" t="s">
        <v>38</v>
      </c>
      <c r="N1077">
        <v>1105.26</v>
      </c>
    </row>
    <row r="1078" spans="1:14" x14ac:dyDescent="0.3">
      <c r="A1078" t="s">
        <v>3887</v>
      </c>
      <c r="B1078" s="8">
        <v>45054</v>
      </c>
      <c r="C1078" t="s">
        <v>3888</v>
      </c>
      <c r="D1078" t="s">
        <v>74</v>
      </c>
      <c r="E1078">
        <v>4</v>
      </c>
      <c r="F1078">
        <v>686.61</v>
      </c>
      <c r="G1078" t="s">
        <v>3734</v>
      </c>
      <c r="H1078" t="s">
        <v>81</v>
      </c>
      <c r="I1078" t="s">
        <v>35</v>
      </c>
      <c r="J1078" t="s">
        <v>3889</v>
      </c>
      <c r="K1078">
        <v>6</v>
      </c>
      <c r="M1078" t="s">
        <v>45</v>
      </c>
      <c r="N1078">
        <v>2746.44</v>
      </c>
    </row>
    <row r="1079" spans="1:14" x14ac:dyDescent="0.3">
      <c r="A1079" t="s">
        <v>3890</v>
      </c>
      <c r="B1079" s="8">
        <v>45723</v>
      </c>
      <c r="C1079" t="s">
        <v>3891</v>
      </c>
      <c r="D1079" t="s">
        <v>64</v>
      </c>
      <c r="E1079">
        <v>3</v>
      </c>
      <c r="F1079">
        <v>305.16000000000003</v>
      </c>
      <c r="G1079" t="s">
        <v>506</v>
      </c>
      <c r="H1079" t="s">
        <v>50</v>
      </c>
      <c r="I1079" t="s">
        <v>51</v>
      </c>
      <c r="J1079" t="s">
        <v>3892</v>
      </c>
      <c r="K1079">
        <v>8</v>
      </c>
      <c r="L1079" t="s">
        <v>37</v>
      </c>
      <c r="M1079" t="s">
        <v>45</v>
      </c>
      <c r="N1079">
        <v>915.48</v>
      </c>
    </row>
    <row r="1080" spans="1:14" x14ac:dyDescent="0.3">
      <c r="A1080" t="s">
        <v>3893</v>
      </c>
      <c r="B1080" s="8">
        <v>45003</v>
      </c>
      <c r="C1080" t="s">
        <v>3894</v>
      </c>
      <c r="D1080" t="s">
        <v>89</v>
      </c>
      <c r="E1080">
        <v>1</v>
      </c>
      <c r="F1080">
        <v>41.09</v>
      </c>
      <c r="G1080" t="s">
        <v>165</v>
      </c>
      <c r="H1080" t="s">
        <v>43</v>
      </c>
      <c r="I1080" t="s">
        <v>59</v>
      </c>
      <c r="J1080" t="s">
        <v>3895</v>
      </c>
      <c r="K1080">
        <v>4</v>
      </c>
      <c r="L1080" t="s">
        <v>97</v>
      </c>
      <c r="M1080" t="s">
        <v>54</v>
      </c>
      <c r="N1080">
        <v>41.09</v>
      </c>
    </row>
    <row r="1081" spans="1:14" x14ac:dyDescent="0.3">
      <c r="A1081" t="s">
        <v>3896</v>
      </c>
      <c r="B1081" s="8">
        <v>45463</v>
      </c>
      <c r="C1081" t="s">
        <v>3897</v>
      </c>
      <c r="D1081" t="s">
        <v>41</v>
      </c>
      <c r="E1081">
        <v>5</v>
      </c>
      <c r="F1081">
        <v>634</v>
      </c>
      <c r="G1081" t="s">
        <v>3386</v>
      </c>
      <c r="H1081" t="s">
        <v>76</v>
      </c>
      <c r="I1081" t="s">
        <v>66</v>
      </c>
      <c r="J1081" t="s">
        <v>3898</v>
      </c>
      <c r="K1081">
        <v>8</v>
      </c>
      <c r="M1081" t="s">
        <v>54</v>
      </c>
      <c r="N1081">
        <v>3170</v>
      </c>
    </row>
    <row r="1082" spans="1:14" x14ac:dyDescent="0.3">
      <c r="A1082" t="s">
        <v>3899</v>
      </c>
      <c r="B1082" s="8">
        <v>44946</v>
      </c>
      <c r="C1082" t="s">
        <v>3900</v>
      </c>
      <c r="D1082" t="s">
        <v>74</v>
      </c>
      <c r="E1082">
        <v>5</v>
      </c>
      <c r="F1082">
        <v>464.74</v>
      </c>
      <c r="G1082" t="s">
        <v>3901</v>
      </c>
      <c r="H1082" t="s">
        <v>76</v>
      </c>
      <c r="I1082" t="s">
        <v>66</v>
      </c>
      <c r="J1082" t="s">
        <v>3902</v>
      </c>
      <c r="K1082">
        <v>7</v>
      </c>
      <c r="M1082" t="s">
        <v>45</v>
      </c>
      <c r="N1082">
        <v>2323.6999999999998</v>
      </c>
    </row>
    <row r="1083" spans="1:14" x14ac:dyDescent="0.3">
      <c r="A1083" t="s">
        <v>3903</v>
      </c>
      <c r="B1083" s="8">
        <v>45037</v>
      </c>
      <c r="C1083" t="s">
        <v>3904</v>
      </c>
      <c r="D1083" t="s">
        <v>32</v>
      </c>
      <c r="E1083">
        <v>4</v>
      </c>
      <c r="F1083">
        <v>425.6</v>
      </c>
      <c r="G1083" t="s">
        <v>1404</v>
      </c>
      <c r="H1083" t="s">
        <v>50</v>
      </c>
      <c r="I1083" t="s">
        <v>105</v>
      </c>
      <c r="J1083" t="s">
        <v>3905</v>
      </c>
      <c r="K1083">
        <v>5</v>
      </c>
      <c r="L1083" t="s">
        <v>53</v>
      </c>
      <c r="M1083" t="s">
        <v>92</v>
      </c>
      <c r="N1083">
        <v>1702.4</v>
      </c>
    </row>
    <row r="1084" spans="1:14" x14ac:dyDescent="0.3">
      <c r="A1084" t="s">
        <v>3906</v>
      </c>
      <c r="B1084" s="8">
        <v>45205</v>
      </c>
      <c r="C1084" t="s">
        <v>3907</v>
      </c>
      <c r="D1084" t="s">
        <v>57</v>
      </c>
      <c r="E1084">
        <v>3</v>
      </c>
      <c r="F1084">
        <v>573.22</v>
      </c>
      <c r="G1084" t="s">
        <v>3767</v>
      </c>
      <c r="H1084" t="s">
        <v>34</v>
      </c>
      <c r="I1084" t="s">
        <v>105</v>
      </c>
      <c r="J1084" t="s">
        <v>3908</v>
      </c>
      <c r="K1084">
        <v>5</v>
      </c>
      <c r="L1084" t="s">
        <v>37</v>
      </c>
      <c r="M1084" t="s">
        <v>54</v>
      </c>
      <c r="N1084">
        <v>1719.66</v>
      </c>
    </row>
    <row r="1085" spans="1:14" x14ac:dyDescent="0.3">
      <c r="A1085" t="s">
        <v>3909</v>
      </c>
      <c r="B1085" s="8">
        <v>45482</v>
      </c>
      <c r="C1085" t="s">
        <v>3910</v>
      </c>
      <c r="D1085" t="s">
        <v>57</v>
      </c>
      <c r="E1085">
        <v>1</v>
      </c>
      <c r="F1085">
        <v>123.28</v>
      </c>
      <c r="G1085" t="s">
        <v>177</v>
      </c>
      <c r="H1085" t="s">
        <v>50</v>
      </c>
      <c r="I1085" t="s">
        <v>66</v>
      </c>
      <c r="J1085" t="s">
        <v>3911</v>
      </c>
      <c r="K1085">
        <v>3</v>
      </c>
      <c r="L1085" t="s">
        <v>37</v>
      </c>
      <c r="M1085" t="s">
        <v>54</v>
      </c>
      <c r="N1085">
        <v>123.28</v>
      </c>
    </row>
    <row r="1086" spans="1:14" x14ac:dyDescent="0.3">
      <c r="A1086" t="s">
        <v>3912</v>
      </c>
      <c r="B1086" s="8">
        <v>44934</v>
      </c>
      <c r="C1086" t="s">
        <v>3913</v>
      </c>
      <c r="D1086" t="s">
        <v>41</v>
      </c>
      <c r="E1086">
        <v>1</v>
      </c>
      <c r="F1086">
        <v>70.819999999999993</v>
      </c>
      <c r="G1086" t="s">
        <v>197</v>
      </c>
      <c r="H1086" t="s">
        <v>76</v>
      </c>
      <c r="I1086" t="s">
        <v>105</v>
      </c>
      <c r="J1086" t="s">
        <v>3914</v>
      </c>
      <c r="K1086">
        <v>1</v>
      </c>
      <c r="L1086" t="s">
        <v>97</v>
      </c>
      <c r="M1086" t="s">
        <v>38</v>
      </c>
      <c r="N1086">
        <v>70.819999999999993</v>
      </c>
    </row>
    <row r="1087" spans="1:14" x14ac:dyDescent="0.3">
      <c r="A1087" t="s">
        <v>3915</v>
      </c>
      <c r="B1087" s="8">
        <v>45067</v>
      </c>
      <c r="C1087" t="s">
        <v>3916</v>
      </c>
      <c r="D1087" t="s">
        <v>64</v>
      </c>
      <c r="E1087">
        <v>2</v>
      </c>
      <c r="F1087">
        <v>646.69000000000005</v>
      </c>
      <c r="G1087" t="s">
        <v>630</v>
      </c>
      <c r="H1087" t="s">
        <v>34</v>
      </c>
      <c r="I1087" t="s">
        <v>35</v>
      </c>
      <c r="J1087" t="s">
        <v>3917</v>
      </c>
      <c r="K1087">
        <v>7</v>
      </c>
      <c r="L1087" t="s">
        <v>97</v>
      </c>
      <c r="M1087" t="s">
        <v>38</v>
      </c>
      <c r="N1087">
        <v>1293.3800000000001</v>
      </c>
    </row>
    <row r="1088" spans="1:14" x14ac:dyDescent="0.3">
      <c r="A1088" t="s">
        <v>3918</v>
      </c>
      <c r="B1088" s="8">
        <v>45283</v>
      </c>
      <c r="C1088" t="s">
        <v>3919</v>
      </c>
      <c r="D1088" t="s">
        <v>48</v>
      </c>
      <c r="E1088">
        <v>2</v>
      </c>
      <c r="F1088">
        <v>513.41999999999996</v>
      </c>
      <c r="G1088" t="s">
        <v>3920</v>
      </c>
      <c r="H1088" t="s">
        <v>43</v>
      </c>
      <c r="I1088" t="s">
        <v>105</v>
      </c>
      <c r="J1088" t="s">
        <v>3921</v>
      </c>
      <c r="K1088">
        <v>5</v>
      </c>
      <c r="L1088" t="s">
        <v>97</v>
      </c>
      <c r="M1088" t="s">
        <v>38</v>
      </c>
      <c r="N1088">
        <v>1026.8399999999999</v>
      </c>
    </row>
    <row r="1089" spans="1:14" x14ac:dyDescent="0.3">
      <c r="A1089" t="s">
        <v>3922</v>
      </c>
      <c r="B1089" s="8">
        <v>45739</v>
      </c>
      <c r="C1089" t="s">
        <v>3923</v>
      </c>
      <c r="D1089" t="s">
        <v>74</v>
      </c>
      <c r="E1089">
        <v>4</v>
      </c>
      <c r="F1089">
        <v>693.07</v>
      </c>
      <c r="G1089" t="s">
        <v>3924</v>
      </c>
      <c r="H1089" t="s">
        <v>43</v>
      </c>
      <c r="I1089" t="s">
        <v>35</v>
      </c>
      <c r="J1089" t="s">
        <v>3925</v>
      </c>
      <c r="K1089">
        <v>8</v>
      </c>
      <c r="L1089" t="s">
        <v>37</v>
      </c>
      <c r="M1089" t="s">
        <v>38</v>
      </c>
      <c r="N1089">
        <v>2772.28</v>
      </c>
    </row>
    <row r="1090" spans="1:14" x14ac:dyDescent="0.3">
      <c r="A1090" t="s">
        <v>3926</v>
      </c>
      <c r="B1090" s="8">
        <v>45260</v>
      </c>
      <c r="C1090" t="s">
        <v>3927</v>
      </c>
      <c r="D1090" t="s">
        <v>89</v>
      </c>
      <c r="E1090">
        <v>3</v>
      </c>
      <c r="F1090">
        <v>491.43</v>
      </c>
      <c r="G1090" t="s">
        <v>3928</v>
      </c>
      <c r="H1090" t="s">
        <v>76</v>
      </c>
      <c r="I1090" t="s">
        <v>35</v>
      </c>
      <c r="J1090" t="s">
        <v>3929</v>
      </c>
      <c r="K1090">
        <v>6</v>
      </c>
      <c r="L1090" t="s">
        <v>97</v>
      </c>
      <c r="M1090" t="s">
        <v>38</v>
      </c>
      <c r="N1090">
        <v>1474.29</v>
      </c>
    </row>
    <row r="1091" spans="1:14" x14ac:dyDescent="0.3">
      <c r="A1091" t="s">
        <v>3930</v>
      </c>
      <c r="B1091" s="8">
        <v>45731</v>
      </c>
      <c r="C1091" t="s">
        <v>3931</v>
      </c>
      <c r="D1091" t="s">
        <v>48</v>
      </c>
      <c r="E1091">
        <v>2</v>
      </c>
      <c r="F1091">
        <v>599.74</v>
      </c>
      <c r="G1091" t="s">
        <v>321</v>
      </c>
      <c r="H1091" t="s">
        <v>76</v>
      </c>
      <c r="I1091" t="s">
        <v>35</v>
      </c>
      <c r="J1091" t="s">
        <v>3932</v>
      </c>
      <c r="K1091">
        <v>2</v>
      </c>
      <c r="M1091" t="s">
        <v>38</v>
      </c>
      <c r="N1091">
        <v>1199.48</v>
      </c>
    </row>
    <row r="1092" spans="1:14" x14ac:dyDescent="0.3">
      <c r="A1092" t="s">
        <v>3933</v>
      </c>
      <c r="B1092" s="8">
        <v>44982</v>
      </c>
      <c r="C1092" t="s">
        <v>3934</v>
      </c>
      <c r="D1092" t="s">
        <v>32</v>
      </c>
      <c r="E1092">
        <v>2</v>
      </c>
      <c r="F1092">
        <v>650.25</v>
      </c>
      <c r="G1092" t="s">
        <v>181</v>
      </c>
      <c r="H1092" t="s">
        <v>76</v>
      </c>
      <c r="I1092" t="s">
        <v>59</v>
      </c>
      <c r="J1092" t="s">
        <v>3935</v>
      </c>
      <c r="K1092">
        <v>6</v>
      </c>
      <c r="M1092" t="s">
        <v>38</v>
      </c>
      <c r="N1092">
        <v>1300.5</v>
      </c>
    </row>
    <row r="1093" spans="1:14" x14ac:dyDescent="0.3">
      <c r="A1093" t="s">
        <v>3936</v>
      </c>
      <c r="B1093" s="8">
        <v>45573</v>
      </c>
      <c r="C1093" t="s">
        <v>3937</v>
      </c>
      <c r="D1093" t="s">
        <v>74</v>
      </c>
      <c r="E1093">
        <v>3</v>
      </c>
      <c r="F1093">
        <v>209.48</v>
      </c>
      <c r="G1093" t="s">
        <v>1625</v>
      </c>
      <c r="H1093" t="s">
        <v>34</v>
      </c>
      <c r="I1093" t="s">
        <v>105</v>
      </c>
      <c r="J1093" t="s">
        <v>3938</v>
      </c>
      <c r="K1093">
        <v>4</v>
      </c>
      <c r="M1093" t="s">
        <v>54</v>
      </c>
      <c r="N1093">
        <v>628.44000000000005</v>
      </c>
    </row>
    <row r="1094" spans="1:14" x14ac:dyDescent="0.3">
      <c r="A1094" t="s">
        <v>3939</v>
      </c>
      <c r="B1094" s="8">
        <v>45159</v>
      </c>
      <c r="C1094" t="s">
        <v>3940</v>
      </c>
      <c r="D1094" t="s">
        <v>74</v>
      </c>
      <c r="E1094">
        <v>5</v>
      </c>
      <c r="F1094">
        <v>209.2</v>
      </c>
      <c r="G1094" t="s">
        <v>173</v>
      </c>
      <c r="H1094" t="s">
        <v>34</v>
      </c>
      <c r="I1094" t="s">
        <v>66</v>
      </c>
      <c r="J1094" t="s">
        <v>3941</v>
      </c>
      <c r="K1094">
        <v>6</v>
      </c>
      <c r="L1094" t="s">
        <v>97</v>
      </c>
      <c r="M1094" t="s">
        <v>54</v>
      </c>
      <c r="N1094">
        <v>1046</v>
      </c>
    </row>
    <row r="1095" spans="1:14" x14ac:dyDescent="0.3">
      <c r="A1095" t="s">
        <v>3942</v>
      </c>
      <c r="B1095" s="8">
        <v>45086</v>
      </c>
      <c r="C1095" t="s">
        <v>3943</v>
      </c>
      <c r="D1095" t="s">
        <v>41</v>
      </c>
      <c r="E1095">
        <v>4</v>
      </c>
      <c r="F1095">
        <v>197.36</v>
      </c>
      <c r="G1095" t="s">
        <v>3944</v>
      </c>
      <c r="H1095" t="s">
        <v>76</v>
      </c>
      <c r="I1095" t="s">
        <v>59</v>
      </c>
      <c r="J1095" t="s">
        <v>3945</v>
      </c>
      <c r="K1095">
        <v>9</v>
      </c>
      <c r="L1095" t="s">
        <v>53</v>
      </c>
      <c r="M1095" t="s">
        <v>38</v>
      </c>
      <c r="N1095">
        <v>789.44</v>
      </c>
    </row>
    <row r="1096" spans="1:14" x14ac:dyDescent="0.3">
      <c r="A1096" t="s">
        <v>3946</v>
      </c>
      <c r="B1096" s="8">
        <v>45105</v>
      </c>
      <c r="C1096" t="s">
        <v>3947</v>
      </c>
      <c r="D1096" t="s">
        <v>64</v>
      </c>
      <c r="E1096">
        <v>4</v>
      </c>
      <c r="F1096">
        <v>648.91</v>
      </c>
      <c r="G1096" t="s">
        <v>3948</v>
      </c>
      <c r="H1096" t="s">
        <v>50</v>
      </c>
      <c r="I1096" t="s">
        <v>35</v>
      </c>
      <c r="J1096" t="s">
        <v>3949</v>
      </c>
      <c r="K1096">
        <v>6</v>
      </c>
      <c r="L1096" t="s">
        <v>37</v>
      </c>
      <c r="M1096" t="s">
        <v>38</v>
      </c>
      <c r="N1096">
        <v>2595.64</v>
      </c>
    </row>
    <row r="1097" spans="1:14" x14ac:dyDescent="0.3">
      <c r="A1097" t="s">
        <v>3950</v>
      </c>
      <c r="B1097" s="8">
        <v>45405</v>
      </c>
      <c r="C1097" t="s">
        <v>3951</v>
      </c>
      <c r="D1097" t="s">
        <v>41</v>
      </c>
      <c r="E1097">
        <v>2</v>
      </c>
      <c r="F1097">
        <v>441.54</v>
      </c>
      <c r="G1097" t="s">
        <v>3952</v>
      </c>
      <c r="H1097" t="s">
        <v>43</v>
      </c>
      <c r="I1097" t="s">
        <v>66</v>
      </c>
      <c r="J1097" t="s">
        <v>3953</v>
      </c>
      <c r="K1097">
        <v>2</v>
      </c>
      <c r="L1097" t="s">
        <v>37</v>
      </c>
      <c r="M1097" t="s">
        <v>54</v>
      </c>
      <c r="N1097">
        <v>883.08</v>
      </c>
    </row>
    <row r="1098" spans="1:14" x14ac:dyDescent="0.3">
      <c r="A1098" t="s">
        <v>3954</v>
      </c>
      <c r="B1098" s="8">
        <v>45780</v>
      </c>
      <c r="C1098" t="s">
        <v>3955</v>
      </c>
      <c r="D1098" t="s">
        <v>48</v>
      </c>
      <c r="E1098">
        <v>2</v>
      </c>
      <c r="F1098">
        <v>464.92</v>
      </c>
      <c r="G1098" t="s">
        <v>3956</v>
      </c>
      <c r="H1098" t="s">
        <v>34</v>
      </c>
      <c r="I1098" t="s">
        <v>59</v>
      </c>
      <c r="J1098" t="s">
        <v>3957</v>
      </c>
      <c r="K1098">
        <v>2</v>
      </c>
      <c r="M1098" t="s">
        <v>61</v>
      </c>
      <c r="N1098">
        <v>929.84</v>
      </c>
    </row>
    <row r="1099" spans="1:14" x14ac:dyDescent="0.3">
      <c r="A1099" t="s">
        <v>3958</v>
      </c>
      <c r="B1099" s="8">
        <v>45652</v>
      </c>
      <c r="C1099" t="s">
        <v>3959</v>
      </c>
      <c r="D1099" t="s">
        <v>32</v>
      </c>
      <c r="E1099">
        <v>5</v>
      </c>
      <c r="F1099">
        <v>506.45</v>
      </c>
      <c r="G1099" t="s">
        <v>3960</v>
      </c>
      <c r="H1099" t="s">
        <v>76</v>
      </c>
      <c r="I1099" t="s">
        <v>35</v>
      </c>
      <c r="J1099" t="s">
        <v>3961</v>
      </c>
      <c r="K1099">
        <v>7</v>
      </c>
      <c r="L1099" t="s">
        <v>97</v>
      </c>
      <c r="M1099" t="s">
        <v>92</v>
      </c>
      <c r="N1099">
        <v>2532.25</v>
      </c>
    </row>
    <row r="1100" spans="1:14" x14ac:dyDescent="0.3">
      <c r="A1100" t="s">
        <v>3962</v>
      </c>
      <c r="B1100" s="8">
        <v>45094</v>
      </c>
      <c r="C1100" t="s">
        <v>3963</v>
      </c>
      <c r="D1100" t="s">
        <v>32</v>
      </c>
      <c r="E1100">
        <v>4</v>
      </c>
      <c r="F1100">
        <v>255.86</v>
      </c>
      <c r="G1100" t="s">
        <v>3964</v>
      </c>
      <c r="H1100" t="s">
        <v>50</v>
      </c>
      <c r="I1100" t="s">
        <v>66</v>
      </c>
      <c r="J1100" t="s">
        <v>3965</v>
      </c>
      <c r="K1100">
        <v>7</v>
      </c>
      <c r="M1100" t="s">
        <v>54</v>
      </c>
      <c r="N1100">
        <v>1023.44</v>
      </c>
    </row>
    <row r="1101" spans="1:14" x14ac:dyDescent="0.3">
      <c r="A1101" t="s">
        <v>3966</v>
      </c>
      <c r="B1101" s="8">
        <v>45554</v>
      </c>
      <c r="C1101" t="s">
        <v>3967</v>
      </c>
      <c r="D1101" t="s">
        <v>74</v>
      </c>
      <c r="E1101">
        <v>2</v>
      </c>
      <c r="F1101">
        <v>125.23</v>
      </c>
      <c r="G1101" t="s">
        <v>1517</v>
      </c>
      <c r="H1101" t="s">
        <v>81</v>
      </c>
      <c r="I1101" t="s">
        <v>51</v>
      </c>
      <c r="J1101" t="s">
        <v>3968</v>
      </c>
      <c r="K1101">
        <v>3</v>
      </c>
      <c r="L1101" t="s">
        <v>53</v>
      </c>
      <c r="M1101" t="s">
        <v>54</v>
      </c>
      <c r="N1101">
        <v>250.46</v>
      </c>
    </row>
    <row r="1102" spans="1:14" x14ac:dyDescent="0.3">
      <c r="A1102" t="s">
        <v>3969</v>
      </c>
      <c r="B1102" s="8">
        <v>45155</v>
      </c>
      <c r="C1102" t="s">
        <v>3970</v>
      </c>
      <c r="D1102" t="s">
        <v>74</v>
      </c>
      <c r="E1102">
        <v>5</v>
      </c>
      <c r="F1102">
        <v>38.11</v>
      </c>
      <c r="G1102" t="s">
        <v>3971</v>
      </c>
      <c r="H1102" t="s">
        <v>34</v>
      </c>
      <c r="I1102" t="s">
        <v>51</v>
      </c>
      <c r="J1102" t="s">
        <v>3972</v>
      </c>
      <c r="K1102">
        <v>6</v>
      </c>
      <c r="L1102" t="s">
        <v>97</v>
      </c>
      <c r="M1102" t="s">
        <v>38</v>
      </c>
      <c r="N1102">
        <v>190.55</v>
      </c>
    </row>
    <row r="1103" spans="1:14" x14ac:dyDescent="0.3">
      <c r="A1103" t="s">
        <v>3973</v>
      </c>
      <c r="B1103" s="8">
        <v>45816</v>
      </c>
      <c r="C1103" t="s">
        <v>3974</v>
      </c>
      <c r="D1103" t="s">
        <v>32</v>
      </c>
      <c r="E1103">
        <v>3</v>
      </c>
      <c r="F1103">
        <v>161.97</v>
      </c>
      <c r="G1103" t="s">
        <v>85</v>
      </c>
      <c r="H1103" t="s">
        <v>81</v>
      </c>
      <c r="I1103" t="s">
        <v>105</v>
      </c>
      <c r="J1103" t="s">
        <v>3975</v>
      </c>
      <c r="K1103">
        <v>4</v>
      </c>
      <c r="L1103" t="s">
        <v>37</v>
      </c>
      <c r="M1103" t="s">
        <v>54</v>
      </c>
      <c r="N1103">
        <v>485.91</v>
      </c>
    </row>
    <row r="1104" spans="1:14" x14ac:dyDescent="0.3">
      <c r="A1104" t="s">
        <v>3976</v>
      </c>
      <c r="B1104" s="8">
        <v>45446</v>
      </c>
      <c r="C1104" t="s">
        <v>112</v>
      </c>
      <c r="D1104" t="s">
        <v>57</v>
      </c>
      <c r="E1104">
        <v>4</v>
      </c>
      <c r="F1104">
        <v>347.17</v>
      </c>
      <c r="G1104" t="s">
        <v>2795</v>
      </c>
      <c r="H1104" t="s">
        <v>34</v>
      </c>
      <c r="I1104" t="s">
        <v>35</v>
      </c>
      <c r="J1104" t="s">
        <v>3977</v>
      </c>
      <c r="K1104">
        <v>8</v>
      </c>
      <c r="M1104" t="s">
        <v>38</v>
      </c>
      <c r="N1104">
        <v>1388.68</v>
      </c>
    </row>
    <row r="1105" spans="1:14" x14ac:dyDescent="0.3">
      <c r="A1105" t="s">
        <v>3978</v>
      </c>
      <c r="B1105" s="8">
        <v>45040</v>
      </c>
      <c r="C1105" t="s">
        <v>3979</v>
      </c>
      <c r="D1105" t="s">
        <v>74</v>
      </c>
      <c r="E1105">
        <v>4</v>
      </c>
      <c r="F1105">
        <v>276.32</v>
      </c>
      <c r="G1105" t="s">
        <v>343</v>
      </c>
      <c r="H1105" t="s">
        <v>43</v>
      </c>
      <c r="I1105" t="s">
        <v>66</v>
      </c>
      <c r="J1105" t="s">
        <v>3980</v>
      </c>
      <c r="K1105">
        <v>5</v>
      </c>
      <c r="M1105" t="s">
        <v>92</v>
      </c>
      <c r="N1105">
        <v>1105.28</v>
      </c>
    </row>
    <row r="1106" spans="1:14" x14ac:dyDescent="0.3">
      <c r="A1106" t="s">
        <v>3981</v>
      </c>
      <c r="B1106" s="8">
        <v>45498</v>
      </c>
      <c r="C1106" t="s">
        <v>3982</v>
      </c>
      <c r="D1106" t="s">
        <v>48</v>
      </c>
      <c r="E1106">
        <v>4</v>
      </c>
      <c r="F1106">
        <v>314.76</v>
      </c>
      <c r="G1106" t="s">
        <v>3983</v>
      </c>
      <c r="H1106" t="s">
        <v>43</v>
      </c>
      <c r="I1106" t="s">
        <v>35</v>
      </c>
      <c r="J1106" t="s">
        <v>3984</v>
      </c>
      <c r="K1106">
        <v>8</v>
      </c>
      <c r="M1106" t="s">
        <v>38</v>
      </c>
      <c r="N1106">
        <v>1259.04</v>
      </c>
    </row>
    <row r="1107" spans="1:14" x14ac:dyDescent="0.3">
      <c r="A1107" t="s">
        <v>3985</v>
      </c>
      <c r="B1107" s="8">
        <v>45299</v>
      </c>
      <c r="C1107" t="s">
        <v>3986</v>
      </c>
      <c r="D1107" t="s">
        <v>48</v>
      </c>
      <c r="E1107">
        <v>3</v>
      </c>
      <c r="F1107">
        <v>475.69</v>
      </c>
      <c r="G1107" t="s">
        <v>1113</v>
      </c>
      <c r="H1107" t="s">
        <v>76</v>
      </c>
      <c r="I1107" t="s">
        <v>51</v>
      </c>
      <c r="J1107" t="s">
        <v>3987</v>
      </c>
      <c r="K1107">
        <v>3</v>
      </c>
      <c r="L1107" t="s">
        <v>53</v>
      </c>
      <c r="M1107" t="s">
        <v>92</v>
      </c>
      <c r="N1107">
        <v>1427.07</v>
      </c>
    </row>
    <row r="1108" spans="1:14" x14ac:dyDescent="0.3">
      <c r="A1108" t="s">
        <v>3988</v>
      </c>
      <c r="B1108" s="8">
        <v>44997</v>
      </c>
      <c r="C1108" t="s">
        <v>3989</v>
      </c>
      <c r="D1108" t="s">
        <v>57</v>
      </c>
      <c r="E1108">
        <v>1</v>
      </c>
      <c r="F1108">
        <v>372.8</v>
      </c>
      <c r="G1108" t="s">
        <v>109</v>
      </c>
      <c r="H1108" t="s">
        <v>81</v>
      </c>
      <c r="I1108" t="s">
        <v>51</v>
      </c>
      <c r="J1108" t="s">
        <v>3990</v>
      </c>
      <c r="K1108">
        <v>6</v>
      </c>
      <c r="L1108" t="s">
        <v>37</v>
      </c>
      <c r="M1108" t="s">
        <v>61</v>
      </c>
      <c r="N1108">
        <v>372.8</v>
      </c>
    </row>
    <row r="1109" spans="1:14" x14ac:dyDescent="0.3">
      <c r="A1109" t="s">
        <v>3991</v>
      </c>
      <c r="B1109" s="8">
        <v>45838</v>
      </c>
      <c r="C1109" t="s">
        <v>3992</v>
      </c>
      <c r="D1109" t="s">
        <v>48</v>
      </c>
      <c r="E1109">
        <v>2</v>
      </c>
      <c r="F1109">
        <v>63.21</v>
      </c>
      <c r="G1109" t="s">
        <v>2306</v>
      </c>
      <c r="H1109" t="s">
        <v>43</v>
      </c>
      <c r="I1109" t="s">
        <v>51</v>
      </c>
      <c r="J1109" t="s">
        <v>3993</v>
      </c>
      <c r="K1109">
        <v>4</v>
      </c>
      <c r="L1109" t="s">
        <v>37</v>
      </c>
      <c r="M1109" t="s">
        <v>92</v>
      </c>
      <c r="N1109">
        <v>126.42</v>
      </c>
    </row>
    <row r="1110" spans="1:14" x14ac:dyDescent="0.3">
      <c r="A1110" t="s">
        <v>3994</v>
      </c>
      <c r="B1110" s="8">
        <v>45005</v>
      </c>
      <c r="C1110" t="s">
        <v>3995</v>
      </c>
      <c r="D1110" t="s">
        <v>74</v>
      </c>
      <c r="E1110">
        <v>1</v>
      </c>
      <c r="F1110">
        <v>634.94000000000005</v>
      </c>
      <c r="G1110" t="s">
        <v>3996</v>
      </c>
      <c r="H1110" t="s">
        <v>43</v>
      </c>
      <c r="I1110" t="s">
        <v>51</v>
      </c>
      <c r="J1110" t="s">
        <v>3997</v>
      </c>
      <c r="K1110">
        <v>5</v>
      </c>
      <c r="L1110" t="s">
        <v>97</v>
      </c>
      <c r="M1110" t="s">
        <v>38</v>
      </c>
      <c r="N1110">
        <v>634.94000000000005</v>
      </c>
    </row>
    <row r="1111" spans="1:14" x14ac:dyDescent="0.3">
      <c r="A1111" t="s">
        <v>3998</v>
      </c>
      <c r="B1111" s="8">
        <v>45390</v>
      </c>
      <c r="C1111" t="s">
        <v>3999</v>
      </c>
      <c r="D1111" t="s">
        <v>64</v>
      </c>
      <c r="E1111">
        <v>4</v>
      </c>
      <c r="F1111">
        <v>77.47</v>
      </c>
      <c r="G1111" t="s">
        <v>1795</v>
      </c>
      <c r="H1111" t="s">
        <v>76</v>
      </c>
      <c r="I1111" t="s">
        <v>59</v>
      </c>
      <c r="J1111" t="s">
        <v>4000</v>
      </c>
      <c r="K1111">
        <v>7</v>
      </c>
      <c r="L1111" t="s">
        <v>37</v>
      </c>
      <c r="M1111" t="s">
        <v>38</v>
      </c>
      <c r="N1111">
        <v>309.88</v>
      </c>
    </row>
    <row r="1112" spans="1:14" x14ac:dyDescent="0.3">
      <c r="A1112" t="s">
        <v>4001</v>
      </c>
      <c r="B1112" s="8">
        <v>45347</v>
      </c>
      <c r="C1112" t="s">
        <v>4002</v>
      </c>
      <c r="D1112" t="s">
        <v>57</v>
      </c>
      <c r="E1112">
        <v>3</v>
      </c>
      <c r="F1112">
        <v>84.31</v>
      </c>
      <c r="G1112" t="s">
        <v>189</v>
      </c>
      <c r="H1112" t="s">
        <v>50</v>
      </c>
      <c r="I1112" t="s">
        <v>35</v>
      </c>
      <c r="J1112" t="s">
        <v>4003</v>
      </c>
      <c r="K1112">
        <v>3</v>
      </c>
      <c r="L1112" t="s">
        <v>37</v>
      </c>
      <c r="M1112" t="s">
        <v>54</v>
      </c>
      <c r="N1112">
        <v>252.93</v>
      </c>
    </row>
    <row r="1113" spans="1:14" x14ac:dyDescent="0.3">
      <c r="A1113" t="s">
        <v>4004</v>
      </c>
      <c r="B1113" s="8">
        <v>45052</v>
      </c>
      <c r="C1113" t="s">
        <v>4005</v>
      </c>
      <c r="D1113" t="s">
        <v>32</v>
      </c>
      <c r="E1113">
        <v>4</v>
      </c>
      <c r="F1113">
        <v>234.45</v>
      </c>
      <c r="G1113" t="s">
        <v>4006</v>
      </c>
      <c r="H1113" t="s">
        <v>43</v>
      </c>
      <c r="I1113" t="s">
        <v>51</v>
      </c>
      <c r="J1113" t="s">
        <v>4007</v>
      </c>
      <c r="K1113">
        <v>9</v>
      </c>
      <c r="L1113" t="s">
        <v>53</v>
      </c>
      <c r="M1113" t="s">
        <v>38</v>
      </c>
      <c r="N1113">
        <v>937.8</v>
      </c>
    </row>
    <row r="1114" spans="1:14" x14ac:dyDescent="0.3">
      <c r="A1114" t="s">
        <v>4008</v>
      </c>
      <c r="B1114" s="8">
        <v>45212</v>
      </c>
      <c r="C1114" t="s">
        <v>4009</v>
      </c>
      <c r="D1114" t="s">
        <v>89</v>
      </c>
      <c r="E1114">
        <v>1</v>
      </c>
      <c r="F1114">
        <v>356.81</v>
      </c>
      <c r="G1114" t="s">
        <v>545</v>
      </c>
      <c r="H1114" t="s">
        <v>43</v>
      </c>
      <c r="I1114" t="s">
        <v>66</v>
      </c>
      <c r="J1114" t="s">
        <v>4010</v>
      </c>
      <c r="K1114">
        <v>1</v>
      </c>
      <c r="L1114" t="s">
        <v>97</v>
      </c>
      <c r="M1114" t="s">
        <v>38</v>
      </c>
      <c r="N1114">
        <v>356.81</v>
      </c>
    </row>
    <row r="1115" spans="1:14" x14ac:dyDescent="0.3">
      <c r="A1115" t="s">
        <v>4011</v>
      </c>
      <c r="B1115" s="8">
        <v>45004</v>
      </c>
      <c r="C1115" t="s">
        <v>4012</v>
      </c>
      <c r="D1115" t="s">
        <v>89</v>
      </c>
      <c r="E1115">
        <v>4</v>
      </c>
      <c r="F1115">
        <v>209.99</v>
      </c>
      <c r="G1115" t="s">
        <v>3421</v>
      </c>
      <c r="H1115" t="s">
        <v>81</v>
      </c>
      <c r="I1115" t="s">
        <v>66</v>
      </c>
      <c r="J1115" t="s">
        <v>4013</v>
      </c>
      <c r="K1115">
        <v>8</v>
      </c>
      <c r="M1115" t="s">
        <v>92</v>
      </c>
      <c r="N1115">
        <v>839.96</v>
      </c>
    </row>
    <row r="1116" spans="1:14" x14ac:dyDescent="0.3">
      <c r="A1116" t="s">
        <v>4014</v>
      </c>
      <c r="B1116" s="8">
        <v>45001</v>
      </c>
      <c r="C1116" t="s">
        <v>4015</v>
      </c>
      <c r="D1116" t="s">
        <v>48</v>
      </c>
      <c r="E1116">
        <v>3</v>
      </c>
      <c r="F1116">
        <v>659.88</v>
      </c>
      <c r="G1116" t="s">
        <v>853</v>
      </c>
      <c r="H1116" t="s">
        <v>76</v>
      </c>
      <c r="I1116" t="s">
        <v>51</v>
      </c>
      <c r="J1116" t="s">
        <v>4016</v>
      </c>
      <c r="K1116">
        <v>3</v>
      </c>
      <c r="M1116" t="s">
        <v>92</v>
      </c>
      <c r="N1116">
        <v>1979.64</v>
      </c>
    </row>
    <row r="1117" spans="1:14" x14ac:dyDescent="0.3">
      <c r="A1117" t="s">
        <v>4017</v>
      </c>
      <c r="B1117" s="8">
        <v>45828</v>
      </c>
      <c r="C1117" t="s">
        <v>4018</v>
      </c>
      <c r="D1117" t="s">
        <v>74</v>
      </c>
      <c r="E1117">
        <v>2</v>
      </c>
      <c r="F1117">
        <v>336.32</v>
      </c>
      <c r="G1117" t="s">
        <v>968</v>
      </c>
      <c r="H1117" t="s">
        <v>43</v>
      </c>
      <c r="I1117" t="s">
        <v>59</v>
      </c>
      <c r="J1117" t="s">
        <v>4019</v>
      </c>
      <c r="K1117">
        <v>3</v>
      </c>
      <c r="M1117" t="s">
        <v>92</v>
      </c>
      <c r="N1117">
        <v>672.64</v>
      </c>
    </row>
    <row r="1118" spans="1:14" x14ac:dyDescent="0.3">
      <c r="A1118" t="s">
        <v>4020</v>
      </c>
      <c r="B1118" s="8">
        <v>45213</v>
      </c>
      <c r="C1118" t="s">
        <v>4021</v>
      </c>
      <c r="D1118" t="s">
        <v>64</v>
      </c>
      <c r="E1118">
        <v>2</v>
      </c>
      <c r="F1118">
        <v>531.49</v>
      </c>
      <c r="G1118" t="s">
        <v>968</v>
      </c>
      <c r="H1118" t="s">
        <v>50</v>
      </c>
      <c r="I1118" t="s">
        <v>66</v>
      </c>
      <c r="J1118" t="s">
        <v>4022</v>
      </c>
      <c r="K1118">
        <v>7</v>
      </c>
      <c r="L1118" t="s">
        <v>97</v>
      </c>
      <c r="M1118" t="s">
        <v>61</v>
      </c>
      <c r="N1118">
        <v>1062.98</v>
      </c>
    </row>
    <row r="1119" spans="1:14" x14ac:dyDescent="0.3">
      <c r="A1119" t="s">
        <v>4023</v>
      </c>
      <c r="B1119" s="8">
        <v>45432</v>
      </c>
      <c r="C1119" t="s">
        <v>4024</v>
      </c>
      <c r="D1119" t="s">
        <v>57</v>
      </c>
      <c r="E1119">
        <v>3</v>
      </c>
      <c r="F1119">
        <v>588.44000000000005</v>
      </c>
      <c r="G1119" t="s">
        <v>1587</v>
      </c>
      <c r="H1119" t="s">
        <v>76</v>
      </c>
      <c r="I1119" t="s">
        <v>35</v>
      </c>
      <c r="J1119" t="s">
        <v>4025</v>
      </c>
      <c r="K1119">
        <v>8</v>
      </c>
      <c r="L1119" t="s">
        <v>97</v>
      </c>
      <c r="M1119" t="s">
        <v>92</v>
      </c>
      <c r="N1119">
        <v>1765.32</v>
      </c>
    </row>
    <row r="1120" spans="1:14" x14ac:dyDescent="0.3">
      <c r="A1120" t="s">
        <v>4026</v>
      </c>
      <c r="B1120" s="8">
        <v>45436</v>
      </c>
      <c r="C1120" t="s">
        <v>4027</v>
      </c>
      <c r="D1120" t="s">
        <v>41</v>
      </c>
      <c r="E1120">
        <v>3</v>
      </c>
      <c r="F1120">
        <v>251.48</v>
      </c>
      <c r="G1120" t="s">
        <v>1558</v>
      </c>
      <c r="H1120" t="s">
        <v>50</v>
      </c>
      <c r="I1120" t="s">
        <v>59</v>
      </c>
      <c r="J1120" t="s">
        <v>4028</v>
      </c>
      <c r="K1120">
        <v>4</v>
      </c>
      <c r="M1120" t="s">
        <v>54</v>
      </c>
      <c r="N1120">
        <v>754.44</v>
      </c>
    </row>
    <row r="1121" spans="1:14" x14ac:dyDescent="0.3">
      <c r="A1121" t="s">
        <v>4029</v>
      </c>
      <c r="B1121" s="8">
        <v>45620</v>
      </c>
      <c r="C1121" t="s">
        <v>4030</v>
      </c>
      <c r="D1121" t="s">
        <v>74</v>
      </c>
      <c r="E1121">
        <v>1</v>
      </c>
      <c r="F1121">
        <v>684.65</v>
      </c>
      <c r="G1121" t="s">
        <v>1070</v>
      </c>
      <c r="H1121" t="s">
        <v>50</v>
      </c>
      <c r="I1121" t="s">
        <v>66</v>
      </c>
      <c r="J1121" t="s">
        <v>4031</v>
      </c>
      <c r="K1121">
        <v>1</v>
      </c>
      <c r="L1121" t="s">
        <v>53</v>
      </c>
      <c r="M1121" t="s">
        <v>54</v>
      </c>
      <c r="N1121">
        <v>684.65</v>
      </c>
    </row>
    <row r="1122" spans="1:14" x14ac:dyDescent="0.3">
      <c r="A1122" t="s">
        <v>4032</v>
      </c>
      <c r="B1122" s="8">
        <v>45787</v>
      </c>
      <c r="C1122" t="s">
        <v>4033</v>
      </c>
      <c r="D1122" t="s">
        <v>48</v>
      </c>
      <c r="E1122">
        <v>1</v>
      </c>
      <c r="F1122">
        <v>195.86</v>
      </c>
      <c r="G1122" t="s">
        <v>217</v>
      </c>
      <c r="H1122" t="s">
        <v>43</v>
      </c>
      <c r="I1122" t="s">
        <v>105</v>
      </c>
      <c r="J1122" t="s">
        <v>4034</v>
      </c>
      <c r="K1122">
        <v>3</v>
      </c>
      <c r="M1122" t="s">
        <v>61</v>
      </c>
      <c r="N1122">
        <v>195.86</v>
      </c>
    </row>
    <row r="1123" spans="1:14" x14ac:dyDescent="0.3">
      <c r="A1123" t="s">
        <v>4035</v>
      </c>
      <c r="B1123" s="8">
        <v>45074</v>
      </c>
      <c r="C1123" t="s">
        <v>4036</v>
      </c>
      <c r="D1123" t="s">
        <v>41</v>
      </c>
      <c r="E1123">
        <v>3</v>
      </c>
      <c r="F1123">
        <v>50.34</v>
      </c>
      <c r="G1123" t="s">
        <v>3242</v>
      </c>
      <c r="H1123" t="s">
        <v>76</v>
      </c>
      <c r="I1123" t="s">
        <v>59</v>
      </c>
      <c r="J1123" t="s">
        <v>4037</v>
      </c>
      <c r="K1123">
        <v>3</v>
      </c>
      <c r="L1123" t="s">
        <v>53</v>
      </c>
      <c r="M1123" t="s">
        <v>38</v>
      </c>
      <c r="N1123">
        <v>151.02000000000001</v>
      </c>
    </row>
    <row r="1124" spans="1:14" x14ac:dyDescent="0.3">
      <c r="A1124" t="s">
        <v>4038</v>
      </c>
      <c r="B1124" s="8">
        <v>45084</v>
      </c>
      <c r="C1124" t="s">
        <v>1081</v>
      </c>
      <c r="D1124" t="s">
        <v>32</v>
      </c>
      <c r="E1124">
        <v>5</v>
      </c>
      <c r="F1124">
        <v>678.19</v>
      </c>
      <c r="G1124" t="s">
        <v>3749</v>
      </c>
      <c r="H1124" t="s">
        <v>43</v>
      </c>
      <c r="I1124" t="s">
        <v>59</v>
      </c>
      <c r="J1124" t="s">
        <v>4039</v>
      </c>
      <c r="K1124">
        <v>8</v>
      </c>
      <c r="M1124" t="s">
        <v>61</v>
      </c>
      <c r="N1124">
        <v>3390.95</v>
      </c>
    </row>
    <row r="1125" spans="1:14" x14ac:dyDescent="0.3">
      <c r="A1125" t="s">
        <v>4040</v>
      </c>
      <c r="B1125" s="8">
        <v>45030</v>
      </c>
      <c r="C1125" t="s">
        <v>4041</v>
      </c>
      <c r="D1125" t="s">
        <v>48</v>
      </c>
      <c r="E1125">
        <v>3</v>
      </c>
      <c r="F1125">
        <v>554.25</v>
      </c>
      <c r="G1125" t="s">
        <v>4042</v>
      </c>
      <c r="H1125" t="s">
        <v>34</v>
      </c>
      <c r="I1125" t="s">
        <v>35</v>
      </c>
      <c r="J1125" t="s">
        <v>4043</v>
      </c>
      <c r="K1125">
        <v>6</v>
      </c>
      <c r="L1125" t="s">
        <v>97</v>
      </c>
      <c r="M1125" t="s">
        <v>45</v>
      </c>
      <c r="N1125">
        <v>1662.75</v>
      </c>
    </row>
    <row r="1126" spans="1:14" x14ac:dyDescent="0.3">
      <c r="A1126" t="s">
        <v>4044</v>
      </c>
      <c r="B1126" s="8">
        <v>45055</v>
      </c>
      <c r="C1126" t="s">
        <v>4045</v>
      </c>
      <c r="D1126" t="s">
        <v>57</v>
      </c>
      <c r="E1126">
        <v>4</v>
      </c>
      <c r="F1126">
        <v>576.87</v>
      </c>
      <c r="G1126" t="s">
        <v>4046</v>
      </c>
      <c r="H1126" t="s">
        <v>76</v>
      </c>
      <c r="I1126" t="s">
        <v>59</v>
      </c>
      <c r="J1126" t="s">
        <v>4047</v>
      </c>
      <c r="K1126">
        <v>5</v>
      </c>
      <c r="M1126" t="s">
        <v>38</v>
      </c>
      <c r="N1126">
        <v>2307.48</v>
      </c>
    </row>
    <row r="1127" spans="1:14" x14ac:dyDescent="0.3">
      <c r="A1127" t="s">
        <v>4048</v>
      </c>
      <c r="B1127" s="8">
        <v>45215</v>
      </c>
      <c r="C1127" t="s">
        <v>4049</v>
      </c>
      <c r="D1127" t="s">
        <v>89</v>
      </c>
      <c r="E1127">
        <v>4</v>
      </c>
      <c r="F1127">
        <v>408.36</v>
      </c>
      <c r="G1127" t="s">
        <v>3196</v>
      </c>
      <c r="H1127" t="s">
        <v>76</v>
      </c>
      <c r="I1127" t="s">
        <v>51</v>
      </c>
      <c r="J1127" t="s">
        <v>4050</v>
      </c>
      <c r="K1127">
        <v>4</v>
      </c>
      <c r="L1127" t="s">
        <v>53</v>
      </c>
      <c r="M1127" t="s">
        <v>45</v>
      </c>
      <c r="N1127">
        <v>1633.44</v>
      </c>
    </row>
    <row r="1128" spans="1:14" x14ac:dyDescent="0.3">
      <c r="A1128" t="s">
        <v>4051</v>
      </c>
      <c r="B1128" s="8">
        <v>45495</v>
      </c>
      <c r="C1128" t="s">
        <v>4052</v>
      </c>
      <c r="D1128" t="s">
        <v>41</v>
      </c>
      <c r="E1128">
        <v>5</v>
      </c>
      <c r="F1128">
        <v>190.11</v>
      </c>
      <c r="G1128" t="s">
        <v>4053</v>
      </c>
      <c r="H1128" t="s">
        <v>81</v>
      </c>
      <c r="I1128" t="s">
        <v>66</v>
      </c>
      <c r="J1128" t="s">
        <v>4054</v>
      </c>
      <c r="K1128">
        <v>7</v>
      </c>
      <c r="L1128" t="s">
        <v>37</v>
      </c>
      <c r="M1128" t="s">
        <v>92</v>
      </c>
      <c r="N1128">
        <v>950.55</v>
      </c>
    </row>
    <row r="1129" spans="1:14" x14ac:dyDescent="0.3">
      <c r="A1129" t="s">
        <v>4055</v>
      </c>
      <c r="B1129" s="8">
        <v>45731</v>
      </c>
      <c r="C1129" t="s">
        <v>4056</v>
      </c>
      <c r="D1129" t="s">
        <v>64</v>
      </c>
      <c r="E1129">
        <v>3</v>
      </c>
      <c r="F1129">
        <v>602.75</v>
      </c>
      <c r="G1129" t="s">
        <v>3027</v>
      </c>
      <c r="H1129" t="s">
        <v>50</v>
      </c>
      <c r="I1129" t="s">
        <v>35</v>
      </c>
      <c r="J1129" t="s">
        <v>4057</v>
      </c>
      <c r="K1129">
        <v>6</v>
      </c>
      <c r="L1129" t="s">
        <v>37</v>
      </c>
      <c r="M1129" t="s">
        <v>54</v>
      </c>
      <c r="N1129">
        <v>1808.25</v>
      </c>
    </row>
    <row r="1130" spans="1:14" x14ac:dyDescent="0.3">
      <c r="A1130" t="s">
        <v>4058</v>
      </c>
      <c r="B1130" s="8">
        <v>45155</v>
      </c>
      <c r="C1130" t="s">
        <v>4059</v>
      </c>
      <c r="D1130" t="s">
        <v>32</v>
      </c>
      <c r="E1130">
        <v>3</v>
      </c>
      <c r="F1130">
        <v>646.79</v>
      </c>
      <c r="G1130" t="s">
        <v>395</v>
      </c>
      <c r="H1130" t="s">
        <v>81</v>
      </c>
      <c r="I1130" t="s">
        <v>51</v>
      </c>
      <c r="J1130" t="s">
        <v>4060</v>
      </c>
      <c r="K1130">
        <v>5</v>
      </c>
      <c r="L1130" t="s">
        <v>97</v>
      </c>
      <c r="M1130" t="s">
        <v>92</v>
      </c>
      <c r="N1130">
        <v>1940.37</v>
      </c>
    </row>
    <row r="1131" spans="1:14" x14ac:dyDescent="0.3">
      <c r="A1131" t="s">
        <v>4061</v>
      </c>
      <c r="B1131" s="8">
        <v>45088</v>
      </c>
      <c r="C1131" t="s">
        <v>4062</v>
      </c>
      <c r="D1131" t="s">
        <v>57</v>
      </c>
      <c r="E1131">
        <v>4</v>
      </c>
      <c r="F1131">
        <v>418.71</v>
      </c>
      <c r="G1131" t="s">
        <v>355</v>
      </c>
      <c r="H1131" t="s">
        <v>81</v>
      </c>
      <c r="I1131" t="s">
        <v>105</v>
      </c>
      <c r="J1131" t="s">
        <v>4063</v>
      </c>
      <c r="K1131">
        <v>8</v>
      </c>
      <c r="L1131" t="s">
        <v>53</v>
      </c>
      <c r="M1131" t="s">
        <v>38</v>
      </c>
      <c r="N1131">
        <v>1674.84</v>
      </c>
    </row>
    <row r="1132" spans="1:14" x14ac:dyDescent="0.3">
      <c r="A1132" t="s">
        <v>4064</v>
      </c>
      <c r="B1132" s="8">
        <v>45704</v>
      </c>
      <c r="C1132" t="s">
        <v>4065</v>
      </c>
      <c r="D1132" t="s">
        <v>74</v>
      </c>
      <c r="E1132">
        <v>2</v>
      </c>
      <c r="F1132">
        <v>323.45</v>
      </c>
      <c r="G1132" t="s">
        <v>442</v>
      </c>
      <c r="H1132" t="s">
        <v>50</v>
      </c>
      <c r="I1132" t="s">
        <v>59</v>
      </c>
      <c r="J1132" t="s">
        <v>4066</v>
      </c>
      <c r="K1132">
        <v>5</v>
      </c>
      <c r="L1132" t="s">
        <v>53</v>
      </c>
      <c r="M1132" t="s">
        <v>38</v>
      </c>
      <c r="N1132">
        <v>646.9</v>
      </c>
    </row>
    <row r="1133" spans="1:14" x14ac:dyDescent="0.3">
      <c r="A1133" t="s">
        <v>4067</v>
      </c>
      <c r="B1133" s="8">
        <v>45491</v>
      </c>
      <c r="C1133" t="s">
        <v>4068</v>
      </c>
      <c r="D1133" t="s">
        <v>41</v>
      </c>
      <c r="E1133">
        <v>1</v>
      </c>
      <c r="F1133">
        <v>694.5</v>
      </c>
      <c r="G1133" t="s">
        <v>1141</v>
      </c>
      <c r="H1133" t="s">
        <v>50</v>
      </c>
      <c r="I1133" t="s">
        <v>105</v>
      </c>
      <c r="J1133" t="s">
        <v>4069</v>
      </c>
      <c r="K1133">
        <v>3</v>
      </c>
      <c r="L1133" t="s">
        <v>97</v>
      </c>
      <c r="M1133" t="s">
        <v>61</v>
      </c>
      <c r="N1133">
        <v>694.5</v>
      </c>
    </row>
    <row r="1134" spans="1:14" x14ac:dyDescent="0.3">
      <c r="A1134" t="s">
        <v>4070</v>
      </c>
      <c r="B1134" s="8">
        <v>45628</v>
      </c>
      <c r="C1134" t="s">
        <v>4071</v>
      </c>
      <c r="D1134" t="s">
        <v>57</v>
      </c>
      <c r="E1134">
        <v>2</v>
      </c>
      <c r="F1134">
        <v>337.32</v>
      </c>
      <c r="G1134" t="s">
        <v>945</v>
      </c>
      <c r="H1134" t="s">
        <v>50</v>
      </c>
      <c r="I1134" t="s">
        <v>51</v>
      </c>
      <c r="J1134" t="s">
        <v>4072</v>
      </c>
      <c r="K1134">
        <v>4</v>
      </c>
      <c r="L1134" t="s">
        <v>37</v>
      </c>
      <c r="M1134" t="s">
        <v>54</v>
      </c>
      <c r="N1134">
        <v>674.64</v>
      </c>
    </row>
    <row r="1135" spans="1:14" x14ac:dyDescent="0.3">
      <c r="A1135" t="s">
        <v>4073</v>
      </c>
      <c r="B1135" s="8">
        <v>45391</v>
      </c>
      <c r="C1135" t="s">
        <v>4074</v>
      </c>
      <c r="D1135" t="s">
        <v>64</v>
      </c>
      <c r="E1135">
        <v>2</v>
      </c>
      <c r="F1135">
        <v>467.91</v>
      </c>
      <c r="G1135" t="s">
        <v>889</v>
      </c>
      <c r="H1135" t="s">
        <v>76</v>
      </c>
      <c r="I1135" t="s">
        <v>59</v>
      </c>
      <c r="J1135" t="s">
        <v>4075</v>
      </c>
      <c r="K1135">
        <v>5</v>
      </c>
      <c r="L1135" t="s">
        <v>97</v>
      </c>
      <c r="M1135" t="s">
        <v>61</v>
      </c>
      <c r="N1135">
        <v>935.82</v>
      </c>
    </row>
    <row r="1136" spans="1:14" x14ac:dyDescent="0.3">
      <c r="A1136" t="s">
        <v>4076</v>
      </c>
      <c r="B1136" s="8">
        <v>45451</v>
      </c>
      <c r="C1136" t="s">
        <v>4077</v>
      </c>
      <c r="D1136" t="s">
        <v>89</v>
      </c>
      <c r="E1136">
        <v>4</v>
      </c>
      <c r="F1136">
        <v>38.28</v>
      </c>
      <c r="G1136" t="s">
        <v>4078</v>
      </c>
      <c r="H1136" t="s">
        <v>34</v>
      </c>
      <c r="I1136" t="s">
        <v>51</v>
      </c>
      <c r="J1136" t="s">
        <v>4079</v>
      </c>
      <c r="K1136">
        <v>4</v>
      </c>
      <c r="L1136" t="s">
        <v>97</v>
      </c>
      <c r="M1136" t="s">
        <v>61</v>
      </c>
      <c r="N1136">
        <v>153.12</v>
      </c>
    </row>
    <row r="1137" spans="1:14" x14ac:dyDescent="0.3">
      <c r="A1137" t="s">
        <v>4080</v>
      </c>
      <c r="B1137" s="8">
        <v>45288</v>
      </c>
      <c r="C1137" t="s">
        <v>4081</v>
      </c>
      <c r="D1137" t="s">
        <v>64</v>
      </c>
      <c r="E1137">
        <v>2</v>
      </c>
      <c r="F1137">
        <v>73.41</v>
      </c>
      <c r="G1137" t="s">
        <v>968</v>
      </c>
      <c r="H1137" t="s">
        <v>43</v>
      </c>
      <c r="I1137" t="s">
        <v>35</v>
      </c>
      <c r="J1137" t="s">
        <v>4082</v>
      </c>
      <c r="K1137">
        <v>2</v>
      </c>
      <c r="L1137" t="s">
        <v>37</v>
      </c>
      <c r="M1137" t="s">
        <v>92</v>
      </c>
      <c r="N1137">
        <v>146.82</v>
      </c>
    </row>
    <row r="1138" spans="1:14" x14ac:dyDescent="0.3">
      <c r="A1138" t="s">
        <v>4083</v>
      </c>
      <c r="B1138" s="8">
        <v>45193</v>
      </c>
      <c r="C1138" t="s">
        <v>4084</v>
      </c>
      <c r="D1138" t="s">
        <v>48</v>
      </c>
      <c r="E1138">
        <v>3</v>
      </c>
      <c r="F1138">
        <v>668.33</v>
      </c>
      <c r="G1138" t="s">
        <v>2636</v>
      </c>
      <c r="H1138" t="s">
        <v>76</v>
      </c>
      <c r="I1138" t="s">
        <v>105</v>
      </c>
      <c r="J1138" t="s">
        <v>4085</v>
      </c>
      <c r="K1138">
        <v>4</v>
      </c>
      <c r="L1138" t="s">
        <v>97</v>
      </c>
      <c r="M1138" t="s">
        <v>61</v>
      </c>
      <c r="N1138">
        <v>2004.99</v>
      </c>
    </row>
    <row r="1139" spans="1:14" x14ac:dyDescent="0.3">
      <c r="A1139" t="s">
        <v>4086</v>
      </c>
      <c r="B1139" s="8">
        <v>45502</v>
      </c>
      <c r="C1139" t="s">
        <v>4087</v>
      </c>
      <c r="D1139" t="s">
        <v>64</v>
      </c>
      <c r="E1139">
        <v>4</v>
      </c>
      <c r="F1139">
        <v>410.21</v>
      </c>
      <c r="G1139" t="s">
        <v>4088</v>
      </c>
      <c r="H1139" t="s">
        <v>81</v>
      </c>
      <c r="I1139" t="s">
        <v>105</v>
      </c>
      <c r="J1139" t="s">
        <v>4089</v>
      </c>
      <c r="K1139">
        <v>5</v>
      </c>
      <c r="L1139" t="s">
        <v>97</v>
      </c>
      <c r="M1139" t="s">
        <v>38</v>
      </c>
      <c r="N1139">
        <v>1640.84</v>
      </c>
    </row>
    <row r="1140" spans="1:14" x14ac:dyDescent="0.3">
      <c r="A1140" t="s">
        <v>4090</v>
      </c>
      <c r="B1140" s="8">
        <v>45278</v>
      </c>
      <c r="C1140" t="s">
        <v>4091</v>
      </c>
      <c r="D1140" t="s">
        <v>89</v>
      </c>
      <c r="E1140">
        <v>4</v>
      </c>
      <c r="F1140">
        <v>294.41000000000003</v>
      </c>
      <c r="G1140" t="s">
        <v>2502</v>
      </c>
      <c r="H1140" t="s">
        <v>34</v>
      </c>
      <c r="I1140" t="s">
        <v>105</v>
      </c>
      <c r="J1140" t="s">
        <v>4092</v>
      </c>
      <c r="K1140">
        <v>4</v>
      </c>
      <c r="M1140" t="s">
        <v>38</v>
      </c>
      <c r="N1140">
        <v>1177.6400000000001</v>
      </c>
    </row>
    <row r="1141" spans="1:14" x14ac:dyDescent="0.3">
      <c r="A1141" t="s">
        <v>4093</v>
      </c>
      <c r="B1141" s="8">
        <v>45717</v>
      </c>
      <c r="C1141" t="s">
        <v>3805</v>
      </c>
      <c r="D1141" t="s">
        <v>57</v>
      </c>
      <c r="E1141">
        <v>3</v>
      </c>
      <c r="F1141">
        <v>501.82</v>
      </c>
      <c r="G1141" t="s">
        <v>169</v>
      </c>
      <c r="H1141" t="s">
        <v>76</v>
      </c>
      <c r="I1141" t="s">
        <v>51</v>
      </c>
      <c r="J1141" t="s">
        <v>4094</v>
      </c>
      <c r="K1141">
        <v>4</v>
      </c>
      <c r="L1141" t="s">
        <v>53</v>
      </c>
      <c r="M1141" t="s">
        <v>54</v>
      </c>
      <c r="N1141">
        <v>1505.46</v>
      </c>
    </row>
    <row r="1142" spans="1:14" x14ac:dyDescent="0.3">
      <c r="A1142" t="s">
        <v>4095</v>
      </c>
      <c r="B1142" s="8">
        <v>45467</v>
      </c>
      <c r="C1142" t="s">
        <v>4096</v>
      </c>
      <c r="D1142" t="s">
        <v>64</v>
      </c>
      <c r="E1142">
        <v>2</v>
      </c>
      <c r="F1142">
        <v>552.83000000000004</v>
      </c>
      <c r="G1142" t="s">
        <v>85</v>
      </c>
      <c r="H1142" t="s">
        <v>50</v>
      </c>
      <c r="I1142" t="s">
        <v>51</v>
      </c>
      <c r="J1142" t="s">
        <v>4097</v>
      </c>
      <c r="K1142">
        <v>3</v>
      </c>
      <c r="M1142" t="s">
        <v>45</v>
      </c>
      <c r="N1142">
        <v>1105.6600000000001</v>
      </c>
    </row>
    <row r="1143" spans="1:14" x14ac:dyDescent="0.3">
      <c r="A1143" t="s">
        <v>4098</v>
      </c>
      <c r="B1143" s="8">
        <v>45704</v>
      </c>
      <c r="C1143" t="s">
        <v>4099</v>
      </c>
      <c r="D1143" t="s">
        <v>57</v>
      </c>
      <c r="E1143">
        <v>3</v>
      </c>
      <c r="F1143">
        <v>498.66</v>
      </c>
      <c r="G1143" t="s">
        <v>125</v>
      </c>
      <c r="H1143" t="s">
        <v>81</v>
      </c>
      <c r="I1143" t="s">
        <v>51</v>
      </c>
      <c r="J1143" t="s">
        <v>4100</v>
      </c>
      <c r="K1143">
        <v>6</v>
      </c>
      <c r="M1143" t="s">
        <v>54</v>
      </c>
      <c r="N1143">
        <v>1495.98</v>
      </c>
    </row>
    <row r="1144" spans="1:14" x14ac:dyDescent="0.3">
      <c r="A1144" t="s">
        <v>4101</v>
      </c>
      <c r="B1144" s="8">
        <v>45527</v>
      </c>
      <c r="C1144" t="s">
        <v>4102</v>
      </c>
      <c r="D1144" t="s">
        <v>41</v>
      </c>
      <c r="E1144">
        <v>4</v>
      </c>
      <c r="F1144">
        <v>695.1</v>
      </c>
      <c r="G1144" t="s">
        <v>4103</v>
      </c>
      <c r="H1144" t="s">
        <v>34</v>
      </c>
      <c r="I1144" t="s">
        <v>59</v>
      </c>
      <c r="J1144" t="s">
        <v>4104</v>
      </c>
      <c r="K1144">
        <v>8</v>
      </c>
      <c r="M1144" t="s">
        <v>54</v>
      </c>
      <c r="N1144">
        <v>2780.4</v>
      </c>
    </row>
    <row r="1145" spans="1:14" x14ac:dyDescent="0.3">
      <c r="A1145" t="s">
        <v>4105</v>
      </c>
      <c r="B1145" s="8">
        <v>45019</v>
      </c>
      <c r="C1145" t="s">
        <v>4106</v>
      </c>
      <c r="D1145" t="s">
        <v>57</v>
      </c>
      <c r="E1145">
        <v>1</v>
      </c>
      <c r="F1145">
        <v>381.61</v>
      </c>
      <c r="G1145" t="s">
        <v>4107</v>
      </c>
      <c r="H1145" t="s">
        <v>34</v>
      </c>
      <c r="I1145" t="s">
        <v>105</v>
      </c>
      <c r="J1145" t="s">
        <v>4108</v>
      </c>
      <c r="K1145">
        <v>5</v>
      </c>
      <c r="M1145" t="s">
        <v>54</v>
      </c>
      <c r="N1145">
        <v>381.61</v>
      </c>
    </row>
    <row r="1146" spans="1:14" x14ac:dyDescent="0.3">
      <c r="A1146" t="s">
        <v>4109</v>
      </c>
      <c r="B1146" s="8">
        <v>44973</v>
      </c>
      <c r="C1146" t="s">
        <v>4110</v>
      </c>
      <c r="D1146" t="s">
        <v>89</v>
      </c>
      <c r="E1146">
        <v>5</v>
      </c>
      <c r="F1146">
        <v>507.94</v>
      </c>
      <c r="G1146" t="s">
        <v>4111</v>
      </c>
      <c r="H1146" t="s">
        <v>43</v>
      </c>
      <c r="I1146" t="s">
        <v>51</v>
      </c>
      <c r="J1146" t="s">
        <v>4112</v>
      </c>
      <c r="K1146">
        <v>9</v>
      </c>
      <c r="M1146" t="s">
        <v>61</v>
      </c>
      <c r="N1146">
        <v>2539.6999999999998</v>
      </c>
    </row>
    <row r="1147" spans="1:14" x14ac:dyDescent="0.3">
      <c r="A1147" t="s">
        <v>4113</v>
      </c>
      <c r="B1147" s="8">
        <v>45789</v>
      </c>
      <c r="C1147" t="s">
        <v>4114</v>
      </c>
      <c r="D1147" t="s">
        <v>89</v>
      </c>
      <c r="E1147">
        <v>3</v>
      </c>
      <c r="F1147">
        <v>571.53</v>
      </c>
      <c r="G1147" t="s">
        <v>1031</v>
      </c>
      <c r="H1147" t="s">
        <v>34</v>
      </c>
      <c r="I1147" t="s">
        <v>66</v>
      </c>
      <c r="J1147" t="s">
        <v>4115</v>
      </c>
      <c r="K1147">
        <v>6</v>
      </c>
      <c r="L1147" t="s">
        <v>53</v>
      </c>
      <c r="M1147" t="s">
        <v>61</v>
      </c>
      <c r="N1147">
        <v>1714.59</v>
      </c>
    </row>
    <row r="1148" spans="1:14" x14ac:dyDescent="0.3">
      <c r="A1148" t="s">
        <v>4116</v>
      </c>
      <c r="B1148" s="8">
        <v>45568</v>
      </c>
      <c r="C1148" t="s">
        <v>4117</v>
      </c>
      <c r="D1148" t="s">
        <v>32</v>
      </c>
      <c r="E1148">
        <v>5</v>
      </c>
      <c r="F1148">
        <v>421.44</v>
      </c>
      <c r="G1148" t="s">
        <v>1755</v>
      </c>
      <c r="H1148" t="s">
        <v>81</v>
      </c>
      <c r="I1148" t="s">
        <v>105</v>
      </c>
      <c r="J1148" t="s">
        <v>4118</v>
      </c>
      <c r="K1148">
        <v>5</v>
      </c>
      <c r="L1148" t="s">
        <v>37</v>
      </c>
      <c r="M1148" t="s">
        <v>38</v>
      </c>
      <c r="N1148">
        <v>2107.1999999999998</v>
      </c>
    </row>
    <row r="1149" spans="1:14" x14ac:dyDescent="0.3">
      <c r="A1149" t="s">
        <v>4119</v>
      </c>
      <c r="B1149" s="8">
        <v>45659</v>
      </c>
      <c r="C1149" t="s">
        <v>4120</v>
      </c>
      <c r="D1149" t="s">
        <v>57</v>
      </c>
      <c r="E1149">
        <v>2</v>
      </c>
      <c r="F1149">
        <v>588.29999999999995</v>
      </c>
      <c r="G1149" t="s">
        <v>4121</v>
      </c>
      <c r="H1149" t="s">
        <v>43</v>
      </c>
      <c r="I1149" t="s">
        <v>105</v>
      </c>
      <c r="J1149" t="s">
        <v>4122</v>
      </c>
      <c r="K1149">
        <v>2</v>
      </c>
      <c r="L1149" t="s">
        <v>53</v>
      </c>
      <c r="M1149" t="s">
        <v>54</v>
      </c>
      <c r="N1149">
        <v>1176.5999999999999</v>
      </c>
    </row>
    <row r="1150" spans="1:14" x14ac:dyDescent="0.3">
      <c r="A1150" t="s">
        <v>4123</v>
      </c>
      <c r="B1150" s="8">
        <v>45468</v>
      </c>
      <c r="C1150" t="s">
        <v>4124</v>
      </c>
      <c r="D1150" t="s">
        <v>41</v>
      </c>
      <c r="E1150">
        <v>1</v>
      </c>
      <c r="F1150">
        <v>355.15</v>
      </c>
      <c r="G1150" t="s">
        <v>4125</v>
      </c>
      <c r="H1150" t="s">
        <v>81</v>
      </c>
      <c r="I1150" t="s">
        <v>59</v>
      </c>
      <c r="J1150" t="s">
        <v>4126</v>
      </c>
      <c r="K1150">
        <v>2</v>
      </c>
      <c r="L1150" t="s">
        <v>37</v>
      </c>
      <c r="M1150" t="s">
        <v>54</v>
      </c>
      <c r="N1150">
        <v>355.15</v>
      </c>
    </row>
    <row r="1151" spans="1:14" x14ac:dyDescent="0.3">
      <c r="A1151" t="s">
        <v>4127</v>
      </c>
      <c r="B1151" s="8">
        <v>45498</v>
      </c>
      <c r="C1151" t="s">
        <v>4128</v>
      </c>
      <c r="D1151" t="s">
        <v>57</v>
      </c>
      <c r="E1151">
        <v>2</v>
      </c>
      <c r="F1151">
        <v>695.29</v>
      </c>
      <c r="G1151" t="s">
        <v>4129</v>
      </c>
      <c r="H1151" t="s">
        <v>50</v>
      </c>
      <c r="I1151" t="s">
        <v>105</v>
      </c>
      <c r="J1151" t="s">
        <v>4130</v>
      </c>
      <c r="K1151">
        <v>6</v>
      </c>
      <c r="L1151" t="s">
        <v>53</v>
      </c>
      <c r="M1151" t="s">
        <v>38</v>
      </c>
      <c r="N1151">
        <v>1390.58</v>
      </c>
    </row>
    <row r="1152" spans="1:14" x14ac:dyDescent="0.3">
      <c r="A1152" t="s">
        <v>4131</v>
      </c>
      <c r="B1152" s="8">
        <v>44977</v>
      </c>
      <c r="C1152" t="s">
        <v>4132</v>
      </c>
      <c r="D1152" t="s">
        <v>89</v>
      </c>
      <c r="E1152">
        <v>4</v>
      </c>
      <c r="F1152">
        <v>302.64999999999998</v>
      </c>
      <c r="G1152" t="s">
        <v>1105</v>
      </c>
      <c r="H1152" t="s">
        <v>50</v>
      </c>
      <c r="I1152" t="s">
        <v>51</v>
      </c>
      <c r="J1152" t="s">
        <v>4133</v>
      </c>
      <c r="K1152">
        <v>8</v>
      </c>
      <c r="L1152" t="s">
        <v>37</v>
      </c>
      <c r="M1152" t="s">
        <v>45</v>
      </c>
      <c r="N1152">
        <v>1210.5999999999999</v>
      </c>
    </row>
    <row r="1153" spans="1:14" x14ac:dyDescent="0.3">
      <c r="A1153" t="s">
        <v>4134</v>
      </c>
      <c r="B1153" s="8">
        <v>44955</v>
      </c>
      <c r="C1153" t="s">
        <v>4135</v>
      </c>
      <c r="D1153" t="s">
        <v>57</v>
      </c>
      <c r="E1153">
        <v>2</v>
      </c>
      <c r="F1153">
        <v>608.04</v>
      </c>
      <c r="G1153" t="s">
        <v>4136</v>
      </c>
      <c r="H1153" t="s">
        <v>81</v>
      </c>
      <c r="I1153" t="s">
        <v>51</v>
      </c>
      <c r="J1153" t="s">
        <v>4137</v>
      </c>
      <c r="K1153">
        <v>4</v>
      </c>
      <c r="M1153" t="s">
        <v>92</v>
      </c>
      <c r="N1153">
        <v>1216.08</v>
      </c>
    </row>
    <row r="1154" spans="1:14" x14ac:dyDescent="0.3">
      <c r="A1154" t="s">
        <v>4138</v>
      </c>
      <c r="B1154" s="8">
        <v>45239</v>
      </c>
      <c r="C1154" t="s">
        <v>4139</v>
      </c>
      <c r="D1154" t="s">
        <v>48</v>
      </c>
      <c r="E1154">
        <v>2</v>
      </c>
      <c r="F1154">
        <v>344.18</v>
      </c>
      <c r="G1154" t="s">
        <v>442</v>
      </c>
      <c r="H1154" t="s">
        <v>50</v>
      </c>
      <c r="I1154" t="s">
        <v>35</v>
      </c>
      <c r="J1154" t="s">
        <v>4140</v>
      </c>
      <c r="K1154">
        <v>7</v>
      </c>
      <c r="M1154" t="s">
        <v>45</v>
      </c>
      <c r="N1154">
        <v>688.36</v>
      </c>
    </row>
    <row r="1155" spans="1:14" x14ac:dyDescent="0.3">
      <c r="A1155" t="s">
        <v>4141</v>
      </c>
      <c r="B1155" s="8">
        <v>45642</v>
      </c>
      <c r="C1155" t="s">
        <v>4142</v>
      </c>
      <c r="D1155" t="s">
        <v>32</v>
      </c>
      <c r="E1155">
        <v>4</v>
      </c>
      <c r="F1155">
        <v>696.71</v>
      </c>
      <c r="G1155" t="s">
        <v>4143</v>
      </c>
      <c r="H1155" t="s">
        <v>34</v>
      </c>
      <c r="I1155" t="s">
        <v>35</v>
      </c>
      <c r="J1155" t="s">
        <v>4144</v>
      </c>
      <c r="K1155">
        <v>4</v>
      </c>
      <c r="M1155" t="s">
        <v>38</v>
      </c>
      <c r="N1155">
        <v>2786.84</v>
      </c>
    </row>
    <row r="1156" spans="1:14" x14ac:dyDescent="0.3">
      <c r="A1156" t="s">
        <v>4145</v>
      </c>
      <c r="B1156" s="8">
        <v>45819</v>
      </c>
      <c r="C1156" t="s">
        <v>4146</v>
      </c>
      <c r="D1156" t="s">
        <v>32</v>
      </c>
      <c r="E1156">
        <v>3</v>
      </c>
      <c r="F1156">
        <v>198.63</v>
      </c>
      <c r="G1156" t="s">
        <v>518</v>
      </c>
      <c r="H1156" t="s">
        <v>81</v>
      </c>
      <c r="I1156" t="s">
        <v>105</v>
      </c>
      <c r="J1156" t="s">
        <v>4147</v>
      </c>
      <c r="K1156">
        <v>8</v>
      </c>
      <c r="L1156" t="s">
        <v>37</v>
      </c>
      <c r="M1156" t="s">
        <v>38</v>
      </c>
      <c r="N1156">
        <v>595.89</v>
      </c>
    </row>
    <row r="1157" spans="1:14" x14ac:dyDescent="0.3">
      <c r="A1157" t="s">
        <v>4148</v>
      </c>
      <c r="B1157" s="8">
        <v>45151</v>
      </c>
      <c r="C1157" t="s">
        <v>4149</v>
      </c>
      <c r="D1157" t="s">
        <v>64</v>
      </c>
      <c r="E1157">
        <v>4</v>
      </c>
      <c r="F1157">
        <v>534.57000000000005</v>
      </c>
      <c r="G1157" t="s">
        <v>697</v>
      </c>
      <c r="H1157" t="s">
        <v>50</v>
      </c>
      <c r="I1157" t="s">
        <v>66</v>
      </c>
      <c r="J1157" t="s">
        <v>4150</v>
      </c>
      <c r="K1157">
        <v>6</v>
      </c>
      <c r="L1157" t="s">
        <v>53</v>
      </c>
      <c r="M1157" t="s">
        <v>61</v>
      </c>
      <c r="N1157">
        <v>2138.2800000000002</v>
      </c>
    </row>
    <row r="1158" spans="1:14" x14ac:dyDescent="0.3">
      <c r="A1158" t="s">
        <v>4151</v>
      </c>
      <c r="B1158" s="8">
        <v>45126</v>
      </c>
      <c r="C1158" t="s">
        <v>4152</v>
      </c>
      <c r="D1158" t="s">
        <v>74</v>
      </c>
      <c r="E1158">
        <v>4</v>
      </c>
      <c r="F1158">
        <v>690.78</v>
      </c>
      <c r="G1158" t="s">
        <v>113</v>
      </c>
      <c r="H1158" t="s">
        <v>50</v>
      </c>
      <c r="I1158" t="s">
        <v>35</v>
      </c>
      <c r="J1158" t="s">
        <v>4153</v>
      </c>
      <c r="K1158">
        <v>9</v>
      </c>
      <c r="M1158" t="s">
        <v>45</v>
      </c>
      <c r="N1158">
        <v>2763.12</v>
      </c>
    </row>
    <row r="1159" spans="1:14" x14ac:dyDescent="0.3">
      <c r="A1159" t="s">
        <v>4154</v>
      </c>
      <c r="B1159" s="8">
        <v>45441</v>
      </c>
      <c r="C1159" t="s">
        <v>4155</v>
      </c>
      <c r="D1159" t="s">
        <v>32</v>
      </c>
      <c r="E1159">
        <v>3</v>
      </c>
      <c r="F1159">
        <v>301.55</v>
      </c>
      <c r="G1159" t="s">
        <v>930</v>
      </c>
      <c r="H1159" t="s">
        <v>34</v>
      </c>
      <c r="I1159" t="s">
        <v>66</v>
      </c>
      <c r="J1159" t="s">
        <v>4156</v>
      </c>
      <c r="K1159">
        <v>5</v>
      </c>
      <c r="L1159" t="s">
        <v>53</v>
      </c>
      <c r="M1159" t="s">
        <v>92</v>
      </c>
      <c r="N1159">
        <v>904.65</v>
      </c>
    </row>
    <row r="1160" spans="1:14" x14ac:dyDescent="0.3">
      <c r="A1160" t="s">
        <v>4157</v>
      </c>
      <c r="B1160" s="8">
        <v>45036</v>
      </c>
      <c r="C1160" t="s">
        <v>4158</v>
      </c>
      <c r="D1160" t="s">
        <v>32</v>
      </c>
      <c r="E1160">
        <v>4</v>
      </c>
      <c r="F1160">
        <v>27.42</v>
      </c>
      <c r="G1160" t="s">
        <v>1728</v>
      </c>
      <c r="H1160" t="s">
        <v>34</v>
      </c>
      <c r="I1160" t="s">
        <v>105</v>
      </c>
      <c r="J1160" t="s">
        <v>4159</v>
      </c>
      <c r="K1160">
        <v>4</v>
      </c>
      <c r="L1160" t="s">
        <v>37</v>
      </c>
      <c r="M1160" t="s">
        <v>45</v>
      </c>
      <c r="N1160">
        <v>109.68</v>
      </c>
    </row>
    <row r="1161" spans="1:14" x14ac:dyDescent="0.3">
      <c r="A1161" t="s">
        <v>4160</v>
      </c>
      <c r="B1161" s="8">
        <v>45345</v>
      </c>
      <c r="C1161" t="s">
        <v>4161</v>
      </c>
      <c r="D1161" t="s">
        <v>89</v>
      </c>
      <c r="E1161">
        <v>4</v>
      </c>
      <c r="F1161">
        <v>466.7</v>
      </c>
      <c r="G1161" t="s">
        <v>1778</v>
      </c>
      <c r="H1161" t="s">
        <v>34</v>
      </c>
      <c r="I1161" t="s">
        <v>59</v>
      </c>
      <c r="J1161" t="s">
        <v>4162</v>
      </c>
      <c r="K1161">
        <v>8</v>
      </c>
      <c r="M1161" t="s">
        <v>38</v>
      </c>
      <c r="N1161">
        <v>1866.8</v>
      </c>
    </row>
    <row r="1162" spans="1:14" x14ac:dyDescent="0.3">
      <c r="A1162" t="s">
        <v>4163</v>
      </c>
      <c r="B1162" s="8">
        <v>45539</v>
      </c>
      <c r="C1162" t="s">
        <v>4164</v>
      </c>
      <c r="D1162" t="s">
        <v>89</v>
      </c>
      <c r="E1162">
        <v>1</v>
      </c>
      <c r="F1162">
        <v>541.64</v>
      </c>
      <c r="G1162" t="s">
        <v>1843</v>
      </c>
      <c r="H1162" t="s">
        <v>34</v>
      </c>
      <c r="I1162" t="s">
        <v>35</v>
      </c>
      <c r="J1162" t="s">
        <v>4165</v>
      </c>
      <c r="K1162">
        <v>5</v>
      </c>
      <c r="L1162" t="s">
        <v>37</v>
      </c>
      <c r="M1162" t="s">
        <v>54</v>
      </c>
      <c r="N1162">
        <v>541.64</v>
      </c>
    </row>
    <row r="1163" spans="1:14" x14ac:dyDescent="0.3">
      <c r="A1163" t="s">
        <v>4166</v>
      </c>
      <c r="B1163" s="8">
        <v>45215</v>
      </c>
      <c r="C1163" t="s">
        <v>4167</v>
      </c>
      <c r="D1163" t="s">
        <v>41</v>
      </c>
      <c r="E1163">
        <v>1</v>
      </c>
      <c r="F1163">
        <v>11.39</v>
      </c>
      <c r="G1163" t="s">
        <v>1360</v>
      </c>
      <c r="H1163" t="s">
        <v>81</v>
      </c>
      <c r="I1163" t="s">
        <v>51</v>
      </c>
      <c r="J1163" t="s">
        <v>4168</v>
      </c>
      <c r="K1163">
        <v>6</v>
      </c>
      <c r="L1163" t="s">
        <v>97</v>
      </c>
      <c r="M1163" t="s">
        <v>54</v>
      </c>
      <c r="N1163">
        <v>11.39</v>
      </c>
    </row>
    <row r="1164" spans="1:14" x14ac:dyDescent="0.3">
      <c r="A1164" t="s">
        <v>4169</v>
      </c>
      <c r="B1164" s="8">
        <v>45727</v>
      </c>
      <c r="C1164" t="s">
        <v>4170</v>
      </c>
      <c r="D1164" t="s">
        <v>41</v>
      </c>
      <c r="E1164">
        <v>2</v>
      </c>
      <c r="F1164">
        <v>224.37</v>
      </c>
      <c r="G1164" t="s">
        <v>4171</v>
      </c>
      <c r="H1164" t="s">
        <v>34</v>
      </c>
      <c r="I1164" t="s">
        <v>66</v>
      </c>
      <c r="J1164" t="s">
        <v>4172</v>
      </c>
      <c r="K1164">
        <v>3</v>
      </c>
      <c r="L1164" t="s">
        <v>97</v>
      </c>
      <c r="M1164" t="s">
        <v>45</v>
      </c>
      <c r="N1164">
        <v>448.74</v>
      </c>
    </row>
    <row r="1165" spans="1:14" x14ac:dyDescent="0.3">
      <c r="A1165" t="s">
        <v>4173</v>
      </c>
      <c r="B1165" s="8">
        <v>45454</v>
      </c>
      <c r="C1165" t="s">
        <v>4174</v>
      </c>
      <c r="D1165" t="s">
        <v>74</v>
      </c>
      <c r="E1165">
        <v>3</v>
      </c>
      <c r="F1165">
        <v>306.29000000000002</v>
      </c>
      <c r="G1165" t="s">
        <v>4175</v>
      </c>
      <c r="H1165" t="s">
        <v>50</v>
      </c>
      <c r="I1165" t="s">
        <v>59</v>
      </c>
      <c r="J1165" t="s">
        <v>4176</v>
      </c>
      <c r="K1165">
        <v>7</v>
      </c>
      <c r="L1165" t="s">
        <v>97</v>
      </c>
      <c r="M1165" t="s">
        <v>38</v>
      </c>
      <c r="N1165">
        <v>918.87</v>
      </c>
    </row>
    <row r="1166" spans="1:14" x14ac:dyDescent="0.3">
      <c r="A1166" t="s">
        <v>4177</v>
      </c>
      <c r="B1166" s="8">
        <v>45299</v>
      </c>
      <c r="C1166" t="s">
        <v>4178</v>
      </c>
      <c r="D1166" t="s">
        <v>48</v>
      </c>
      <c r="E1166">
        <v>5</v>
      </c>
      <c r="F1166">
        <v>315.57</v>
      </c>
      <c r="G1166" t="s">
        <v>2213</v>
      </c>
      <c r="H1166" t="s">
        <v>34</v>
      </c>
      <c r="I1166" t="s">
        <v>66</v>
      </c>
      <c r="J1166" t="s">
        <v>4179</v>
      </c>
      <c r="K1166">
        <v>6</v>
      </c>
      <c r="L1166" t="s">
        <v>97</v>
      </c>
      <c r="M1166" t="s">
        <v>54</v>
      </c>
      <c r="N1166">
        <v>1577.85</v>
      </c>
    </row>
    <row r="1167" spans="1:14" x14ac:dyDescent="0.3">
      <c r="A1167" t="s">
        <v>4180</v>
      </c>
      <c r="B1167" s="8">
        <v>45121</v>
      </c>
      <c r="C1167" t="s">
        <v>4181</v>
      </c>
      <c r="D1167" t="s">
        <v>57</v>
      </c>
      <c r="E1167">
        <v>3</v>
      </c>
      <c r="F1167">
        <v>223.79</v>
      </c>
      <c r="G1167" t="s">
        <v>4182</v>
      </c>
      <c r="H1167" t="s">
        <v>34</v>
      </c>
      <c r="I1167" t="s">
        <v>105</v>
      </c>
      <c r="J1167" t="s">
        <v>4183</v>
      </c>
      <c r="K1167">
        <v>3</v>
      </c>
      <c r="M1167" t="s">
        <v>92</v>
      </c>
      <c r="N1167">
        <v>671.37</v>
      </c>
    </row>
    <row r="1168" spans="1:14" x14ac:dyDescent="0.3">
      <c r="A1168" t="s">
        <v>4184</v>
      </c>
      <c r="B1168" s="8">
        <v>45138</v>
      </c>
      <c r="C1168" t="s">
        <v>4185</v>
      </c>
      <c r="D1168" t="s">
        <v>57</v>
      </c>
      <c r="E1168">
        <v>3</v>
      </c>
      <c r="F1168">
        <v>324.47000000000003</v>
      </c>
      <c r="G1168" t="s">
        <v>379</v>
      </c>
      <c r="H1168" t="s">
        <v>81</v>
      </c>
      <c r="I1168" t="s">
        <v>66</v>
      </c>
      <c r="J1168" t="s">
        <v>4186</v>
      </c>
      <c r="K1168">
        <v>4</v>
      </c>
      <c r="L1168" t="s">
        <v>97</v>
      </c>
      <c r="M1168" t="s">
        <v>54</v>
      </c>
      <c r="N1168">
        <v>973.41</v>
      </c>
    </row>
    <row r="1169" spans="1:14" x14ac:dyDescent="0.3">
      <c r="A1169" t="s">
        <v>4187</v>
      </c>
      <c r="B1169" s="8">
        <v>45216</v>
      </c>
      <c r="C1169" t="s">
        <v>4188</v>
      </c>
      <c r="D1169" t="s">
        <v>64</v>
      </c>
      <c r="E1169">
        <v>2</v>
      </c>
      <c r="F1169">
        <v>92.87</v>
      </c>
      <c r="G1169" t="s">
        <v>1117</v>
      </c>
      <c r="H1169" t="s">
        <v>50</v>
      </c>
      <c r="I1169" t="s">
        <v>105</v>
      </c>
      <c r="J1169" t="s">
        <v>4189</v>
      </c>
      <c r="K1169">
        <v>5</v>
      </c>
      <c r="L1169" t="s">
        <v>53</v>
      </c>
      <c r="M1169" t="s">
        <v>61</v>
      </c>
      <c r="N1169">
        <v>185.74</v>
      </c>
    </row>
    <row r="1170" spans="1:14" x14ac:dyDescent="0.3">
      <c r="A1170" t="s">
        <v>4190</v>
      </c>
      <c r="B1170" s="8">
        <v>45024</v>
      </c>
      <c r="C1170" t="s">
        <v>4191</v>
      </c>
      <c r="D1170" t="s">
        <v>74</v>
      </c>
      <c r="E1170">
        <v>2</v>
      </c>
      <c r="F1170">
        <v>331.42</v>
      </c>
      <c r="G1170" t="s">
        <v>4192</v>
      </c>
      <c r="H1170" t="s">
        <v>50</v>
      </c>
      <c r="I1170" t="s">
        <v>66</v>
      </c>
      <c r="J1170" t="s">
        <v>4193</v>
      </c>
      <c r="K1170">
        <v>6</v>
      </c>
      <c r="L1170" t="s">
        <v>97</v>
      </c>
      <c r="M1170" t="s">
        <v>92</v>
      </c>
      <c r="N1170">
        <v>662.84</v>
      </c>
    </row>
    <row r="1171" spans="1:14" x14ac:dyDescent="0.3">
      <c r="A1171" t="s">
        <v>4194</v>
      </c>
      <c r="B1171" s="8">
        <v>45649</v>
      </c>
      <c r="C1171" t="s">
        <v>4195</v>
      </c>
      <c r="D1171" t="s">
        <v>57</v>
      </c>
      <c r="E1171">
        <v>1</v>
      </c>
      <c r="F1171">
        <v>525.42999999999995</v>
      </c>
      <c r="G1171" t="s">
        <v>4196</v>
      </c>
      <c r="H1171" t="s">
        <v>81</v>
      </c>
      <c r="I1171" t="s">
        <v>51</v>
      </c>
      <c r="J1171" t="s">
        <v>4197</v>
      </c>
      <c r="K1171">
        <v>2</v>
      </c>
      <c r="L1171" t="s">
        <v>37</v>
      </c>
      <c r="M1171" t="s">
        <v>38</v>
      </c>
      <c r="N1171">
        <v>525.42999999999995</v>
      </c>
    </row>
    <row r="1172" spans="1:14" x14ac:dyDescent="0.3">
      <c r="A1172" t="s">
        <v>4198</v>
      </c>
      <c r="B1172" s="8">
        <v>45141</v>
      </c>
      <c r="C1172" t="s">
        <v>4199</v>
      </c>
      <c r="D1172" t="s">
        <v>64</v>
      </c>
      <c r="E1172">
        <v>2</v>
      </c>
      <c r="F1172">
        <v>697.19</v>
      </c>
      <c r="G1172" t="s">
        <v>941</v>
      </c>
      <c r="H1172" t="s">
        <v>81</v>
      </c>
      <c r="I1172" t="s">
        <v>59</v>
      </c>
      <c r="J1172" t="s">
        <v>4200</v>
      </c>
      <c r="K1172">
        <v>7</v>
      </c>
      <c r="L1172" t="s">
        <v>53</v>
      </c>
      <c r="M1172" t="s">
        <v>54</v>
      </c>
      <c r="N1172">
        <v>1394.38</v>
      </c>
    </row>
    <row r="1173" spans="1:14" x14ac:dyDescent="0.3">
      <c r="A1173" t="s">
        <v>4201</v>
      </c>
      <c r="B1173" s="8">
        <v>45166</v>
      </c>
      <c r="C1173" t="s">
        <v>4202</v>
      </c>
      <c r="D1173" t="s">
        <v>41</v>
      </c>
      <c r="E1173">
        <v>4</v>
      </c>
      <c r="F1173">
        <v>518.4</v>
      </c>
      <c r="G1173" t="s">
        <v>4203</v>
      </c>
      <c r="H1173" t="s">
        <v>50</v>
      </c>
      <c r="I1173" t="s">
        <v>66</v>
      </c>
      <c r="J1173" t="s">
        <v>4204</v>
      </c>
      <c r="K1173">
        <v>7</v>
      </c>
      <c r="L1173" t="s">
        <v>37</v>
      </c>
      <c r="M1173" t="s">
        <v>61</v>
      </c>
      <c r="N1173">
        <v>2073.6</v>
      </c>
    </row>
    <row r="1174" spans="1:14" x14ac:dyDescent="0.3">
      <c r="A1174" t="s">
        <v>4205</v>
      </c>
      <c r="B1174" s="8">
        <v>45692</v>
      </c>
      <c r="C1174" t="s">
        <v>4206</v>
      </c>
      <c r="D1174" t="s">
        <v>89</v>
      </c>
      <c r="E1174">
        <v>3</v>
      </c>
      <c r="F1174">
        <v>131.96</v>
      </c>
      <c r="G1174" t="s">
        <v>1946</v>
      </c>
      <c r="H1174" t="s">
        <v>50</v>
      </c>
      <c r="I1174" t="s">
        <v>105</v>
      </c>
      <c r="J1174" t="s">
        <v>4207</v>
      </c>
      <c r="K1174">
        <v>8</v>
      </c>
      <c r="M1174" t="s">
        <v>38</v>
      </c>
      <c r="N1174">
        <v>395.88</v>
      </c>
    </row>
    <row r="1175" spans="1:14" x14ac:dyDescent="0.3">
      <c r="A1175" t="s">
        <v>4208</v>
      </c>
      <c r="B1175" s="8">
        <v>45569</v>
      </c>
      <c r="C1175" t="s">
        <v>4209</v>
      </c>
      <c r="D1175" t="s">
        <v>32</v>
      </c>
      <c r="E1175">
        <v>1</v>
      </c>
      <c r="F1175">
        <v>208.36</v>
      </c>
      <c r="G1175" t="s">
        <v>2692</v>
      </c>
      <c r="H1175" t="s">
        <v>43</v>
      </c>
      <c r="I1175" t="s">
        <v>35</v>
      </c>
      <c r="J1175" t="s">
        <v>4210</v>
      </c>
      <c r="K1175">
        <v>4</v>
      </c>
      <c r="L1175" t="s">
        <v>53</v>
      </c>
      <c r="M1175" t="s">
        <v>54</v>
      </c>
      <c r="N1175">
        <v>208.36</v>
      </c>
    </row>
    <row r="1176" spans="1:14" x14ac:dyDescent="0.3">
      <c r="A1176" t="s">
        <v>4211</v>
      </c>
      <c r="B1176" s="8">
        <v>45257</v>
      </c>
      <c r="C1176" t="s">
        <v>4212</v>
      </c>
      <c r="D1176" t="s">
        <v>64</v>
      </c>
      <c r="E1176">
        <v>3</v>
      </c>
      <c r="F1176">
        <v>222.34</v>
      </c>
      <c r="G1176" t="s">
        <v>4213</v>
      </c>
      <c r="H1176" t="s">
        <v>50</v>
      </c>
      <c r="I1176" t="s">
        <v>59</v>
      </c>
      <c r="J1176" t="s">
        <v>4214</v>
      </c>
      <c r="K1176">
        <v>5</v>
      </c>
      <c r="L1176" t="s">
        <v>97</v>
      </c>
      <c r="M1176" t="s">
        <v>54</v>
      </c>
      <c r="N1176">
        <v>667.02</v>
      </c>
    </row>
    <row r="1177" spans="1:14" x14ac:dyDescent="0.3">
      <c r="A1177" t="s">
        <v>4215</v>
      </c>
      <c r="B1177" s="8">
        <v>45545</v>
      </c>
      <c r="C1177" t="s">
        <v>4216</v>
      </c>
      <c r="D1177" t="s">
        <v>64</v>
      </c>
      <c r="E1177">
        <v>3</v>
      </c>
      <c r="F1177">
        <v>91.74</v>
      </c>
      <c r="G1177" t="s">
        <v>1222</v>
      </c>
      <c r="H1177" t="s">
        <v>34</v>
      </c>
      <c r="I1177" t="s">
        <v>59</v>
      </c>
      <c r="J1177" t="s">
        <v>4217</v>
      </c>
      <c r="K1177">
        <v>8</v>
      </c>
      <c r="L1177" t="s">
        <v>53</v>
      </c>
      <c r="M1177" t="s">
        <v>45</v>
      </c>
      <c r="N1177">
        <v>275.22000000000003</v>
      </c>
    </row>
    <row r="1178" spans="1:14" x14ac:dyDescent="0.3">
      <c r="A1178" t="s">
        <v>4218</v>
      </c>
      <c r="B1178" s="8">
        <v>45151</v>
      </c>
      <c r="C1178" t="s">
        <v>4219</v>
      </c>
      <c r="D1178" t="s">
        <v>48</v>
      </c>
      <c r="E1178">
        <v>2</v>
      </c>
      <c r="F1178">
        <v>213.83</v>
      </c>
      <c r="G1178" t="s">
        <v>4220</v>
      </c>
      <c r="H1178" t="s">
        <v>34</v>
      </c>
      <c r="I1178" t="s">
        <v>51</v>
      </c>
      <c r="J1178" t="s">
        <v>4221</v>
      </c>
      <c r="K1178">
        <v>2</v>
      </c>
      <c r="L1178" t="s">
        <v>97</v>
      </c>
      <c r="M1178" t="s">
        <v>54</v>
      </c>
      <c r="N1178">
        <v>427.66</v>
      </c>
    </row>
    <row r="1179" spans="1:14" x14ac:dyDescent="0.3">
      <c r="A1179" t="s">
        <v>4222</v>
      </c>
      <c r="B1179" s="8">
        <v>45043</v>
      </c>
      <c r="C1179" t="s">
        <v>4223</v>
      </c>
      <c r="D1179" t="s">
        <v>64</v>
      </c>
      <c r="E1179">
        <v>1</v>
      </c>
      <c r="F1179">
        <v>127.55</v>
      </c>
      <c r="G1179" t="s">
        <v>1686</v>
      </c>
      <c r="H1179" t="s">
        <v>81</v>
      </c>
      <c r="I1179" t="s">
        <v>35</v>
      </c>
      <c r="J1179" t="s">
        <v>4224</v>
      </c>
      <c r="K1179">
        <v>3</v>
      </c>
      <c r="L1179" t="s">
        <v>37</v>
      </c>
      <c r="M1179" t="s">
        <v>45</v>
      </c>
      <c r="N1179">
        <v>127.55</v>
      </c>
    </row>
    <row r="1180" spans="1:14" x14ac:dyDescent="0.3">
      <c r="A1180" t="s">
        <v>4225</v>
      </c>
      <c r="B1180" s="8">
        <v>45543</v>
      </c>
      <c r="C1180" t="s">
        <v>4226</v>
      </c>
      <c r="D1180" t="s">
        <v>32</v>
      </c>
      <c r="E1180">
        <v>1</v>
      </c>
      <c r="F1180">
        <v>70.239999999999995</v>
      </c>
      <c r="G1180" t="s">
        <v>980</v>
      </c>
      <c r="H1180" t="s">
        <v>50</v>
      </c>
      <c r="I1180" t="s">
        <v>51</v>
      </c>
      <c r="J1180" t="s">
        <v>4227</v>
      </c>
      <c r="K1180">
        <v>4</v>
      </c>
      <c r="L1180" t="s">
        <v>53</v>
      </c>
      <c r="M1180" t="s">
        <v>92</v>
      </c>
      <c r="N1180">
        <v>70.239999999999995</v>
      </c>
    </row>
    <row r="1181" spans="1:14" x14ac:dyDescent="0.3">
      <c r="A1181" t="s">
        <v>4228</v>
      </c>
      <c r="B1181" s="8">
        <v>44934</v>
      </c>
      <c r="C1181" t="s">
        <v>4229</v>
      </c>
      <c r="D1181" t="s">
        <v>74</v>
      </c>
      <c r="E1181">
        <v>5</v>
      </c>
      <c r="F1181">
        <v>518.54999999999995</v>
      </c>
      <c r="G1181" t="s">
        <v>1424</v>
      </c>
      <c r="H1181" t="s">
        <v>50</v>
      </c>
      <c r="I1181" t="s">
        <v>51</v>
      </c>
      <c r="J1181" t="s">
        <v>4230</v>
      </c>
      <c r="K1181">
        <v>6</v>
      </c>
      <c r="L1181" t="s">
        <v>97</v>
      </c>
      <c r="M1181" t="s">
        <v>38</v>
      </c>
      <c r="N1181">
        <v>2592.75</v>
      </c>
    </row>
    <row r="1182" spans="1:14" x14ac:dyDescent="0.3">
      <c r="A1182" t="s">
        <v>4231</v>
      </c>
      <c r="B1182" s="8">
        <v>45230</v>
      </c>
      <c r="C1182" t="s">
        <v>4232</v>
      </c>
      <c r="D1182" t="s">
        <v>57</v>
      </c>
      <c r="E1182">
        <v>4</v>
      </c>
      <c r="F1182">
        <v>298.36</v>
      </c>
      <c r="G1182" t="s">
        <v>2045</v>
      </c>
      <c r="H1182" t="s">
        <v>34</v>
      </c>
      <c r="I1182" t="s">
        <v>105</v>
      </c>
      <c r="J1182" t="s">
        <v>4233</v>
      </c>
      <c r="K1182">
        <v>8</v>
      </c>
      <c r="L1182" t="s">
        <v>53</v>
      </c>
      <c r="M1182" t="s">
        <v>92</v>
      </c>
      <c r="N1182">
        <v>1193.44</v>
      </c>
    </row>
    <row r="1183" spans="1:14" x14ac:dyDescent="0.3">
      <c r="A1183" t="s">
        <v>4234</v>
      </c>
      <c r="B1183" s="8">
        <v>45134</v>
      </c>
      <c r="C1183" t="s">
        <v>4235</v>
      </c>
      <c r="D1183" t="s">
        <v>89</v>
      </c>
      <c r="E1183">
        <v>3</v>
      </c>
      <c r="F1183">
        <v>158.74</v>
      </c>
      <c r="G1183" t="s">
        <v>1364</v>
      </c>
      <c r="H1183" t="s">
        <v>43</v>
      </c>
      <c r="I1183" t="s">
        <v>105</v>
      </c>
      <c r="J1183" t="s">
        <v>4236</v>
      </c>
      <c r="K1183">
        <v>7</v>
      </c>
      <c r="L1183" t="s">
        <v>53</v>
      </c>
      <c r="M1183" t="s">
        <v>38</v>
      </c>
      <c r="N1183">
        <v>476.22</v>
      </c>
    </row>
    <row r="1184" spans="1:14" x14ac:dyDescent="0.3">
      <c r="A1184" t="s">
        <v>4237</v>
      </c>
      <c r="B1184" s="8">
        <v>45822</v>
      </c>
      <c r="C1184" t="s">
        <v>4238</v>
      </c>
      <c r="D1184" t="s">
        <v>57</v>
      </c>
      <c r="E1184">
        <v>2</v>
      </c>
      <c r="F1184">
        <v>420.29</v>
      </c>
      <c r="G1184" t="s">
        <v>2273</v>
      </c>
      <c r="H1184" t="s">
        <v>76</v>
      </c>
      <c r="I1184" t="s">
        <v>59</v>
      </c>
      <c r="J1184" t="s">
        <v>4239</v>
      </c>
      <c r="K1184">
        <v>3</v>
      </c>
      <c r="L1184" t="s">
        <v>37</v>
      </c>
      <c r="M1184" t="s">
        <v>92</v>
      </c>
      <c r="N1184">
        <v>840.58</v>
      </c>
    </row>
    <row r="1185" spans="1:14" x14ac:dyDescent="0.3">
      <c r="A1185" t="s">
        <v>4240</v>
      </c>
      <c r="B1185" s="8">
        <v>45021</v>
      </c>
      <c r="C1185" t="s">
        <v>4241</v>
      </c>
      <c r="D1185" t="s">
        <v>89</v>
      </c>
      <c r="E1185">
        <v>1</v>
      </c>
      <c r="F1185">
        <v>281.52</v>
      </c>
      <c r="G1185" t="s">
        <v>1063</v>
      </c>
      <c r="H1185" t="s">
        <v>76</v>
      </c>
      <c r="I1185" t="s">
        <v>35</v>
      </c>
      <c r="J1185" t="s">
        <v>4242</v>
      </c>
      <c r="K1185">
        <v>6</v>
      </c>
      <c r="L1185" t="s">
        <v>97</v>
      </c>
      <c r="M1185" t="s">
        <v>45</v>
      </c>
      <c r="N1185">
        <v>281.52</v>
      </c>
    </row>
    <row r="1186" spans="1:14" x14ac:dyDescent="0.3">
      <c r="A1186" t="s">
        <v>4243</v>
      </c>
      <c r="B1186" s="8">
        <v>45196</v>
      </c>
      <c r="C1186" t="s">
        <v>4244</v>
      </c>
      <c r="D1186" t="s">
        <v>74</v>
      </c>
      <c r="E1186">
        <v>1</v>
      </c>
      <c r="F1186">
        <v>204.08</v>
      </c>
      <c r="G1186" t="s">
        <v>3023</v>
      </c>
      <c r="H1186" t="s">
        <v>76</v>
      </c>
      <c r="I1186" t="s">
        <v>59</v>
      </c>
      <c r="J1186" t="s">
        <v>4245</v>
      </c>
      <c r="K1186">
        <v>4</v>
      </c>
      <c r="M1186" t="s">
        <v>92</v>
      </c>
      <c r="N1186">
        <v>204.08</v>
      </c>
    </row>
    <row r="1187" spans="1:14" x14ac:dyDescent="0.3">
      <c r="A1187" t="s">
        <v>4246</v>
      </c>
      <c r="B1187" s="8">
        <v>45481</v>
      </c>
      <c r="C1187" t="s">
        <v>4247</v>
      </c>
      <c r="D1187" t="s">
        <v>57</v>
      </c>
      <c r="E1187">
        <v>1</v>
      </c>
      <c r="F1187">
        <v>343.31</v>
      </c>
      <c r="G1187" t="s">
        <v>4248</v>
      </c>
      <c r="H1187" t="s">
        <v>76</v>
      </c>
      <c r="I1187" t="s">
        <v>59</v>
      </c>
      <c r="J1187" t="s">
        <v>4249</v>
      </c>
      <c r="K1187">
        <v>6</v>
      </c>
      <c r="L1187" t="s">
        <v>37</v>
      </c>
      <c r="M1187" t="s">
        <v>92</v>
      </c>
      <c r="N1187">
        <v>343.31</v>
      </c>
    </row>
    <row r="1188" spans="1:14" x14ac:dyDescent="0.3">
      <c r="A1188" t="s">
        <v>4250</v>
      </c>
      <c r="B1188" s="8">
        <v>45248</v>
      </c>
      <c r="C1188" t="s">
        <v>4251</v>
      </c>
      <c r="D1188" t="s">
        <v>32</v>
      </c>
      <c r="E1188">
        <v>1</v>
      </c>
      <c r="F1188">
        <v>163.32</v>
      </c>
      <c r="G1188" t="s">
        <v>4252</v>
      </c>
      <c r="H1188" t="s">
        <v>81</v>
      </c>
      <c r="I1188" t="s">
        <v>35</v>
      </c>
      <c r="J1188" t="s">
        <v>4253</v>
      </c>
      <c r="K1188">
        <v>6</v>
      </c>
      <c r="L1188" t="s">
        <v>97</v>
      </c>
      <c r="M1188" t="s">
        <v>61</v>
      </c>
      <c r="N1188">
        <v>163.32</v>
      </c>
    </row>
    <row r="1189" spans="1:14" x14ac:dyDescent="0.3">
      <c r="A1189" t="s">
        <v>4254</v>
      </c>
      <c r="B1189" s="8">
        <v>45364</v>
      </c>
      <c r="C1189" t="s">
        <v>4255</v>
      </c>
      <c r="D1189" t="s">
        <v>89</v>
      </c>
      <c r="E1189">
        <v>2</v>
      </c>
      <c r="F1189">
        <v>184.6</v>
      </c>
      <c r="G1189" t="s">
        <v>968</v>
      </c>
      <c r="H1189" t="s">
        <v>76</v>
      </c>
      <c r="I1189" t="s">
        <v>66</v>
      </c>
      <c r="J1189" t="s">
        <v>4256</v>
      </c>
      <c r="K1189">
        <v>7</v>
      </c>
      <c r="L1189" t="s">
        <v>97</v>
      </c>
      <c r="M1189" t="s">
        <v>54</v>
      </c>
      <c r="N1189">
        <v>369.2</v>
      </c>
    </row>
    <row r="1190" spans="1:14" x14ac:dyDescent="0.3">
      <c r="A1190" t="s">
        <v>4257</v>
      </c>
      <c r="B1190" s="8">
        <v>45206</v>
      </c>
      <c r="C1190" t="s">
        <v>4258</v>
      </c>
      <c r="D1190" t="s">
        <v>64</v>
      </c>
      <c r="E1190">
        <v>2</v>
      </c>
      <c r="F1190">
        <v>371.29</v>
      </c>
      <c r="G1190" t="s">
        <v>4259</v>
      </c>
      <c r="H1190" t="s">
        <v>76</v>
      </c>
      <c r="I1190" t="s">
        <v>35</v>
      </c>
      <c r="J1190" t="s">
        <v>4260</v>
      </c>
      <c r="K1190">
        <v>5</v>
      </c>
      <c r="L1190" t="s">
        <v>97</v>
      </c>
      <c r="M1190" t="s">
        <v>61</v>
      </c>
      <c r="N1190">
        <v>742.58</v>
      </c>
    </row>
    <row r="1191" spans="1:14" x14ac:dyDescent="0.3">
      <c r="A1191" t="s">
        <v>4261</v>
      </c>
      <c r="B1191" s="8">
        <v>45521</v>
      </c>
      <c r="C1191" t="s">
        <v>4262</v>
      </c>
      <c r="D1191" t="s">
        <v>48</v>
      </c>
      <c r="E1191">
        <v>5</v>
      </c>
      <c r="F1191">
        <v>389.22</v>
      </c>
      <c r="G1191" t="s">
        <v>4263</v>
      </c>
      <c r="H1191" t="s">
        <v>81</v>
      </c>
      <c r="I1191" t="s">
        <v>51</v>
      </c>
      <c r="J1191" t="s">
        <v>4264</v>
      </c>
      <c r="K1191">
        <v>7</v>
      </c>
      <c r="M1191" t="s">
        <v>45</v>
      </c>
      <c r="N1191">
        <v>1946.1</v>
      </c>
    </row>
    <row r="1192" spans="1:14" x14ac:dyDescent="0.3">
      <c r="A1192" t="s">
        <v>4265</v>
      </c>
      <c r="B1192" s="8">
        <v>45816</v>
      </c>
      <c r="C1192" t="s">
        <v>4266</v>
      </c>
      <c r="D1192" t="s">
        <v>89</v>
      </c>
      <c r="E1192">
        <v>3</v>
      </c>
      <c r="F1192">
        <v>616.39</v>
      </c>
      <c r="G1192" t="s">
        <v>4267</v>
      </c>
      <c r="H1192" t="s">
        <v>50</v>
      </c>
      <c r="I1192" t="s">
        <v>35</v>
      </c>
      <c r="J1192" t="s">
        <v>4268</v>
      </c>
      <c r="K1192">
        <v>6</v>
      </c>
      <c r="L1192" t="s">
        <v>53</v>
      </c>
      <c r="M1192" t="s">
        <v>38</v>
      </c>
      <c r="N1192">
        <v>1849.17</v>
      </c>
    </row>
    <row r="1193" spans="1:14" x14ac:dyDescent="0.3">
      <c r="A1193" t="s">
        <v>4269</v>
      </c>
      <c r="B1193" s="8">
        <v>45698</v>
      </c>
      <c r="C1193" t="s">
        <v>4270</v>
      </c>
      <c r="D1193" t="s">
        <v>89</v>
      </c>
      <c r="E1193">
        <v>4</v>
      </c>
      <c r="F1193">
        <v>376.43</v>
      </c>
      <c r="G1193" t="s">
        <v>2314</v>
      </c>
      <c r="H1193" t="s">
        <v>76</v>
      </c>
      <c r="I1193" t="s">
        <v>105</v>
      </c>
      <c r="J1193" t="s">
        <v>4271</v>
      </c>
      <c r="K1193">
        <v>5</v>
      </c>
      <c r="L1193" t="s">
        <v>97</v>
      </c>
      <c r="M1193" t="s">
        <v>38</v>
      </c>
      <c r="N1193">
        <v>1505.72</v>
      </c>
    </row>
    <row r="1194" spans="1:14" x14ac:dyDescent="0.3">
      <c r="A1194" t="s">
        <v>4272</v>
      </c>
      <c r="B1194" s="8">
        <v>45350</v>
      </c>
      <c r="C1194" t="s">
        <v>4273</v>
      </c>
      <c r="D1194" t="s">
        <v>57</v>
      </c>
      <c r="E1194">
        <v>3</v>
      </c>
      <c r="F1194">
        <v>432.85</v>
      </c>
      <c r="G1194" t="s">
        <v>861</v>
      </c>
      <c r="H1194" t="s">
        <v>43</v>
      </c>
      <c r="I1194" t="s">
        <v>105</v>
      </c>
      <c r="J1194" t="s">
        <v>4274</v>
      </c>
      <c r="K1194">
        <v>4</v>
      </c>
      <c r="M1194" t="s">
        <v>38</v>
      </c>
      <c r="N1194">
        <v>1298.55</v>
      </c>
    </row>
    <row r="1195" spans="1:14" x14ac:dyDescent="0.3">
      <c r="A1195" t="s">
        <v>4275</v>
      </c>
      <c r="B1195" s="8">
        <v>45824</v>
      </c>
      <c r="C1195" t="s">
        <v>4276</v>
      </c>
      <c r="D1195" t="s">
        <v>48</v>
      </c>
      <c r="E1195">
        <v>1</v>
      </c>
      <c r="F1195">
        <v>687.89</v>
      </c>
      <c r="G1195" t="s">
        <v>359</v>
      </c>
      <c r="H1195" t="s">
        <v>81</v>
      </c>
      <c r="I1195" t="s">
        <v>59</v>
      </c>
      <c r="J1195" t="s">
        <v>4277</v>
      </c>
      <c r="K1195">
        <v>1</v>
      </c>
      <c r="L1195" t="s">
        <v>53</v>
      </c>
      <c r="M1195" t="s">
        <v>54</v>
      </c>
      <c r="N1195">
        <v>687.89</v>
      </c>
    </row>
    <row r="1196" spans="1:14" x14ac:dyDescent="0.3">
      <c r="A1196" t="s">
        <v>4278</v>
      </c>
      <c r="B1196" s="8">
        <v>45249</v>
      </c>
      <c r="C1196" t="s">
        <v>4279</v>
      </c>
      <c r="D1196" t="s">
        <v>64</v>
      </c>
      <c r="E1196">
        <v>3</v>
      </c>
      <c r="F1196">
        <v>189.44</v>
      </c>
      <c r="G1196" t="s">
        <v>799</v>
      </c>
      <c r="H1196" t="s">
        <v>81</v>
      </c>
      <c r="I1196" t="s">
        <v>105</v>
      </c>
      <c r="J1196" t="s">
        <v>4280</v>
      </c>
      <c r="K1196">
        <v>4</v>
      </c>
      <c r="L1196" t="s">
        <v>53</v>
      </c>
      <c r="M1196" t="s">
        <v>54</v>
      </c>
      <c r="N1196">
        <v>568.32000000000005</v>
      </c>
    </row>
    <row r="1197" spans="1:14" x14ac:dyDescent="0.3">
      <c r="A1197" t="s">
        <v>4281</v>
      </c>
      <c r="B1197" s="8">
        <v>45463</v>
      </c>
      <c r="C1197" t="s">
        <v>4282</v>
      </c>
      <c r="D1197" t="s">
        <v>89</v>
      </c>
      <c r="E1197">
        <v>1</v>
      </c>
      <c r="F1197">
        <v>107.04</v>
      </c>
      <c r="G1197" t="s">
        <v>4283</v>
      </c>
      <c r="H1197" t="s">
        <v>50</v>
      </c>
      <c r="I1197" t="s">
        <v>51</v>
      </c>
      <c r="J1197" t="s">
        <v>4284</v>
      </c>
      <c r="K1197">
        <v>6</v>
      </c>
      <c r="L1197" t="s">
        <v>53</v>
      </c>
      <c r="M1197" t="s">
        <v>92</v>
      </c>
      <c r="N1197">
        <v>107.04</v>
      </c>
    </row>
    <row r="1198" spans="1:14" x14ac:dyDescent="0.3">
      <c r="A1198" t="s">
        <v>4285</v>
      </c>
      <c r="B1198" s="8">
        <v>45355</v>
      </c>
      <c r="C1198" t="s">
        <v>4286</v>
      </c>
      <c r="D1198" t="s">
        <v>32</v>
      </c>
      <c r="E1198">
        <v>2</v>
      </c>
      <c r="F1198">
        <v>662.53</v>
      </c>
      <c r="G1198" t="s">
        <v>1565</v>
      </c>
      <c r="H1198" t="s">
        <v>43</v>
      </c>
      <c r="I1198" t="s">
        <v>51</v>
      </c>
      <c r="J1198" t="s">
        <v>4287</v>
      </c>
      <c r="K1198">
        <v>5</v>
      </c>
      <c r="M1198" t="s">
        <v>61</v>
      </c>
      <c r="N1198">
        <v>1325.06</v>
      </c>
    </row>
    <row r="1199" spans="1:14" x14ac:dyDescent="0.3">
      <c r="A1199" t="s">
        <v>4288</v>
      </c>
      <c r="B1199" s="8">
        <v>45120</v>
      </c>
      <c r="C1199" t="s">
        <v>4289</v>
      </c>
      <c r="D1199" t="s">
        <v>48</v>
      </c>
      <c r="E1199">
        <v>2</v>
      </c>
      <c r="F1199">
        <v>436.84</v>
      </c>
      <c r="G1199" t="s">
        <v>58</v>
      </c>
      <c r="H1199" t="s">
        <v>43</v>
      </c>
      <c r="I1199" t="s">
        <v>66</v>
      </c>
      <c r="J1199" t="s">
        <v>4290</v>
      </c>
      <c r="K1199">
        <v>2</v>
      </c>
      <c r="L1199" t="s">
        <v>53</v>
      </c>
      <c r="M1199" t="s">
        <v>38</v>
      </c>
      <c r="N1199">
        <v>873.68</v>
      </c>
    </row>
    <row r="1200" spans="1:14" x14ac:dyDescent="0.3">
      <c r="A1200" t="s">
        <v>4291</v>
      </c>
      <c r="B1200" s="8">
        <v>45526</v>
      </c>
      <c r="C1200" t="s">
        <v>4292</v>
      </c>
      <c r="D1200" t="s">
        <v>57</v>
      </c>
      <c r="E1200">
        <v>4</v>
      </c>
      <c r="F1200">
        <v>262.52</v>
      </c>
      <c r="G1200" t="s">
        <v>4293</v>
      </c>
      <c r="H1200" t="s">
        <v>34</v>
      </c>
      <c r="I1200" t="s">
        <v>51</v>
      </c>
      <c r="J1200" t="s">
        <v>4294</v>
      </c>
      <c r="K1200">
        <v>4</v>
      </c>
      <c r="L1200" t="s">
        <v>97</v>
      </c>
      <c r="M1200" t="s">
        <v>38</v>
      </c>
      <c r="N1200">
        <v>1050.08</v>
      </c>
    </row>
    <row r="1201" spans="1:14" x14ac:dyDescent="0.3">
      <c r="A1201" t="s">
        <v>4295</v>
      </c>
      <c r="B1201" s="8">
        <v>45088</v>
      </c>
      <c r="C1201" t="s">
        <v>4296</v>
      </c>
      <c r="D1201" t="s">
        <v>48</v>
      </c>
      <c r="E1201">
        <v>4</v>
      </c>
      <c r="F1201">
        <v>560.58000000000004</v>
      </c>
      <c r="G1201" t="s">
        <v>4297</v>
      </c>
      <c r="H1201" t="s">
        <v>76</v>
      </c>
      <c r="I1201" t="s">
        <v>59</v>
      </c>
      <c r="J1201" t="s">
        <v>4298</v>
      </c>
      <c r="K1201">
        <v>6</v>
      </c>
      <c r="L1201" t="s">
        <v>37</v>
      </c>
      <c r="M1201" t="s">
        <v>45</v>
      </c>
      <c r="N1201">
        <v>2242.3200000000002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zoomScaleNormal="100" workbookViewId="0"/>
  </sheetViews>
  <sheetFormatPr defaultColWidth="8.6640625" defaultRowHeight="14.4" x14ac:dyDescent="0.3"/>
  <cols>
    <col min="1" max="1" width="38" customWidth="1"/>
    <col min="2" max="3" width="16" customWidth="1"/>
    <col min="4" max="4" width="20" customWidth="1"/>
  </cols>
  <sheetData>
    <row r="1" spans="1:5" ht="17.399999999999999" x14ac:dyDescent="0.3">
      <c r="A1" s="3" t="s">
        <v>4299</v>
      </c>
      <c r="B1" s="3"/>
      <c r="C1" s="3"/>
      <c r="D1" s="3"/>
      <c r="E1" s="3"/>
    </row>
    <row r="2" spans="1:5" x14ac:dyDescent="0.3">
      <c r="A2" s="2" t="s">
        <v>4300</v>
      </c>
      <c r="B2" s="2"/>
      <c r="C2" s="2"/>
      <c r="D2" s="2"/>
      <c r="E2" s="2"/>
    </row>
    <row r="4" spans="1:5" ht="15.6" x14ac:dyDescent="0.3">
      <c r="A4" s="6" t="s">
        <v>4301</v>
      </c>
    </row>
    <row r="5" spans="1:5" x14ac:dyDescent="0.3">
      <c r="A5" s="4" t="s">
        <v>4302</v>
      </c>
      <c r="B5" s="4" t="s">
        <v>4303</v>
      </c>
      <c r="C5" s="4" t="s">
        <v>4304</v>
      </c>
      <c r="D5" s="4" t="s">
        <v>4305</v>
      </c>
    </row>
    <row r="6" spans="1:5" x14ac:dyDescent="0.3">
      <c r="A6" s="9" t="s">
        <v>16</v>
      </c>
      <c r="B6" s="9">
        <f>COUNTBLANK(RawData!A2:A1201)</f>
        <v>0</v>
      </c>
      <c r="C6" s="10">
        <f t="shared" ref="C6:C19" si="0">B6/1200</f>
        <v>0</v>
      </c>
      <c r="D6" s="9" t="str">
        <f t="shared" ref="D6:D19" si="1">IF(B6&gt;0,"Has nulls — review","Complete")</f>
        <v>Complete</v>
      </c>
    </row>
    <row r="7" spans="1:5" x14ac:dyDescent="0.3">
      <c r="A7" s="9" t="s">
        <v>17</v>
      </c>
      <c r="B7" s="9">
        <f>COUNTBLANK(RawData!B2:B1201)</f>
        <v>0</v>
      </c>
      <c r="C7" s="10">
        <f t="shared" si="0"/>
        <v>0</v>
      </c>
      <c r="D7" s="9" t="str">
        <f t="shared" si="1"/>
        <v>Complete</v>
      </c>
    </row>
    <row r="8" spans="1:5" x14ac:dyDescent="0.3">
      <c r="A8" s="9" t="s">
        <v>18</v>
      </c>
      <c r="B8" s="9">
        <f>COUNTBLANK(RawData!C2:C1201)</f>
        <v>0</v>
      </c>
      <c r="C8" s="10">
        <f t="shared" si="0"/>
        <v>0</v>
      </c>
      <c r="D8" s="9" t="str">
        <f t="shared" si="1"/>
        <v>Complete</v>
      </c>
    </row>
    <row r="9" spans="1:5" x14ac:dyDescent="0.3">
      <c r="A9" s="9" t="s">
        <v>19</v>
      </c>
      <c r="B9" s="9">
        <f>COUNTBLANK(RawData!D2:D1201)</f>
        <v>0</v>
      </c>
      <c r="C9" s="10">
        <f t="shared" si="0"/>
        <v>0</v>
      </c>
      <c r="D9" s="9" t="str">
        <f t="shared" si="1"/>
        <v>Complete</v>
      </c>
    </row>
    <row r="10" spans="1:5" x14ac:dyDescent="0.3">
      <c r="A10" s="9" t="s">
        <v>20</v>
      </c>
      <c r="B10" s="9">
        <f>COUNTBLANK(RawData!E2:E1201)</f>
        <v>0</v>
      </c>
      <c r="C10" s="10">
        <f t="shared" si="0"/>
        <v>0</v>
      </c>
      <c r="D10" s="9" t="str">
        <f t="shared" si="1"/>
        <v>Complete</v>
      </c>
    </row>
    <row r="11" spans="1:5" x14ac:dyDescent="0.3">
      <c r="A11" s="9" t="s">
        <v>21</v>
      </c>
      <c r="B11" s="9">
        <f>COUNTBLANK(RawData!F2:F1201)</f>
        <v>0</v>
      </c>
      <c r="C11" s="10">
        <f t="shared" si="0"/>
        <v>0</v>
      </c>
      <c r="D11" s="9" t="str">
        <f t="shared" si="1"/>
        <v>Complete</v>
      </c>
    </row>
    <row r="12" spans="1:5" x14ac:dyDescent="0.3">
      <c r="A12" s="9" t="s">
        <v>22</v>
      </c>
      <c r="B12" s="9">
        <f>COUNTBLANK(RawData!G2:G1201)</f>
        <v>0</v>
      </c>
      <c r="C12" s="10">
        <f t="shared" si="0"/>
        <v>0</v>
      </c>
      <c r="D12" s="9" t="str">
        <f t="shared" si="1"/>
        <v>Complete</v>
      </c>
    </row>
    <row r="13" spans="1:5" x14ac:dyDescent="0.3">
      <c r="A13" s="9" t="s">
        <v>23</v>
      </c>
      <c r="B13" s="9">
        <f>COUNTBLANK(RawData!H2:H1201)</f>
        <v>0</v>
      </c>
      <c r="C13" s="10">
        <f t="shared" si="0"/>
        <v>0</v>
      </c>
      <c r="D13" s="9" t="str">
        <f t="shared" si="1"/>
        <v>Complete</v>
      </c>
    </row>
    <row r="14" spans="1:5" x14ac:dyDescent="0.3">
      <c r="A14" s="9" t="s">
        <v>24</v>
      </c>
      <c r="B14" s="9">
        <f>COUNTBLANK(RawData!I2:I1201)</f>
        <v>0</v>
      </c>
      <c r="C14" s="10">
        <f t="shared" si="0"/>
        <v>0</v>
      </c>
      <c r="D14" s="9" t="str">
        <f t="shared" si="1"/>
        <v>Complete</v>
      </c>
    </row>
    <row r="15" spans="1:5" x14ac:dyDescent="0.3">
      <c r="A15" s="9" t="s">
        <v>25</v>
      </c>
      <c r="B15" s="9">
        <f>COUNTBLANK(RawData!J2:J1201)</f>
        <v>0</v>
      </c>
      <c r="C15" s="10">
        <f t="shared" si="0"/>
        <v>0</v>
      </c>
      <c r="D15" s="9" t="str">
        <f t="shared" si="1"/>
        <v>Complete</v>
      </c>
    </row>
    <row r="16" spans="1:5" x14ac:dyDescent="0.3">
      <c r="A16" s="9" t="s">
        <v>26</v>
      </c>
      <c r="B16" s="9">
        <f>COUNTBLANK(RawData!K2:K1201)</f>
        <v>0</v>
      </c>
      <c r="C16" s="10">
        <f t="shared" si="0"/>
        <v>0</v>
      </c>
      <c r="D16" s="9" t="str">
        <f t="shared" si="1"/>
        <v>Complete</v>
      </c>
    </row>
    <row r="17" spans="1:4" x14ac:dyDescent="0.3">
      <c r="A17" s="9" t="s">
        <v>27</v>
      </c>
      <c r="B17" s="9">
        <f>COUNTBLANK(RawData!L2:L1201)</f>
        <v>309</v>
      </c>
      <c r="C17" s="10">
        <f t="shared" si="0"/>
        <v>0.25750000000000001</v>
      </c>
      <c r="D17" s="9" t="str">
        <f t="shared" si="1"/>
        <v>Has nulls — review</v>
      </c>
    </row>
    <row r="18" spans="1:4" x14ac:dyDescent="0.3">
      <c r="A18" s="9" t="s">
        <v>28</v>
      </c>
      <c r="B18" s="9">
        <f>COUNTBLANK(RawData!M2:M1201)</f>
        <v>0</v>
      </c>
      <c r="C18" s="10">
        <f t="shared" si="0"/>
        <v>0</v>
      </c>
      <c r="D18" s="9" t="str">
        <f t="shared" si="1"/>
        <v>Complete</v>
      </c>
    </row>
    <row r="19" spans="1:4" x14ac:dyDescent="0.3">
      <c r="A19" s="9" t="s">
        <v>29</v>
      </c>
      <c r="B19" s="9">
        <f>COUNTBLANK(RawData!N2:N1201)</f>
        <v>0</v>
      </c>
      <c r="C19" s="10">
        <f t="shared" si="0"/>
        <v>0</v>
      </c>
      <c r="D19" s="9" t="str">
        <f t="shared" si="1"/>
        <v>Complete</v>
      </c>
    </row>
    <row r="21" spans="1:4" ht="15.6" x14ac:dyDescent="0.3">
      <c r="A21" s="6" t="s">
        <v>4306</v>
      </c>
    </row>
    <row r="22" spans="1:4" x14ac:dyDescent="0.3">
      <c r="A22" s="4" t="s">
        <v>4307</v>
      </c>
      <c r="B22" s="4" t="s">
        <v>4308</v>
      </c>
      <c r="C22" s="4" t="s">
        <v>4305</v>
      </c>
    </row>
    <row r="23" spans="1:4" x14ac:dyDescent="0.3">
      <c r="A23" s="9" t="s">
        <v>4309</v>
      </c>
      <c r="B23" s="9">
        <f>COUNTA(RawData!A2:A1201)-SUMPRODUCT((RawData!A2:A1201&lt;&gt;"")/COUNTIF(RawData!A2:A1201,RawData!A2:A1201&amp;""))</f>
        <v>0</v>
      </c>
      <c r="C23" s="9" t="str">
        <f>IF(B23=0,"None found","Review duplicates")</f>
        <v>None found</v>
      </c>
    </row>
    <row r="24" spans="1:4" x14ac:dyDescent="0.3">
      <c r="A24" s="9" t="s">
        <v>4310</v>
      </c>
      <c r="B24" s="9">
        <f>COUNTA(RawData!J2:J1201)-SUMPRODUCT((RawData!J2:J1201&lt;&gt;"")/COUNTIF(RawData!J2:J1201,RawData!J2:J1201&amp;""))</f>
        <v>0</v>
      </c>
      <c r="C24" s="9" t="str">
        <f>IF(B24=0,"None found","Review duplicates")</f>
        <v>None found</v>
      </c>
    </row>
    <row r="26" spans="1:4" ht="15.6" x14ac:dyDescent="0.3">
      <c r="A26" s="6" t="s">
        <v>4311</v>
      </c>
    </row>
    <row r="27" spans="1:4" x14ac:dyDescent="0.3">
      <c r="A27" s="4" t="s">
        <v>4307</v>
      </c>
      <c r="B27" s="4" t="s">
        <v>4308</v>
      </c>
      <c r="C27" s="4" t="s">
        <v>4305</v>
      </c>
    </row>
    <row r="28" spans="1:4" x14ac:dyDescent="0.3">
      <c r="A28" s="9" t="s">
        <v>4312</v>
      </c>
      <c r="B28" s="9">
        <f>SUMPRODUCT(--(ROUND(RawData!E2:E1201*RawData!F2:F1201,2)&lt;&gt;ROUND(RawData!N2:N1201,2)))</f>
        <v>0</v>
      </c>
      <c r="C28" s="9" t="str">
        <f>IF(B28=0,"Consistent","Review mismatches")</f>
        <v>Consistent</v>
      </c>
    </row>
    <row r="29" spans="1:4" x14ac:dyDescent="0.3">
      <c r="A29" s="9" t="s">
        <v>4313</v>
      </c>
      <c r="B29" s="9">
        <f>COUNTIF(RawData!E2:E1201,"&lt;=0")</f>
        <v>0</v>
      </c>
      <c r="C29" s="9" t="str">
        <f>IF(B29=0,"Valid","Review")</f>
        <v>Valid</v>
      </c>
    </row>
    <row r="30" spans="1:4" x14ac:dyDescent="0.3">
      <c r="A30" s="9" t="s">
        <v>4314</v>
      </c>
      <c r="B30" s="9">
        <f>COUNTIF(RawData!F2:F1201,"&lt;=0")</f>
        <v>0</v>
      </c>
      <c r="C30" s="9" t="str">
        <f>IF(B30=0,"Valid","Review")</f>
        <v>Valid</v>
      </c>
    </row>
    <row r="31" spans="1:4" x14ac:dyDescent="0.3">
      <c r="A31" s="9" t="s">
        <v>4315</v>
      </c>
      <c r="B31" s="9">
        <f>COUNTIFS(RawData!B2:B1201,"&lt;"&amp;DATE(2023,1,1))+COUNTIFS(RawData!B2:B1201,"&gt;"&amp;DATE(2025,12,31))</f>
        <v>0</v>
      </c>
      <c r="C31" s="9" t="str">
        <f>IF(B31=0,"Valid","Review")</f>
        <v>Valid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6" width="14" customWidth="1"/>
    <col min="7" max="7" width="19" customWidth="1"/>
    <col min="8" max="8" width="17" customWidth="1"/>
    <col min="9" max="9" width="15" customWidth="1"/>
    <col min="10" max="10" width="18" customWidth="1"/>
    <col min="11" max="11" width="15" customWidth="1"/>
    <col min="12" max="12" width="14" customWidth="1"/>
    <col min="13" max="13" width="18" customWidth="1"/>
    <col min="14" max="14" width="14" customWidth="1"/>
  </cols>
  <sheetData>
    <row r="1" spans="1:14" x14ac:dyDescent="0.3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</row>
    <row r="2" spans="1:14" x14ac:dyDescent="0.3">
      <c r="A2" s="7" t="str">
        <f>RawData!A2</f>
        <v>ORD200000</v>
      </c>
      <c r="B2" s="11">
        <f>RawData!B2</f>
        <v>44930</v>
      </c>
      <c r="C2" s="7" t="str">
        <f>RawData!C2</f>
        <v>C72649</v>
      </c>
      <c r="D2" s="7" t="str">
        <f>RawData!D2</f>
        <v>Monitor</v>
      </c>
      <c r="E2" s="7">
        <f>RawData!E2</f>
        <v>5</v>
      </c>
      <c r="F2" s="7">
        <f>RawData!F2</f>
        <v>570.62</v>
      </c>
      <c r="G2" s="7" t="str">
        <f>RawData!G2</f>
        <v>928 Main St</v>
      </c>
      <c r="H2" s="7" t="str">
        <f>RawData!H2</f>
        <v>Debit Card</v>
      </c>
      <c r="I2" s="7" t="str">
        <f>RawData!I2</f>
        <v>Shipped</v>
      </c>
      <c r="J2" s="7" t="str">
        <f>RawData!J2</f>
        <v>TRK37947903</v>
      </c>
      <c r="K2" s="7">
        <f>RawData!K2</f>
        <v>7</v>
      </c>
      <c r="L2" s="7" t="str">
        <f>IF(RawData!L2="","No Coupon",RawData!L2)</f>
        <v>SAVE10</v>
      </c>
      <c r="M2" s="7" t="str">
        <f>RawData!M2</f>
        <v>Instagram</v>
      </c>
      <c r="N2" s="7">
        <f>RawData!N2</f>
        <v>2853.1</v>
      </c>
    </row>
    <row r="3" spans="1:14" x14ac:dyDescent="0.3">
      <c r="A3" s="7" t="str">
        <f>RawData!A3</f>
        <v>ORD200001</v>
      </c>
      <c r="B3" s="11">
        <f>RawData!B3</f>
        <v>45527</v>
      </c>
      <c r="C3" s="7" t="str">
        <f>RawData!C3</f>
        <v>C75739</v>
      </c>
      <c r="D3" s="7" t="str">
        <f>RawData!D3</f>
        <v>Phone</v>
      </c>
      <c r="E3" s="7">
        <f>RawData!E3</f>
        <v>2</v>
      </c>
      <c r="F3" s="7">
        <f>RawData!F3</f>
        <v>151.35</v>
      </c>
      <c r="G3" s="7" t="str">
        <f>RawData!G3</f>
        <v>823 Main St</v>
      </c>
      <c r="H3" s="7" t="str">
        <f>RawData!H3</f>
        <v>Online</v>
      </c>
      <c r="I3" s="7" t="str">
        <f>RawData!I3</f>
        <v>Shipped</v>
      </c>
      <c r="J3" s="7" t="str">
        <f>RawData!J3</f>
        <v>TRK91186779</v>
      </c>
      <c r="K3" s="7">
        <f>RawData!K3</f>
        <v>3</v>
      </c>
      <c r="L3" s="7" t="str">
        <f>IF(RawData!L3="","No Coupon",RawData!L3)</f>
        <v>SAVE10</v>
      </c>
      <c r="M3" s="7" t="str">
        <f>RawData!M3</f>
        <v>Referral</v>
      </c>
      <c r="N3" s="7">
        <f>RawData!N3</f>
        <v>302.7</v>
      </c>
    </row>
    <row r="4" spans="1:14" x14ac:dyDescent="0.3">
      <c r="A4" s="7" t="str">
        <f>RawData!A4</f>
        <v>ORD200002</v>
      </c>
      <c r="B4" s="11">
        <f>RawData!B4</f>
        <v>45349</v>
      </c>
      <c r="C4" s="7" t="str">
        <f>RawData!C4</f>
        <v>C81728</v>
      </c>
      <c r="D4" s="7" t="str">
        <f>RawData!D4</f>
        <v>Tablet</v>
      </c>
      <c r="E4" s="7">
        <f>RawData!E4</f>
        <v>5</v>
      </c>
      <c r="F4" s="7">
        <f>RawData!F4</f>
        <v>550.67999999999995</v>
      </c>
      <c r="G4" s="7" t="str">
        <f>RawData!G4</f>
        <v>512 Main St</v>
      </c>
      <c r="H4" s="7" t="str">
        <f>RawData!H4</f>
        <v>Credit Card</v>
      </c>
      <c r="I4" s="7" t="str">
        <f>RawData!I4</f>
        <v>Cancelled</v>
      </c>
      <c r="J4" s="7" t="str">
        <f>RawData!J4</f>
        <v>TRK42903982</v>
      </c>
      <c r="K4" s="7">
        <f>RawData!K4</f>
        <v>8</v>
      </c>
      <c r="L4" s="7" t="str">
        <f>IF(RawData!L4="","No Coupon",RawData!L4)</f>
        <v>FREESHIP</v>
      </c>
      <c r="M4" s="7" t="str">
        <f>RawData!M4</f>
        <v>Email</v>
      </c>
      <c r="N4" s="7">
        <f>RawData!N4</f>
        <v>2753.4</v>
      </c>
    </row>
    <row r="5" spans="1:14" x14ac:dyDescent="0.3">
      <c r="A5" s="7" t="str">
        <f>RawData!A5</f>
        <v>ORD200003</v>
      </c>
      <c r="B5" s="11">
        <f>RawData!B5</f>
        <v>45214</v>
      </c>
      <c r="C5" s="7" t="str">
        <f>RawData!C5</f>
        <v>C33540</v>
      </c>
      <c r="D5" s="7" t="str">
        <f>RawData!D5</f>
        <v>Chair</v>
      </c>
      <c r="E5" s="7">
        <f>RawData!E5</f>
        <v>1</v>
      </c>
      <c r="F5" s="7">
        <f>RawData!F5</f>
        <v>273.19</v>
      </c>
      <c r="G5" s="7" t="str">
        <f>RawData!G5</f>
        <v>275 Main St</v>
      </c>
      <c r="H5" s="7" t="str">
        <f>RawData!H5</f>
        <v>Debit Card</v>
      </c>
      <c r="I5" s="7" t="str">
        <f>RawData!I5</f>
        <v>Returned</v>
      </c>
      <c r="J5" s="7" t="str">
        <f>RawData!J5</f>
        <v>TRK62788070</v>
      </c>
      <c r="K5" s="7">
        <f>RawData!K5</f>
        <v>5</v>
      </c>
      <c r="L5" s="7" t="str">
        <f>IF(RawData!L5="","No Coupon",RawData!L5)</f>
        <v>SAVE10</v>
      </c>
      <c r="M5" s="7" t="str">
        <f>RawData!M5</f>
        <v>Facebook</v>
      </c>
      <c r="N5" s="7">
        <f>RawData!N5</f>
        <v>273.19</v>
      </c>
    </row>
    <row r="6" spans="1:14" x14ac:dyDescent="0.3">
      <c r="A6" s="7" t="str">
        <f>RawData!A6</f>
        <v>ORD200004</v>
      </c>
      <c r="B6" s="11">
        <f>RawData!B6</f>
        <v>45785</v>
      </c>
      <c r="C6" s="7" t="str">
        <f>RawData!C6</f>
        <v>C81840</v>
      </c>
      <c r="D6" s="7" t="str">
        <f>RawData!D6</f>
        <v>Printer</v>
      </c>
      <c r="E6" s="7">
        <f>RawData!E6</f>
        <v>4</v>
      </c>
      <c r="F6" s="7">
        <f>RawData!F6</f>
        <v>626.01</v>
      </c>
      <c r="G6" s="7" t="str">
        <f>RawData!G6</f>
        <v>668 Main St</v>
      </c>
      <c r="H6" s="7" t="str">
        <f>RawData!H6</f>
        <v>Online</v>
      </c>
      <c r="I6" s="7" t="str">
        <f>RawData!I6</f>
        <v>Delivered</v>
      </c>
      <c r="J6" s="7" t="str">
        <f>RawData!J6</f>
        <v>TRK29241424</v>
      </c>
      <c r="K6" s="7">
        <f>RawData!K6</f>
        <v>8</v>
      </c>
      <c r="L6" s="7" t="str">
        <f>IF(RawData!L6="","No Coupon",RawData!L6)</f>
        <v>SAVE10</v>
      </c>
      <c r="M6" s="7" t="str">
        <f>RawData!M6</f>
        <v>Email</v>
      </c>
      <c r="N6" s="7">
        <f>RawData!N6</f>
        <v>2504.04</v>
      </c>
    </row>
    <row r="7" spans="1:14" x14ac:dyDescent="0.3">
      <c r="A7" s="7" t="str">
        <f>RawData!A7</f>
        <v>ORD200005</v>
      </c>
      <c r="B7" s="11">
        <f>RawData!B7</f>
        <v>45222</v>
      </c>
      <c r="C7" s="7" t="str">
        <f>RawData!C7</f>
        <v>C37249</v>
      </c>
      <c r="D7" s="7" t="str">
        <f>RawData!D7</f>
        <v>Phone</v>
      </c>
      <c r="E7" s="7">
        <f>RawData!E7</f>
        <v>2</v>
      </c>
      <c r="F7" s="7">
        <f>RawData!F7</f>
        <v>245.86</v>
      </c>
      <c r="G7" s="7" t="str">
        <f>RawData!G7</f>
        <v>934 Main St</v>
      </c>
      <c r="H7" s="7" t="str">
        <f>RawData!H7</f>
        <v>Credit Card</v>
      </c>
      <c r="I7" s="7" t="str">
        <f>RawData!I7</f>
        <v>Shipped</v>
      </c>
      <c r="J7" s="7" t="str">
        <f>RawData!J7</f>
        <v>TRK72976927</v>
      </c>
      <c r="K7" s="7">
        <f>RawData!K7</f>
        <v>4</v>
      </c>
      <c r="L7" s="7" t="str">
        <f>IF(RawData!L7="","No Coupon",RawData!L7)</f>
        <v>SAVE10</v>
      </c>
      <c r="M7" s="7" t="str">
        <f>RawData!M7</f>
        <v>Instagram</v>
      </c>
      <c r="N7" s="7">
        <f>RawData!N7</f>
        <v>491.72</v>
      </c>
    </row>
    <row r="8" spans="1:14" x14ac:dyDescent="0.3">
      <c r="A8" s="7" t="str">
        <f>RawData!A8</f>
        <v>ORD200006</v>
      </c>
      <c r="B8" s="11">
        <f>RawData!B8</f>
        <v>45825</v>
      </c>
      <c r="C8" s="7" t="str">
        <f>RawData!C8</f>
        <v>C83492</v>
      </c>
      <c r="D8" s="7" t="str">
        <f>RawData!D8</f>
        <v>Laptop</v>
      </c>
      <c r="E8" s="7">
        <f>RawData!E8</f>
        <v>1</v>
      </c>
      <c r="F8" s="7">
        <f>RawData!F8</f>
        <v>664.42</v>
      </c>
      <c r="G8" s="7" t="str">
        <f>RawData!G8</f>
        <v>986 Main St</v>
      </c>
      <c r="H8" s="7" t="str">
        <f>RawData!H8</f>
        <v>Gift Card</v>
      </c>
      <c r="I8" s="7" t="str">
        <f>RawData!I8</f>
        <v>Returned</v>
      </c>
      <c r="J8" s="7" t="str">
        <f>RawData!J8</f>
        <v>TRK96417362</v>
      </c>
      <c r="K8" s="7">
        <f>RawData!K8</f>
        <v>6</v>
      </c>
      <c r="L8" s="7" t="str">
        <f>IF(RawData!L8="","No Coupon",RawData!L8)</f>
        <v>SAVE10</v>
      </c>
      <c r="M8" s="7" t="str">
        <f>RawData!M8</f>
        <v>Facebook</v>
      </c>
      <c r="N8" s="7">
        <f>RawData!N8</f>
        <v>664.42</v>
      </c>
    </row>
    <row r="9" spans="1:14" x14ac:dyDescent="0.3">
      <c r="A9" s="7" t="str">
        <f>RawData!A9</f>
        <v>ORD200007</v>
      </c>
      <c r="B9" s="11">
        <f>RawData!B9</f>
        <v>45058</v>
      </c>
      <c r="C9" s="7" t="str">
        <f>RawData!C9</f>
        <v>C41460</v>
      </c>
      <c r="D9" s="7" t="str">
        <f>RawData!D9</f>
        <v>Monitor</v>
      </c>
      <c r="E9" s="7">
        <f>RawData!E9</f>
        <v>5</v>
      </c>
      <c r="F9" s="7">
        <f>RawData!F9</f>
        <v>149.55000000000001</v>
      </c>
      <c r="G9" s="7" t="str">
        <f>RawData!G9</f>
        <v>706 Main St</v>
      </c>
      <c r="H9" s="7" t="str">
        <f>RawData!H9</f>
        <v>Cash</v>
      </c>
      <c r="I9" s="7" t="str">
        <f>RawData!I9</f>
        <v>Shipped</v>
      </c>
      <c r="J9" s="7" t="str">
        <f>RawData!J9</f>
        <v>TRK78809193</v>
      </c>
      <c r="K9" s="7">
        <f>RawData!K9</f>
        <v>9</v>
      </c>
      <c r="L9" s="7" t="str">
        <f>IF(RawData!L9="","No Coupon",RawData!L9)</f>
        <v>FREESHIP</v>
      </c>
      <c r="M9" s="7" t="str">
        <f>RawData!M9</f>
        <v>Facebook</v>
      </c>
      <c r="N9" s="7">
        <f>RawData!N9</f>
        <v>747.75</v>
      </c>
    </row>
    <row r="10" spans="1:14" x14ac:dyDescent="0.3">
      <c r="A10" s="7" t="str">
        <f>RawData!A10</f>
        <v>ORD200008</v>
      </c>
      <c r="B10" s="11">
        <f>RawData!B10</f>
        <v>45749</v>
      </c>
      <c r="C10" s="7" t="str">
        <f>RawData!C10</f>
        <v>C26817</v>
      </c>
      <c r="D10" s="7" t="str">
        <f>RawData!D10</f>
        <v>Phone</v>
      </c>
      <c r="E10" s="7">
        <f>RawData!E10</f>
        <v>2</v>
      </c>
      <c r="F10" s="7">
        <f>RawData!F10</f>
        <v>134.28</v>
      </c>
      <c r="G10" s="7" t="str">
        <f>RawData!G10</f>
        <v>904 Main St</v>
      </c>
      <c r="H10" s="7" t="str">
        <f>RawData!H10</f>
        <v>Gift Card</v>
      </c>
      <c r="I10" s="7" t="str">
        <f>RawData!I10</f>
        <v>Cancelled</v>
      </c>
      <c r="J10" s="7" t="str">
        <f>RawData!J10</f>
        <v>TRK61042692</v>
      </c>
      <c r="K10" s="7">
        <f>RawData!K10</f>
        <v>2</v>
      </c>
      <c r="L10" s="7" t="str">
        <f>IF(RawData!L10="","No Coupon",RawData!L10)</f>
        <v>No Coupon</v>
      </c>
      <c r="M10" s="7" t="str">
        <f>RawData!M10</f>
        <v>Email</v>
      </c>
      <c r="N10" s="7">
        <f>RawData!N10</f>
        <v>268.56</v>
      </c>
    </row>
    <row r="11" spans="1:14" x14ac:dyDescent="0.3">
      <c r="A11" s="7" t="str">
        <f>RawData!A11</f>
        <v>ORD200009</v>
      </c>
      <c r="B11" s="11">
        <f>RawData!B11</f>
        <v>45251</v>
      </c>
      <c r="C11" s="7" t="str">
        <f>RawData!C11</f>
        <v>C31946</v>
      </c>
      <c r="D11" s="7" t="str">
        <f>RawData!D11</f>
        <v>Desk</v>
      </c>
      <c r="E11" s="7">
        <f>RawData!E11</f>
        <v>4</v>
      </c>
      <c r="F11" s="7">
        <f>RawData!F11</f>
        <v>509.38</v>
      </c>
      <c r="G11" s="7" t="str">
        <f>RawData!G11</f>
        <v>102 Main St</v>
      </c>
      <c r="H11" s="7" t="str">
        <f>RawData!H11</f>
        <v>Credit Card</v>
      </c>
      <c r="I11" s="7" t="str">
        <f>RawData!I11</f>
        <v>Shipped</v>
      </c>
      <c r="J11" s="7" t="str">
        <f>RawData!J11</f>
        <v>TRK33478363</v>
      </c>
      <c r="K11" s="7">
        <f>RawData!K11</f>
        <v>6</v>
      </c>
      <c r="L11" s="7" t="str">
        <f>IF(RawData!L11="","No Coupon",RawData!L11)</f>
        <v>SAVE10</v>
      </c>
      <c r="M11" s="7" t="str">
        <f>RawData!M11</f>
        <v>Google</v>
      </c>
      <c r="N11" s="7">
        <f>RawData!N11</f>
        <v>2037.52</v>
      </c>
    </row>
    <row r="12" spans="1:14" x14ac:dyDescent="0.3">
      <c r="A12" s="7" t="str">
        <f>RawData!A12</f>
        <v>ORD200010</v>
      </c>
      <c r="B12" s="11">
        <f>RawData!B12</f>
        <v>45289</v>
      </c>
      <c r="C12" s="7" t="str">
        <f>RawData!C12</f>
        <v>C43443</v>
      </c>
      <c r="D12" s="7" t="str">
        <f>RawData!D12</f>
        <v>Tablet</v>
      </c>
      <c r="E12" s="7">
        <f>RawData!E12</f>
        <v>5</v>
      </c>
      <c r="F12" s="7">
        <f>RawData!F12</f>
        <v>625.97</v>
      </c>
      <c r="G12" s="7" t="str">
        <f>RawData!G12</f>
        <v>333 Main St</v>
      </c>
      <c r="H12" s="7" t="str">
        <f>RawData!H12</f>
        <v>Credit Card</v>
      </c>
      <c r="I12" s="7" t="str">
        <f>RawData!I12</f>
        <v>Returned</v>
      </c>
      <c r="J12" s="7" t="str">
        <f>RawData!J12</f>
        <v>TRK98859248</v>
      </c>
      <c r="K12" s="7">
        <f>RawData!K12</f>
        <v>9</v>
      </c>
      <c r="L12" s="7" t="str">
        <f>IF(RawData!L12="","No Coupon",RawData!L12)</f>
        <v>WINTER15</v>
      </c>
      <c r="M12" s="7" t="str">
        <f>RawData!M12</f>
        <v>Instagram</v>
      </c>
      <c r="N12" s="7">
        <f>RawData!N12</f>
        <v>3129.85</v>
      </c>
    </row>
    <row r="13" spans="1:14" x14ac:dyDescent="0.3">
      <c r="A13" s="7" t="str">
        <f>RawData!A13</f>
        <v>ORD200011</v>
      </c>
      <c r="B13" s="11">
        <f>RawData!B13</f>
        <v>45339</v>
      </c>
      <c r="C13" s="7" t="str">
        <f>RawData!C13</f>
        <v>C93861</v>
      </c>
      <c r="D13" s="7" t="str">
        <f>RawData!D13</f>
        <v>Monitor</v>
      </c>
      <c r="E13" s="7">
        <f>RawData!E13</f>
        <v>3</v>
      </c>
      <c r="F13" s="7">
        <f>RawData!F13</f>
        <v>49.14</v>
      </c>
      <c r="G13" s="7" t="str">
        <f>RawData!G13</f>
        <v>831 Main St</v>
      </c>
      <c r="H13" s="7" t="str">
        <f>RawData!H13</f>
        <v>Online</v>
      </c>
      <c r="I13" s="7" t="str">
        <f>RawData!I13</f>
        <v>Returned</v>
      </c>
      <c r="J13" s="7" t="str">
        <f>RawData!J13</f>
        <v>TRK48234646</v>
      </c>
      <c r="K13" s="7">
        <f>RawData!K13</f>
        <v>7</v>
      </c>
      <c r="L13" s="7" t="str">
        <f>IF(RawData!L13="","No Coupon",RawData!L13)</f>
        <v>SAVE10</v>
      </c>
      <c r="M13" s="7" t="str">
        <f>RawData!M13</f>
        <v>Email</v>
      </c>
      <c r="N13" s="7">
        <f>RawData!N13</f>
        <v>147.41999999999999</v>
      </c>
    </row>
    <row r="14" spans="1:14" x14ac:dyDescent="0.3">
      <c r="A14" s="7" t="str">
        <f>RawData!A14</f>
        <v>ORD200012</v>
      </c>
      <c r="B14" s="11">
        <f>RawData!B14</f>
        <v>45580</v>
      </c>
      <c r="C14" s="7" t="str">
        <f>RawData!C14</f>
        <v>C38785</v>
      </c>
      <c r="D14" s="7" t="str">
        <f>RawData!D14</f>
        <v>Monitor</v>
      </c>
      <c r="E14" s="7">
        <f>RawData!E14</f>
        <v>2</v>
      </c>
      <c r="F14" s="7">
        <f>RawData!F14</f>
        <v>180.5</v>
      </c>
      <c r="G14" s="7" t="str">
        <f>RawData!G14</f>
        <v>179 Main St</v>
      </c>
      <c r="H14" s="7" t="str">
        <f>RawData!H14</f>
        <v>Debit Card</v>
      </c>
      <c r="I14" s="7" t="str">
        <f>RawData!I14</f>
        <v>Pending</v>
      </c>
      <c r="J14" s="7" t="str">
        <f>RawData!J14</f>
        <v>TRK20419991</v>
      </c>
      <c r="K14" s="7">
        <f>RawData!K14</f>
        <v>6</v>
      </c>
      <c r="L14" s="7" t="str">
        <f>IF(RawData!L14="","No Coupon",RawData!L14)</f>
        <v>FREESHIP</v>
      </c>
      <c r="M14" s="7" t="str">
        <f>RawData!M14</f>
        <v>Referral</v>
      </c>
      <c r="N14" s="7">
        <f>RawData!N14</f>
        <v>361</v>
      </c>
    </row>
    <row r="15" spans="1:14" x14ac:dyDescent="0.3">
      <c r="A15" s="7" t="str">
        <f>RawData!A15</f>
        <v>ORD200013</v>
      </c>
      <c r="B15" s="11">
        <f>RawData!B15</f>
        <v>45168</v>
      </c>
      <c r="C15" s="7" t="str">
        <f>RawData!C15</f>
        <v>C88348</v>
      </c>
      <c r="D15" s="7" t="str">
        <f>RawData!D15</f>
        <v>Laptop</v>
      </c>
      <c r="E15" s="7">
        <f>RawData!E15</f>
        <v>3</v>
      </c>
      <c r="F15" s="7">
        <f>RawData!F15</f>
        <v>201.49</v>
      </c>
      <c r="G15" s="7" t="str">
        <f>RawData!G15</f>
        <v>903 Main St</v>
      </c>
      <c r="H15" s="7" t="str">
        <f>RawData!H15</f>
        <v>Credit Card</v>
      </c>
      <c r="I15" s="7" t="str">
        <f>RawData!I15</f>
        <v>Returned</v>
      </c>
      <c r="J15" s="7" t="str">
        <f>RawData!J15</f>
        <v>TRK81913874</v>
      </c>
      <c r="K15" s="7">
        <f>RawData!K15</f>
        <v>4</v>
      </c>
      <c r="L15" s="7" t="str">
        <f>IF(RawData!L15="","No Coupon",RawData!L15)</f>
        <v>FREESHIP</v>
      </c>
      <c r="M15" s="7" t="str">
        <f>RawData!M15</f>
        <v>Facebook</v>
      </c>
      <c r="N15" s="7">
        <f>RawData!N15</f>
        <v>604.47</v>
      </c>
    </row>
    <row r="16" spans="1:14" x14ac:dyDescent="0.3">
      <c r="A16" s="7" t="str">
        <f>RawData!A16</f>
        <v>ORD200014</v>
      </c>
      <c r="B16" s="11">
        <f>RawData!B16</f>
        <v>45012</v>
      </c>
      <c r="C16" s="7" t="str">
        <f>RawData!C16</f>
        <v>C98474</v>
      </c>
      <c r="D16" s="7" t="str">
        <f>RawData!D16</f>
        <v>Tablet</v>
      </c>
      <c r="E16" s="7">
        <f>RawData!E16</f>
        <v>2</v>
      </c>
      <c r="F16" s="7">
        <f>RawData!F16</f>
        <v>393.33</v>
      </c>
      <c r="G16" s="7" t="str">
        <f>RawData!G16</f>
        <v>980 Main St</v>
      </c>
      <c r="H16" s="7" t="str">
        <f>RawData!H16</f>
        <v>Debit Card</v>
      </c>
      <c r="I16" s="7" t="str">
        <f>RawData!I16</f>
        <v>Pending</v>
      </c>
      <c r="J16" s="7" t="str">
        <f>RawData!J16</f>
        <v>TRK79186539</v>
      </c>
      <c r="K16" s="7">
        <f>RawData!K16</f>
        <v>3</v>
      </c>
      <c r="L16" s="7" t="str">
        <f>IF(RawData!L16="","No Coupon",RawData!L16)</f>
        <v>SAVE10</v>
      </c>
      <c r="M16" s="7" t="str">
        <f>RawData!M16</f>
        <v>Instagram</v>
      </c>
      <c r="N16" s="7">
        <f>RawData!N16</f>
        <v>786.66</v>
      </c>
    </row>
    <row r="17" spans="1:14" x14ac:dyDescent="0.3">
      <c r="A17" s="7" t="str">
        <f>RawData!A17</f>
        <v>ORD200015</v>
      </c>
      <c r="B17" s="11">
        <f>RawData!B17</f>
        <v>45124</v>
      </c>
      <c r="C17" s="7" t="str">
        <f>RawData!C17</f>
        <v>C39416</v>
      </c>
      <c r="D17" s="7" t="str">
        <f>RawData!D17</f>
        <v>Printer</v>
      </c>
      <c r="E17" s="7">
        <f>RawData!E17</f>
        <v>1</v>
      </c>
      <c r="F17" s="7">
        <f>RawData!F17</f>
        <v>473.96</v>
      </c>
      <c r="G17" s="7" t="str">
        <f>RawData!G17</f>
        <v>942 Main St</v>
      </c>
      <c r="H17" s="7" t="str">
        <f>RawData!H17</f>
        <v>Cash</v>
      </c>
      <c r="I17" s="7" t="str">
        <f>RawData!I17</f>
        <v>Delivered</v>
      </c>
      <c r="J17" s="7" t="str">
        <f>RawData!J17</f>
        <v>TRK54930938</v>
      </c>
      <c r="K17" s="7">
        <f>RawData!K17</f>
        <v>3</v>
      </c>
      <c r="L17" s="7" t="str">
        <f>IF(RawData!L17="","No Coupon",RawData!L17)</f>
        <v>No Coupon</v>
      </c>
      <c r="M17" s="7" t="str">
        <f>RawData!M17</f>
        <v>Google</v>
      </c>
      <c r="N17" s="7">
        <f>RawData!N17</f>
        <v>473.96</v>
      </c>
    </row>
    <row r="18" spans="1:14" x14ac:dyDescent="0.3">
      <c r="A18" s="7" t="str">
        <f>RawData!A18</f>
        <v>ORD200016</v>
      </c>
      <c r="B18" s="11">
        <f>RawData!B18</f>
        <v>44950</v>
      </c>
      <c r="C18" s="7" t="str">
        <f>RawData!C18</f>
        <v>C28976</v>
      </c>
      <c r="D18" s="7" t="str">
        <f>RawData!D18</f>
        <v>Printer</v>
      </c>
      <c r="E18" s="7">
        <f>RawData!E18</f>
        <v>2</v>
      </c>
      <c r="F18" s="7">
        <f>RawData!F18</f>
        <v>533.80999999999995</v>
      </c>
      <c r="G18" s="7" t="str">
        <f>RawData!G18</f>
        <v>914 Main St</v>
      </c>
      <c r="H18" s="7" t="str">
        <f>RawData!H18</f>
        <v>Credit Card</v>
      </c>
      <c r="I18" s="7" t="str">
        <f>RawData!I18</f>
        <v>Pending</v>
      </c>
      <c r="J18" s="7" t="str">
        <f>RawData!J18</f>
        <v>TRK13194259</v>
      </c>
      <c r="K18" s="7">
        <f>RawData!K18</f>
        <v>3</v>
      </c>
      <c r="L18" s="7" t="str">
        <f>IF(RawData!L18="","No Coupon",RawData!L18)</f>
        <v>FREESHIP</v>
      </c>
      <c r="M18" s="7" t="str">
        <f>RawData!M18</f>
        <v>Email</v>
      </c>
      <c r="N18" s="7">
        <f>RawData!N18</f>
        <v>1067.6199999999999</v>
      </c>
    </row>
    <row r="19" spans="1:14" x14ac:dyDescent="0.3">
      <c r="A19" s="7" t="str">
        <f>RawData!A19</f>
        <v>ORD200017</v>
      </c>
      <c r="B19" s="11">
        <f>RawData!B19</f>
        <v>45353</v>
      </c>
      <c r="C19" s="7" t="str">
        <f>RawData!C19</f>
        <v>C60672</v>
      </c>
      <c r="D19" s="7" t="str">
        <f>RawData!D19</f>
        <v>Tablet</v>
      </c>
      <c r="E19" s="7">
        <f>RawData!E19</f>
        <v>1</v>
      </c>
      <c r="F19" s="7">
        <f>RawData!F19</f>
        <v>423.4</v>
      </c>
      <c r="G19" s="7" t="str">
        <f>RawData!G19</f>
        <v>382 Main St</v>
      </c>
      <c r="H19" s="7" t="str">
        <f>RawData!H19</f>
        <v>Debit Card</v>
      </c>
      <c r="I19" s="7" t="str">
        <f>RawData!I19</f>
        <v>Shipped</v>
      </c>
      <c r="J19" s="7" t="str">
        <f>RawData!J19</f>
        <v>TRK11972116</v>
      </c>
      <c r="K19" s="7">
        <f>RawData!K19</f>
        <v>3</v>
      </c>
      <c r="L19" s="7" t="str">
        <f>IF(RawData!L19="","No Coupon",RawData!L19)</f>
        <v>No Coupon</v>
      </c>
      <c r="M19" s="7" t="str">
        <f>RawData!M19</f>
        <v>Referral</v>
      </c>
      <c r="N19" s="7">
        <f>RawData!N19</f>
        <v>423.4</v>
      </c>
    </row>
    <row r="20" spans="1:14" x14ac:dyDescent="0.3">
      <c r="A20" s="7" t="str">
        <f>RawData!A20</f>
        <v>ORD200018</v>
      </c>
      <c r="B20" s="11">
        <f>RawData!B20</f>
        <v>45742</v>
      </c>
      <c r="C20" s="7" t="str">
        <f>RawData!C20</f>
        <v>C84329</v>
      </c>
      <c r="D20" s="7" t="str">
        <f>RawData!D20</f>
        <v>Desk</v>
      </c>
      <c r="E20" s="7">
        <f>RawData!E20</f>
        <v>1</v>
      </c>
      <c r="F20" s="7">
        <f>RawData!F20</f>
        <v>431.44</v>
      </c>
      <c r="G20" s="7" t="str">
        <f>RawData!G20</f>
        <v>891 Main St</v>
      </c>
      <c r="H20" s="7" t="str">
        <f>RawData!H20</f>
        <v>Gift Card</v>
      </c>
      <c r="I20" s="7" t="str">
        <f>RawData!I20</f>
        <v>Pending</v>
      </c>
      <c r="J20" s="7" t="str">
        <f>RawData!J20</f>
        <v>TRK65191045</v>
      </c>
      <c r="K20" s="7">
        <f>RawData!K20</f>
        <v>3</v>
      </c>
      <c r="L20" s="7" t="str">
        <f>IF(RawData!L20="","No Coupon",RawData!L20)</f>
        <v>SAVE10</v>
      </c>
      <c r="M20" s="7" t="str">
        <f>RawData!M20</f>
        <v>Facebook</v>
      </c>
      <c r="N20" s="7">
        <f>RawData!N20</f>
        <v>431.44</v>
      </c>
    </row>
    <row r="21" spans="1:14" x14ac:dyDescent="0.3">
      <c r="A21" s="7" t="str">
        <f>RawData!A21</f>
        <v>ORD200019</v>
      </c>
      <c r="B21" s="11">
        <f>RawData!B21</f>
        <v>44949</v>
      </c>
      <c r="C21" s="7" t="str">
        <f>RawData!C21</f>
        <v>C14552</v>
      </c>
      <c r="D21" s="7" t="str">
        <f>RawData!D21</f>
        <v>Monitor</v>
      </c>
      <c r="E21" s="7">
        <f>RawData!E21</f>
        <v>5</v>
      </c>
      <c r="F21" s="7">
        <f>RawData!F21</f>
        <v>224</v>
      </c>
      <c r="G21" s="7" t="str">
        <f>RawData!G21</f>
        <v>273 Main St</v>
      </c>
      <c r="H21" s="7" t="str">
        <f>RawData!H21</f>
        <v>Cash</v>
      </c>
      <c r="I21" s="7" t="str">
        <f>RawData!I21</f>
        <v>Returned</v>
      </c>
      <c r="J21" s="7" t="str">
        <f>RawData!J21</f>
        <v>TRK59101365</v>
      </c>
      <c r="K21" s="7">
        <f>RawData!K21</f>
        <v>9</v>
      </c>
      <c r="L21" s="7" t="str">
        <f>IF(RawData!L21="","No Coupon",RawData!L21)</f>
        <v>SAVE10</v>
      </c>
      <c r="M21" s="7" t="str">
        <f>RawData!M21</f>
        <v>Google</v>
      </c>
      <c r="N21" s="7">
        <f>RawData!N21</f>
        <v>1120</v>
      </c>
    </row>
    <row r="22" spans="1:14" x14ac:dyDescent="0.3">
      <c r="A22" s="7" t="str">
        <f>RawData!A22</f>
        <v>ORD200020</v>
      </c>
      <c r="B22" s="11">
        <f>RawData!B22</f>
        <v>45054</v>
      </c>
      <c r="C22" s="7" t="str">
        <f>RawData!C22</f>
        <v>C54829</v>
      </c>
      <c r="D22" s="7" t="str">
        <f>RawData!D22</f>
        <v>Chair</v>
      </c>
      <c r="E22" s="7">
        <f>RawData!E22</f>
        <v>5</v>
      </c>
      <c r="F22" s="7">
        <f>RawData!F22</f>
        <v>62.51</v>
      </c>
      <c r="G22" s="7" t="str">
        <f>RawData!G22</f>
        <v>587 Main St</v>
      </c>
      <c r="H22" s="7" t="str">
        <f>RawData!H22</f>
        <v>Cash</v>
      </c>
      <c r="I22" s="7" t="str">
        <f>RawData!I22</f>
        <v>Pending</v>
      </c>
      <c r="J22" s="7" t="str">
        <f>RawData!J22</f>
        <v>TRK16718651</v>
      </c>
      <c r="K22" s="7">
        <f>RawData!K22</f>
        <v>9</v>
      </c>
      <c r="L22" s="7" t="str">
        <f>IF(RawData!L22="","No Coupon",RawData!L22)</f>
        <v>WINTER15</v>
      </c>
      <c r="M22" s="7" t="str">
        <f>RawData!M22</f>
        <v>Instagram</v>
      </c>
      <c r="N22" s="7">
        <f>RawData!N22</f>
        <v>312.55</v>
      </c>
    </row>
    <row r="23" spans="1:14" x14ac:dyDescent="0.3">
      <c r="A23" s="7" t="str">
        <f>RawData!A23</f>
        <v>ORD200021</v>
      </c>
      <c r="B23" s="11">
        <f>RawData!B23</f>
        <v>45613</v>
      </c>
      <c r="C23" s="7" t="str">
        <f>RawData!C23</f>
        <v>C99023</v>
      </c>
      <c r="D23" s="7" t="str">
        <f>RawData!D23</f>
        <v>Monitor</v>
      </c>
      <c r="E23" s="7">
        <f>RawData!E23</f>
        <v>4</v>
      </c>
      <c r="F23" s="7">
        <f>RawData!F23</f>
        <v>342.95</v>
      </c>
      <c r="G23" s="7" t="str">
        <f>RawData!G23</f>
        <v>569 Main St</v>
      </c>
      <c r="H23" s="7" t="str">
        <f>RawData!H23</f>
        <v>Cash</v>
      </c>
      <c r="I23" s="7" t="str">
        <f>RawData!I23</f>
        <v>Delivered</v>
      </c>
      <c r="J23" s="7" t="str">
        <f>RawData!J23</f>
        <v>TRK52646983</v>
      </c>
      <c r="K23" s="7">
        <f>RawData!K23</f>
        <v>6</v>
      </c>
      <c r="L23" s="7" t="str">
        <f>IF(RawData!L23="","No Coupon",RawData!L23)</f>
        <v>No Coupon</v>
      </c>
      <c r="M23" s="7" t="str">
        <f>RawData!M23</f>
        <v>Google</v>
      </c>
      <c r="N23" s="7">
        <f>RawData!N23</f>
        <v>1371.8</v>
      </c>
    </row>
    <row r="24" spans="1:14" x14ac:dyDescent="0.3">
      <c r="A24" s="7" t="str">
        <f>RawData!A24</f>
        <v>ORD200022</v>
      </c>
      <c r="B24" s="11">
        <f>RawData!B24</f>
        <v>44955</v>
      </c>
      <c r="C24" s="7" t="str">
        <f>RawData!C24</f>
        <v>C34416</v>
      </c>
      <c r="D24" s="7" t="str">
        <f>RawData!D24</f>
        <v>Monitor</v>
      </c>
      <c r="E24" s="7">
        <f>RawData!E24</f>
        <v>2</v>
      </c>
      <c r="F24" s="7">
        <f>RawData!F24</f>
        <v>49.62</v>
      </c>
      <c r="G24" s="7" t="str">
        <f>RawData!G24</f>
        <v>633 Main St</v>
      </c>
      <c r="H24" s="7" t="str">
        <f>RawData!H24</f>
        <v>Online</v>
      </c>
      <c r="I24" s="7" t="str">
        <f>RawData!I24</f>
        <v>Pending</v>
      </c>
      <c r="J24" s="7" t="str">
        <f>RawData!J24</f>
        <v>TRK75937350</v>
      </c>
      <c r="K24" s="7">
        <f>RawData!K24</f>
        <v>2</v>
      </c>
      <c r="L24" s="7" t="str">
        <f>IF(RawData!L24="","No Coupon",RawData!L24)</f>
        <v>SAVE10</v>
      </c>
      <c r="M24" s="7" t="str">
        <f>RawData!M24</f>
        <v>Google</v>
      </c>
      <c r="N24" s="7">
        <f>RawData!N24</f>
        <v>99.24</v>
      </c>
    </row>
    <row r="25" spans="1:14" x14ac:dyDescent="0.3">
      <c r="A25" s="7" t="str">
        <f>RawData!A25</f>
        <v>ORD200023</v>
      </c>
      <c r="B25" s="11">
        <f>RawData!B25</f>
        <v>45756</v>
      </c>
      <c r="C25" s="7" t="str">
        <f>RawData!C25</f>
        <v>C42372</v>
      </c>
      <c r="D25" s="7" t="str">
        <f>RawData!D25</f>
        <v>Phone</v>
      </c>
      <c r="E25" s="7">
        <f>RawData!E25</f>
        <v>4</v>
      </c>
      <c r="F25" s="7">
        <f>RawData!F25</f>
        <v>273.25</v>
      </c>
      <c r="G25" s="7" t="str">
        <f>RawData!G25</f>
        <v>755 Main St</v>
      </c>
      <c r="H25" s="7" t="str">
        <f>RawData!H25</f>
        <v>Debit Card</v>
      </c>
      <c r="I25" s="7" t="str">
        <f>RawData!I25</f>
        <v>Cancelled</v>
      </c>
      <c r="J25" s="7" t="str">
        <f>RawData!J25</f>
        <v>TRK36168083</v>
      </c>
      <c r="K25" s="7">
        <f>RawData!K25</f>
        <v>5</v>
      </c>
      <c r="L25" s="7" t="str">
        <f>IF(RawData!L25="","No Coupon",RawData!L25)</f>
        <v>FREESHIP</v>
      </c>
      <c r="M25" s="7" t="str">
        <f>RawData!M25</f>
        <v>Referral</v>
      </c>
      <c r="N25" s="7">
        <f>RawData!N25</f>
        <v>1093</v>
      </c>
    </row>
    <row r="26" spans="1:14" x14ac:dyDescent="0.3">
      <c r="A26" s="7" t="str">
        <f>RawData!A26</f>
        <v>ORD200024</v>
      </c>
      <c r="B26" s="11">
        <f>RawData!B26</f>
        <v>45595</v>
      </c>
      <c r="C26" s="7" t="str">
        <f>RawData!C26</f>
        <v>C17470</v>
      </c>
      <c r="D26" s="7" t="str">
        <f>RawData!D26</f>
        <v>Laptop</v>
      </c>
      <c r="E26" s="7">
        <f>RawData!E26</f>
        <v>2</v>
      </c>
      <c r="F26" s="7">
        <f>RawData!F26</f>
        <v>230.95</v>
      </c>
      <c r="G26" s="7" t="str">
        <f>RawData!G26</f>
        <v>956 Main St</v>
      </c>
      <c r="H26" s="7" t="str">
        <f>RawData!H26</f>
        <v>Online</v>
      </c>
      <c r="I26" s="7" t="str">
        <f>RawData!I26</f>
        <v>Delivered</v>
      </c>
      <c r="J26" s="7" t="str">
        <f>RawData!J26</f>
        <v>TRK28775057</v>
      </c>
      <c r="K26" s="7">
        <f>RawData!K26</f>
        <v>3</v>
      </c>
      <c r="L26" s="7" t="str">
        <f>IF(RawData!L26="","No Coupon",RawData!L26)</f>
        <v>WINTER15</v>
      </c>
      <c r="M26" s="7" t="str">
        <f>RawData!M26</f>
        <v>Referral</v>
      </c>
      <c r="N26" s="7">
        <f>RawData!N26</f>
        <v>461.9</v>
      </c>
    </row>
    <row r="27" spans="1:14" x14ac:dyDescent="0.3">
      <c r="A27" s="7" t="str">
        <f>RawData!A27</f>
        <v>ORD200025</v>
      </c>
      <c r="B27" s="11">
        <f>RawData!B27</f>
        <v>45497</v>
      </c>
      <c r="C27" s="7" t="str">
        <f>RawData!C27</f>
        <v>C42577</v>
      </c>
      <c r="D27" s="7" t="str">
        <f>RawData!D27</f>
        <v>Monitor</v>
      </c>
      <c r="E27" s="7">
        <f>RawData!E27</f>
        <v>1</v>
      </c>
      <c r="F27" s="7">
        <f>RawData!F27</f>
        <v>399.98</v>
      </c>
      <c r="G27" s="7" t="str">
        <f>RawData!G27</f>
        <v>709 Main St</v>
      </c>
      <c r="H27" s="7" t="str">
        <f>RawData!H27</f>
        <v>Debit Card</v>
      </c>
      <c r="I27" s="7" t="str">
        <f>RawData!I27</f>
        <v>Delivered</v>
      </c>
      <c r="J27" s="7" t="str">
        <f>RawData!J27</f>
        <v>TRK69423327</v>
      </c>
      <c r="K27" s="7">
        <f>RawData!K27</f>
        <v>3</v>
      </c>
      <c r="L27" s="7" t="str">
        <f>IF(RawData!L27="","No Coupon",RawData!L27)</f>
        <v>WINTER15</v>
      </c>
      <c r="M27" s="7" t="str">
        <f>RawData!M27</f>
        <v>Email</v>
      </c>
      <c r="N27" s="7">
        <f>RawData!N27</f>
        <v>399.98</v>
      </c>
    </row>
    <row r="28" spans="1:14" x14ac:dyDescent="0.3">
      <c r="A28" s="7" t="str">
        <f>RawData!A28</f>
        <v>ORD200026</v>
      </c>
      <c r="B28" s="11">
        <f>RawData!B28</f>
        <v>45357</v>
      </c>
      <c r="C28" s="7" t="str">
        <f>RawData!C28</f>
        <v>C21944</v>
      </c>
      <c r="D28" s="7" t="str">
        <f>RawData!D28</f>
        <v>Laptop</v>
      </c>
      <c r="E28" s="7">
        <f>RawData!E28</f>
        <v>5</v>
      </c>
      <c r="F28" s="7">
        <f>RawData!F28</f>
        <v>59.55</v>
      </c>
      <c r="G28" s="7" t="str">
        <f>RawData!G28</f>
        <v>296 Main St</v>
      </c>
      <c r="H28" s="7" t="str">
        <f>RawData!H28</f>
        <v>Online</v>
      </c>
      <c r="I28" s="7" t="str">
        <f>RawData!I28</f>
        <v>Delivered</v>
      </c>
      <c r="J28" s="7" t="str">
        <f>RawData!J28</f>
        <v>TRK80276812</v>
      </c>
      <c r="K28" s="7">
        <f>RawData!K28</f>
        <v>6</v>
      </c>
      <c r="L28" s="7" t="str">
        <f>IF(RawData!L28="","No Coupon",RawData!L28)</f>
        <v>No Coupon</v>
      </c>
      <c r="M28" s="7" t="str">
        <f>RawData!M28</f>
        <v>Referral</v>
      </c>
      <c r="N28" s="7">
        <f>RawData!N28</f>
        <v>297.75</v>
      </c>
    </row>
    <row r="29" spans="1:14" x14ac:dyDescent="0.3">
      <c r="A29" s="7" t="str">
        <f>RawData!A29</f>
        <v>ORD200027</v>
      </c>
      <c r="B29" s="11">
        <f>RawData!B29</f>
        <v>45344</v>
      </c>
      <c r="C29" s="7" t="str">
        <f>RawData!C29</f>
        <v>C97593</v>
      </c>
      <c r="D29" s="7" t="str">
        <f>RawData!D29</f>
        <v>Printer</v>
      </c>
      <c r="E29" s="7">
        <f>RawData!E29</f>
        <v>1</v>
      </c>
      <c r="F29" s="7">
        <f>RawData!F29</f>
        <v>472.74</v>
      </c>
      <c r="G29" s="7" t="str">
        <f>RawData!G29</f>
        <v>881 Main St</v>
      </c>
      <c r="H29" s="7" t="str">
        <f>RawData!H29</f>
        <v>Online</v>
      </c>
      <c r="I29" s="7" t="str">
        <f>RawData!I29</f>
        <v>Shipped</v>
      </c>
      <c r="J29" s="7" t="str">
        <f>RawData!J29</f>
        <v>TRK89117573</v>
      </c>
      <c r="K29" s="7">
        <f>RawData!K29</f>
        <v>6</v>
      </c>
      <c r="L29" s="7" t="str">
        <f>IF(RawData!L29="","No Coupon",RawData!L29)</f>
        <v>WINTER15</v>
      </c>
      <c r="M29" s="7" t="str">
        <f>RawData!M29</f>
        <v>Google</v>
      </c>
      <c r="N29" s="7">
        <f>RawData!N29</f>
        <v>472.74</v>
      </c>
    </row>
    <row r="30" spans="1:14" x14ac:dyDescent="0.3">
      <c r="A30" s="7" t="str">
        <f>RawData!A30</f>
        <v>ORD200028</v>
      </c>
      <c r="B30" s="11">
        <f>RawData!B30</f>
        <v>45251</v>
      </c>
      <c r="C30" s="7" t="str">
        <f>RawData!C30</f>
        <v>C59823</v>
      </c>
      <c r="D30" s="7" t="str">
        <f>RawData!D30</f>
        <v>Phone</v>
      </c>
      <c r="E30" s="7">
        <f>RawData!E30</f>
        <v>4</v>
      </c>
      <c r="F30" s="7">
        <f>RawData!F30</f>
        <v>160.07</v>
      </c>
      <c r="G30" s="7" t="str">
        <f>RawData!G30</f>
        <v>568 Main St</v>
      </c>
      <c r="H30" s="7" t="str">
        <f>RawData!H30</f>
        <v>Online</v>
      </c>
      <c r="I30" s="7" t="str">
        <f>RawData!I30</f>
        <v>Pending</v>
      </c>
      <c r="J30" s="7" t="str">
        <f>RawData!J30</f>
        <v>TRK65895539</v>
      </c>
      <c r="K30" s="7">
        <f>RawData!K30</f>
        <v>5</v>
      </c>
      <c r="L30" s="7" t="str">
        <f>IF(RawData!L30="","No Coupon",RawData!L30)</f>
        <v>No Coupon</v>
      </c>
      <c r="M30" s="7" t="str">
        <f>RawData!M30</f>
        <v>Email</v>
      </c>
      <c r="N30" s="7">
        <f>RawData!N30</f>
        <v>640.28</v>
      </c>
    </row>
    <row r="31" spans="1:14" x14ac:dyDescent="0.3">
      <c r="A31" s="7" t="str">
        <f>RawData!A31</f>
        <v>ORD200029</v>
      </c>
      <c r="B31" s="11">
        <f>RawData!B31</f>
        <v>45555</v>
      </c>
      <c r="C31" s="7" t="str">
        <f>RawData!C31</f>
        <v>C33260</v>
      </c>
      <c r="D31" s="7" t="str">
        <f>RawData!D31</f>
        <v>Desk</v>
      </c>
      <c r="E31" s="7">
        <f>RawData!E31</f>
        <v>3</v>
      </c>
      <c r="F31" s="7">
        <f>RawData!F31</f>
        <v>423.53</v>
      </c>
      <c r="G31" s="7" t="str">
        <f>RawData!G31</f>
        <v>930 Main St</v>
      </c>
      <c r="H31" s="7" t="str">
        <f>RawData!H31</f>
        <v>Credit Card</v>
      </c>
      <c r="I31" s="7" t="str">
        <f>RawData!I31</f>
        <v>Delivered</v>
      </c>
      <c r="J31" s="7" t="str">
        <f>RawData!J31</f>
        <v>TRK59744090</v>
      </c>
      <c r="K31" s="7">
        <f>RawData!K31</f>
        <v>6</v>
      </c>
      <c r="L31" s="7" t="str">
        <f>IF(RawData!L31="","No Coupon",RawData!L31)</f>
        <v>SAVE10</v>
      </c>
      <c r="M31" s="7" t="str">
        <f>RawData!M31</f>
        <v>Referral</v>
      </c>
      <c r="N31" s="7">
        <f>RawData!N31</f>
        <v>1270.5899999999999</v>
      </c>
    </row>
    <row r="32" spans="1:14" x14ac:dyDescent="0.3">
      <c r="A32" s="7" t="str">
        <f>RawData!A32</f>
        <v>ORD200030</v>
      </c>
      <c r="B32" s="11">
        <f>RawData!B32</f>
        <v>45738</v>
      </c>
      <c r="C32" s="7" t="str">
        <f>RawData!C32</f>
        <v>C44267</v>
      </c>
      <c r="D32" s="7" t="str">
        <f>RawData!D32</f>
        <v>Monitor</v>
      </c>
      <c r="E32" s="7">
        <f>RawData!E32</f>
        <v>2</v>
      </c>
      <c r="F32" s="7">
        <f>RawData!F32</f>
        <v>426.7</v>
      </c>
      <c r="G32" s="7" t="str">
        <f>RawData!G32</f>
        <v>895 Main St</v>
      </c>
      <c r="H32" s="7" t="str">
        <f>RawData!H32</f>
        <v>Online</v>
      </c>
      <c r="I32" s="7" t="str">
        <f>RawData!I32</f>
        <v>Pending</v>
      </c>
      <c r="J32" s="7" t="str">
        <f>RawData!J32</f>
        <v>TRK54751444</v>
      </c>
      <c r="K32" s="7">
        <f>RawData!K32</f>
        <v>5</v>
      </c>
      <c r="L32" s="7" t="str">
        <f>IF(RawData!L32="","No Coupon",RawData!L32)</f>
        <v>SAVE10</v>
      </c>
      <c r="M32" s="7" t="str">
        <f>RawData!M32</f>
        <v>Referral</v>
      </c>
      <c r="N32" s="7">
        <f>RawData!N32</f>
        <v>853.4</v>
      </c>
    </row>
    <row r="33" spans="1:14" x14ac:dyDescent="0.3">
      <c r="A33" s="7" t="str">
        <f>RawData!A33</f>
        <v>ORD200031</v>
      </c>
      <c r="B33" s="11">
        <f>RawData!B33</f>
        <v>45107</v>
      </c>
      <c r="C33" s="7" t="str">
        <f>RawData!C33</f>
        <v>C26445</v>
      </c>
      <c r="D33" s="7" t="str">
        <f>RawData!D33</f>
        <v>Chair</v>
      </c>
      <c r="E33" s="7">
        <f>RawData!E33</f>
        <v>3</v>
      </c>
      <c r="F33" s="7">
        <f>RawData!F33</f>
        <v>500.08</v>
      </c>
      <c r="G33" s="7" t="str">
        <f>RawData!G33</f>
        <v>996 Main St</v>
      </c>
      <c r="H33" s="7" t="str">
        <f>RawData!H33</f>
        <v>Debit Card</v>
      </c>
      <c r="I33" s="7" t="str">
        <f>RawData!I33</f>
        <v>Returned</v>
      </c>
      <c r="J33" s="7" t="str">
        <f>RawData!J33</f>
        <v>TRK31229981</v>
      </c>
      <c r="K33" s="7">
        <f>RawData!K33</f>
        <v>6</v>
      </c>
      <c r="L33" s="7" t="str">
        <f>IF(RawData!L33="","No Coupon",RawData!L33)</f>
        <v>No Coupon</v>
      </c>
      <c r="M33" s="7" t="str">
        <f>RawData!M33</f>
        <v>Facebook</v>
      </c>
      <c r="N33" s="7">
        <f>RawData!N33</f>
        <v>1500.24</v>
      </c>
    </row>
    <row r="34" spans="1:14" x14ac:dyDescent="0.3">
      <c r="A34" s="7" t="str">
        <f>RawData!A34</f>
        <v>ORD200032</v>
      </c>
      <c r="B34" s="11">
        <f>RawData!B34</f>
        <v>45047</v>
      </c>
      <c r="C34" s="7" t="str">
        <f>RawData!C34</f>
        <v>C12388</v>
      </c>
      <c r="D34" s="7" t="str">
        <f>RawData!D34</f>
        <v>Tablet</v>
      </c>
      <c r="E34" s="7">
        <f>RawData!E34</f>
        <v>5</v>
      </c>
      <c r="F34" s="7">
        <f>RawData!F34</f>
        <v>536.72</v>
      </c>
      <c r="G34" s="7" t="str">
        <f>RawData!G34</f>
        <v>830 Main St</v>
      </c>
      <c r="H34" s="7" t="str">
        <f>RawData!H34</f>
        <v>Cash</v>
      </c>
      <c r="I34" s="7" t="str">
        <f>RawData!I34</f>
        <v>Delivered</v>
      </c>
      <c r="J34" s="7" t="str">
        <f>RawData!J34</f>
        <v>TRK99261395</v>
      </c>
      <c r="K34" s="7">
        <f>RawData!K34</f>
        <v>10</v>
      </c>
      <c r="L34" s="7" t="str">
        <f>IF(RawData!L34="","No Coupon",RawData!L34)</f>
        <v>No Coupon</v>
      </c>
      <c r="M34" s="7" t="str">
        <f>RawData!M34</f>
        <v>Email</v>
      </c>
      <c r="N34" s="7">
        <f>RawData!N34</f>
        <v>2683.6</v>
      </c>
    </row>
    <row r="35" spans="1:14" x14ac:dyDescent="0.3">
      <c r="A35" s="7" t="str">
        <f>RawData!A35</f>
        <v>ORD200033</v>
      </c>
      <c r="B35" s="11">
        <f>RawData!B35</f>
        <v>45082</v>
      </c>
      <c r="C35" s="7" t="str">
        <f>RawData!C35</f>
        <v>C52184</v>
      </c>
      <c r="D35" s="7" t="str">
        <f>RawData!D35</f>
        <v>Chair</v>
      </c>
      <c r="E35" s="7">
        <f>RawData!E35</f>
        <v>1</v>
      </c>
      <c r="F35" s="7">
        <f>RawData!F35</f>
        <v>162.77000000000001</v>
      </c>
      <c r="G35" s="7" t="str">
        <f>RawData!G35</f>
        <v>912 Main St</v>
      </c>
      <c r="H35" s="7" t="str">
        <f>RawData!H35</f>
        <v>Online</v>
      </c>
      <c r="I35" s="7" t="str">
        <f>RawData!I35</f>
        <v>Cancelled</v>
      </c>
      <c r="J35" s="7" t="str">
        <f>RawData!J35</f>
        <v>TRK73312471</v>
      </c>
      <c r="K35" s="7">
        <f>RawData!K35</f>
        <v>4</v>
      </c>
      <c r="L35" s="7" t="str">
        <f>IF(RawData!L35="","No Coupon",RawData!L35)</f>
        <v>WINTER15</v>
      </c>
      <c r="M35" s="7" t="str">
        <f>RawData!M35</f>
        <v>Facebook</v>
      </c>
      <c r="N35" s="7">
        <f>RawData!N35</f>
        <v>162.77000000000001</v>
      </c>
    </row>
    <row r="36" spans="1:14" x14ac:dyDescent="0.3">
      <c r="A36" s="7" t="str">
        <f>RawData!A36</f>
        <v>ORD200034</v>
      </c>
      <c r="B36" s="11">
        <f>RawData!B36</f>
        <v>44933</v>
      </c>
      <c r="C36" s="7" t="str">
        <f>RawData!C36</f>
        <v>C67195</v>
      </c>
      <c r="D36" s="7" t="str">
        <f>RawData!D36</f>
        <v>Chair</v>
      </c>
      <c r="E36" s="7">
        <f>RawData!E36</f>
        <v>4</v>
      </c>
      <c r="F36" s="7">
        <f>RawData!F36</f>
        <v>576.52</v>
      </c>
      <c r="G36" s="7" t="str">
        <f>RawData!G36</f>
        <v>926 Main St</v>
      </c>
      <c r="H36" s="7" t="str">
        <f>RawData!H36</f>
        <v>Credit Card</v>
      </c>
      <c r="I36" s="7" t="str">
        <f>RawData!I36</f>
        <v>Pending</v>
      </c>
      <c r="J36" s="7" t="str">
        <f>RawData!J36</f>
        <v>TRK55467915</v>
      </c>
      <c r="K36" s="7">
        <f>RawData!K36</f>
        <v>5</v>
      </c>
      <c r="L36" s="7" t="str">
        <f>IF(RawData!L36="","No Coupon",RawData!L36)</f>
        <v>WINTER15</v>
      </c>
      <c r="M36" s="7" t="str">
        <f>RawData!M36</f>
        <v>Facebook</v>
      </c>
      <c r="N36" s="7">
        <f>RawData!N36</f>
        <v>2306.08</v>
      </c>
    </row>
    <row r="37" spans="1:14" x14ac:dyDescent="0.3">
      <c r="A37" s="7" t="str">
        <f>RawData!A37</f>
        <v>ORD200035</v>
      </c>
      <c r="B37" s="11">
        <f>RawData!B37</f>
        <v>45633</v>
      </c>
      <c r="C37" s="7" t="str">
        <f>RawData!C37</f>
        <v>C50304</v>
      </c>
      <c r="D37" s="7" t="str">
        <f>RawData!D37</f>
        <v>Monitor</v>
      </c>
      <c r="E37" s="7">
        <f>RawData!E37</f>
        <v>2</v>
      </c>
      <c r="F37" s="7">
        <f>RawData!F37</f>
        <v>465.15</v>
      </c>
      <c r="G37" s="7" t="str">
        <f>RawData!G37</f>
        <v>128 Main St</v>
      </c>
      <c r="H37" s="7" t="str">
        <f>RawData!H37</f>
        <v>Online</v>
      </c>
      <c r="I37" s="7" t="str">
        <f>RawData!I37</f>
        <v>Shipped</v>
      </c>
      <c r="J37" s="7" t="str">
        <f>RawData!J37</f>
        <v>TRK46850888</v>
      </c>
      <c r="K37" s="7">
        <f>RawData!K37</f>
        <v>2</v>
      </c>
      <c r="L37" s="7" t="str">
        <f>IF(RawData!L37="","No Coupon",RawData!L37)</f>
        <v>SAVE10</v>
      </c>
      <c r="M37" s="7" t="str">
        <f>RawData!M37</f>
        <v>Facebook</v>
      </c>
      <c r="N37" s="7">
        <f>RawData!N37</f>
        <v>930.3</v>
      </c>
    </row>
    <row r="38" spans="1:14" x14ac:dyDescent="0.3">
      <c r="A38" s="7" t="str">
        <f>RawData!A38</f>
        <v>ORD200036</v>
      </c>
      <c r="B38" s="11">
        <f>RawData!B38</f>
        <v>45785</v>
      </c>
      <c r="C38" s="7" t="str">
        <f>RawData!C38</f>
        <v>C59337</v>
      </c>
      <c r="D38" s="7" t="str">
        <f>RawData!D38</f>
        <v>Laptop</v>
      </c>
      <c r="E38" s="7">
        <f>RawData!E38</f>
        <v>2</v>
      </c>
      <c r="F38" s="7">
        <f>RawData!F38</f>
        <v>534.42999999999995</v>
      </c>
      <c r="G38" s="7" t="str">
        <f>RawData!G38</f>
        <v>465 Main St</v>
      </c>
      <c r="H38" s="7" t="str">
        <f>RawData!H38</f>
        <v>Debit Card</v>
      </c>
      <c r="I38" s="7" t="str">
        <f>RawData!I38</f>
        <v>Pending</v>
      </c>
      <c r="J38" s="7" t="str">
        <f>RawData!J38</f>
        <v>TRK50961250</v>
      </c>
      <c r="K38" s="7">
        <f>RawData!K38</f>
        <v>5</v>
      </c>
      <c r="L38" s="7" t="str">
        <f>IF(RawData!L38="","No Coupon",RawData!L38)</f>
        <v>No Coupon</v>
      </c>
      <c r="M38" s="7" t="str">
        <f>RawData!M38</f>
        <v>Facebook</v>
      </c>
      <c r="N38" s="7">
        <f>RawData!N38</f>
        <v>1068.8599999999999</v>
      </c>
    </row>
    <row r="39" spans="1:14" x14ac:dyDescent="0.3">
      <c r="A39" s="7" t="str">
        <f>RawData!A39</f>
        <v>ORD200037</v>
      </c>
      <c r="B39" s="11">
        <f>RawData!B39</f>
        <v>45579</v>
      </c>
      <c r="C39" s="7" t="str">
        <f>RawData!C39</f>
        <v>C10054</v>
      </c>
      <c r="D39" s="7" t="str">
        <f>RawData!D39</f>
        <v>Laptop</v>
      </c>
      <c r="E39" s="7">
        <f>RawData!E39</f>
        <v>2</v>
      </c>
      <c r="F39" s="7">
        <f>RawData!F39</f>
        <v>76.739999999999995</v>
      </c>
      <c r="G39" s="7" t="str">
        <f>RawData!G39</f>
        <v>409 Main St</v>
      </c>
      <c r="H39" s="7" t="str">
        <f>RawData!H39</f>
        <v>Cash</v>
      </c>
      <c r="I39" s="7" t="str">
        <f>RawData!I39</f>
        <v>Returned</v>
      </c>
      <c r="J39" s="7" t="str">
        <f>RawData!J39</f>
        <v>TRK94005261</v>
      </c>
      <c r="K39" s="7">
        <f>RawData!K39</f>
        <v>7</v>
      </c>
      <c r="L39" s="7" t="str">
        <f>IF(RawData!L39="","No Coupon",RawData!L39)</f>
        <v>SAVE10</v>
      </c>
      <c r="M39" s="7" t="str">
        <f>RawData!M39</f>
        <v>Instagram</v>
      </c>
      <c r="N39" s="7">
        <f>RawData!N39</f>
        <v>153.47999999999999</v>
      </c>
    </row>
    <row r="40" spans="1:14" x14ac:dyDescent="0.3">
      <c r="A40" s="7" t="str">
        <f>RawData!A40</f>
        <v>ORD200038</v>
      </c>
      <c r="B40" s="11">
        <f>RawData!B40</f>
        <v>45645</v>
      </c>
      <c r="C40" s="7" t="str">
        <f>RawData!C40</f>
        <v>C15924</v>
      </c>
      <c r="D40" s="7" t="str">
        <f>RawData!D40</f>
        <v>Laptop</v>
      </c>
      <c r="E40" s="7">
        <f>RawData!E40</f>
        <v>1</v>
      </c>
      <c r="F40" s="7">
        <f>RawData!F40</f>
        <v>245.89</v>
      </c>
      <c r="G40" s="7" t="str">
        <f>RawData!G40</f>
        <v>549 Main St</v>
      </c>
      <c r="H40" s="7" t="str">
        <f>RawData!H40</f>
        <v>Debit Card</v>
      </c>
      <c r="I40" s="7" t="str">
        <f>RawData!I40</f>
        <v>Delivered</v>
      </c>
      <c r="J40" s="7" t="str">
        <f>RawData!J40</f>
        <v>TRK14835975</v>
      </c>
      <c r="K40" s="7">
        <f>RawData!K40</f>
        <v>3</v>
      </c>
      <c r="L40" s="7" t="str">
        <f>IF(RawData!L40="","No Coupon",RawData!L40)</f>
        <v>SAVE10</v>
      </c>
      <c r="M40" s="7" t="str">
        <f>RawData!M40</f>
        <v>Google</v>
      </c>
      <c r="N40" s="7">
        <f>RawData!N40</f>
        <v>245.89</v>
      </c>
    </row>
    <row r="41" spans="1:14" x14ac:dyDescent="0.3">
      <c r="A41" s="7" t="str">
        <f>RawData!A41</f>
        <v>ORD200039</v>
      </c>
      <c r="B41" s="11">
        <f>RawData!B41</f>
        <v>45715</v>
      </c>
      <c r="C41" s="7" t="str">
        <f>RawData!C41</f>
        <v>C96664</v>
      </c>
      <c r="D41" s="7" t="str">
        <f>RawData!D41</f>
        <v>Printer</v>
      </c>
      <c r="E41" s="7">
        <f>RawData!E41</f>
        <v>3</v>
      </c>
      <c r="F41" s="7">
        <f>RawData!F41</f>
        <v>256.45999999999998</v>
      </c>
      <c r="G41" s="7" t="str">
        <f>RawData!G41</f>
        <v>666 Main St</v>
      </c>
      <c r="H41" s="7" t="str">
        <f>RawData!H41</f>
        <v>Credit Card</v>
      </c>
      <c r="I41" s="7" t="str">
        <f>RawData!I41</f>
        <v>Delivered</v>
      </c>
      <c r="J41" s="7" t="str">
        <f>RawData!J41</f>
        <v>TRK85508960</v>
      </c>
      <c r="K41" s="7">
        <f>RawData!K41</f>
        <v>4</v>
      </c>
      <c r="L41" s="7" t="str">
        <f>IF(RawData!L41="","No Coupon",RawData!L41)</f>
        <v>SAVE10</v>
      </c>
      <c r="M41" s="7" t="str">
        <f>RawData!M41</f>
        <v>Referral</v>
      </c>
      <c r="N41" s="7">
        <f>RawData!N41</f>
        <v>769.38</v>
      </c>
    </row>
    <row r="42" spans="1:14" x14ac:dyDescent="0.3">
      <c r="A42" s="7" t="str">
        <f>RawData!A42</f>
        <v>ORD200040</v>
      </c>
      <c r="B42" s="11">
        <f>RawData!B42</f>
        <v>45158</v>
      </c>
      <c r="C42" s="7" t="str">
        <f>RawData!C42</f>
        <v>C84766</v>
      </c>
      <c r="D42" s="7" t="str">
        <f>RawData!D42</f>
        <v>Desk</v>
      </c>
      <c r="E42" s="7">
        <f>RawData!E42</f>
        <v>2</v>
      </c>
      <c r="F42" s="7">
        <f>RawData!F42</f>
        <v>344.02</v>
      </c>
      <c r="G42" s="7" t="str">
        <f>RawData!G42</f>
        <v>267 Main St</v>
      </c>
      <c r="H42" s="7" t="str">
        <f>RawData!H42</f>
        <v>Online</v>
      </c>
      <c r="I42" s="7" t="str">
        <f>RawData!I42</f>
        <v>Delivered</v>
      </c>
      <c r="J42" s="7" t="str">
        <f>RawData!J42</f>
        <v>TRK78967923</v>
      </c>
      <c r="K42" s="7">
        <f>RawData!K42</f>
        <v>4</v>
      </c>
      <c r="L42" s="7" t="str">
        <f>IF(RawData!L42="","No Coupon",RawData!L42)</f>
        <v>FREESHIP</v>
      </c>
      <c r="M42" s="7" t="str">
        <f>RawData!M42</f>
        <v>Instagram</v>
      </c>
      <c r="N42" s="7">
        <f>RawData!N42</f>
        <v>688.04</v>
      </c>
    </row>
    <row r="43" spans="1:14" x14ac:dyDescent="0.3">
      <c r="A43" s="7" t="str">
        <f>RawData!A43</f>
        <v>ORD200041</v>
      </c>
      <c r="B43" s="11">
        <f>RawData!B43</f>
        <v>45265</v>
      </c>
      <c r="C43" s="7" t="str">
        <f>RawData!C43</f>
        <v>C20212</v>
      </c>
      <c r="D43" s="7" t="str">
        <f>RawData!D43</f>
        <v>Monitor</v>
      </c>
      <c r="E43" s="7">
        <f>RawData!E43</f>
        <v>3</v>
      </c>
      <c r="F43" s="7">
        <f>RawData!F43</f>
        <v>611.45000000000005</v>
      </c>
      <c r="G43" s="7" t="str">
        <f>RawData!G43</f>
        <v>657 Main St</v>
      </c>
      <c r="H43" s="7" t="str">
        <f>RawData!H43</f>
        <v>Gift Card</v>
      </c>
      <c r="I43" s="7" t="str">
        <f>RawData!I43</f>
        <v>Pending</v>
      </c>
      <c r="J43" s="7" t="str">
        <f>RawData!J43</f>
        <v>TRK69733327</v>
      </c>
      <c r="K43" s="7">
        <f>RawData!K43</f>
        <v>4</v>
      </c>
      <c r="L43" s="7" t="str">
        <f>IF(RawData!L43="","No Coupon",RawData!L43)</f>
        <v>FREESHIP</v>
      </c>
      <c r="M43" s="7" t="str">
        <f>RawData!M43</f>
        <v>Instagram</v>
      </c>
      <c r="N43" s="7">
        <f>RawData!N43</f>
        <v>1834.35</v>
      </c>
    </row>
    <row r="44" spans="1:14" x14ac:dyDescent="0.3">
      <c r="A44" s="7" t="str">
        <f>RawData!A44</f>
        <v>ORD200042</v>
      </c>
      <c r="B44" s="11">
        <f>RawData!B44</f>
        <v>45418</v>
      </c>
      <c r="C44" s="7" t="str">
        <f>RawData!C44</f>
        <v>C28712</v>
      </c>
      <c r="D44" s="7" t="str">
        <f>RawData!D44</f>
        <v>Printer</v>
      </c>
      <c r="E44" s="7">
        <f>RawData!E44</f>
        <v>2</v>
      </c>
      <c r="F44" s="7">
        <f>RawData!F44</f>
        <v>151.66</v>
      </c>
      <c r="G44" s="7" t="str">
        <f>RawData!G44</f>
        <v>980 Main St</v>
      </c>
      <c r="H44" s="7" t="str">
        <f>RawData!H44</f>
        <v>Cash</v>
      </c>
      <c r="I44" s="7" t="str">
        <f>RawData!I44</f>
        <v>Cancelled</v>
      </c>
      <c r="J44" s="7" t="str">
        <f>RawData!J44</f>
        <v>TRK40772558</v>
      </c>
      <c r="K44" s="7">
        <f>RawData!K44</f>
        <v>6</v>
      </c>
      <c r="L44" s="7" t="str">
        <f>IF(RawData!L44="","No Coupon",RawData!L44)</f>
        <v>No Coupon</v>
      </c>
      <c r="M44" s="7" t="str">
        <f>RawData!M44</f>
        <v>Instagram</v>
      </c>
      <c r="N44" s="7">
        <f>RawData!N44</f>
        <v>303.32</v>
      </c>
    </row>
    <row r="45" spans="1:14" x14ac:dyDescent="0.3">
      <c r="A45" s="7" t="str">
        <f>RawData!A45</f>
        <v>ORD200043</v>
      </c>
      <c r="B45" s="11">
        <f>RawData!B45</f>
        <v>45274</v>
      </c>
      <c r="C45" s="7" t="str">
        <f>RawData!C45</f>
        <v>C60572</v>
      </c>
      <c r="D45" s="7" t="str">
        <f>RawData!D45</f>
        <v>Chair</v>
      </c>
      <c r="E45" s="7">
        <f>RawData!E45</f>
        <v>3</v>
      </c>
      <c r="F45" s="7">
        <f>RawData!F45</f>
        <v>499.21</v>
      </c>
      <c r="G45" s="7" t="str">
        <f>RawData!G45</f>
        <v>871 Main St</v>
      </c>
      <c r="H45" s="7" t="str">
        <f>RawData!H45</f>
        <v>Online</v>
      </c>
      <c r="I45" s="7" t="str">
        <f>RawData!I45</f>
        <v>Cancelled</v>
      </c>
      <c r="J45" s="7" t="str">
        <f>RawData!J45</f>
        <v>TRK20351666</v>
      </c>
      <c r="K45" s="7">
        <f>RawData!K45</f>
        <v>8</v>
      </c>
      <c r="L45" s="7" t="str">
        <f>IF(RawData!L45="","No Coupon",RawData!L45)</f>
        <v>No Coupon</v>
      </c>
      <c r="M45" s="7" t="str">
        <f>RawData!M45</f>
        <v>Instagram</v>
      </c>
      <c r="N45" s="7">
        <f>RawData!N45</f>
        <v>1497.63</v>
      </c>
    </row>
    <row r="46" spans="1:14" x14ac:dyDescent="0.3">
      <c r="A46" s="7" t="str">
        <f>RawData!A46</f>
        <v>ORD200044</v>
      </c>
      <c r="B46" s="11">
        <f>RawData!B46</f>
        <v>45768</v>
      </c>
      <c r="C46" s="7" t="str">
        <f>RawData!C46</f>
        <v>C73225</v>
      </c>
      <c r="D46" s="7" t="str">
        <f>RawData!D46</f>
        <v>Phone</v>
      </c>
      <c r="E46" s="7">
        <f>RawData!E46</f>
        <v>2</v>
      </c>
      <c r="F46" s="7">
        <f>RawData!F46</f>
        <v>550.17999999999995</v>
      </c>
      <c r="G46" s="7" t="str">
        <f>RawData!G46</f>
        <v>996 Main St</v>
      </c>
      <c r="H46" s="7" t="str">
        <f>RawData!H46</f>
        <v>Gift Card</v>
      </c>
      <c r="I46" s="7" t="str">
        <f>RawData!I46</f>
        <v>Returned</v>
      </c>
      <c r="J46" s="7" t="str">
        <f>RawData!J46</f>
        <v>TRK73848522</v>
      </c>
      <c r="K46" s="7">
        <f>RawData!K46</f>
        <v>3</v>
      </c>
      <c r="L46" s="7" t="str">
        <f>IF(RawData!L46="","No Coupon",RawData!L46)</f>
        <v>FREESHIP</v>
      </c>
      <c r="M46" s="7" t="str">
        <f>RawData!M46</f>
        <v>Referral</v>
      </c>
      <c r="N46" s="7">
        <f>RawData!N46</f>
        <v>1100.3599999999999</v>
      </c>
    </row>
    <row r="47" spans="1:14" x14ac:dyDescent="0.3">
      <c r="A47" s="7" t="str">
        <f>RawData!A47</f>
        <v>ORD200045</v>
      </c>
      <c r="B47" s="11">
        <f>RawData!B47</f>
        <v>45332</v>
      </c>
      <c r="C47" s="7" t="str">
        <f>RawData!C47</f>
        <v>C17388</v>
      </c>
      <c r="D47" s="7" t="str">
        <f>RawData!D47</f>
        <v>Chair</v>
      </c>
      <c r="E47" s="7">
        <f>RawData!E47</f>
        <v>1</v>
      </c>
      <c r="F47" s="7">
        <f>RawData!F47</f>
        <v>317.25</v>
      </c>
      <c r="G47" s="7" t="str">
        <f>RawData!G47</f>
        <v>157 Main St</v>
      </c>
      <c r="H47" s="7" t="str">
        <f>RawData!H47</f>
        <v>Debit Card</v>
      </c>
      <c r="I47" s="7" t="str">
        <f>RawData!I47</f>
        <v>Returned</v>
      </c>
      <c r="J47" s="7" t="str">
        <f>RawData!J47</f>
        <v>TRK47077395</v>
      </c>
      <c r="K47" s="7">
        <f>RawData!K47</f>
        <v>1</v>
      </c>
      <c r="L47" s="7" t="str">
        <f>IF(RawData!L47="","No Coupon",RawData!L47)</f>
        <v>SAVE10</v>
      </c>
      <c r="M47" s="7" t="str">
        <f>RawData!M47</f>
        <v>Facebook</v>
      </c>
      <c r="N47" s="7">
        <f>RawData!N47</f>
        <v>317.25</v>
      </c>
    </row>
    <row r="48" spans="1:14" x14ac:dyDescent="0.3">
      <c r="A48" s="7" t="str">
        <f>RawData!A48</f>
        <v>ORD200046</v>
      </c>
      <c r="B48" s="11">
        <f>RawData!B48</f>
        <v>45469</v>
      </c>
      <c r="C48" s="7" t="str">
        <f>RawData!C48</f>
        <v>C43212</v>
      </c>
      <c r="D48" s="7" t="str">
        <f>RawData!D48</f>
        <v>Monitor</v>
      </c>
      <c r="E48" s="7">
        <f>RawData!E48</f>
        <v>4</v>
      </c>
      <c r="F48" s="7">
        <f>RawData!F48</f>
        <v>550.14</v>
      </c>
      <c r="G48" s="7" t="str">
        <f>RawData!G48</f>
        <v>223 Main St</v>
      </c>
      <c r="H48" s="7" t="str">
        <f>RawData!H48</f>
        <v>Debit Card</v>
      </c>
      <c r="I48" s="7" t="str">
        <f>RawData!I48</f>
        <v>Pending</v>
      </c>
      <c r="J48" s="7" t="str">
        <f>RawData!J48</f>
        <v>TRK25100762</v>
      </c>
      <c r="K48" s="7">
        <f>RawData!K48</f>
        <v>4</v>
      </c>
      <c r="L48" s="7" t="str">
        <f>IF(RawData!L48="","No Coupon",RawData!L48)</f>
        <v>FREESHIP</v>
      </c>
      <c r="M48" s="7" t="str">
        <f>RawData!M48</f>
        <v>Instagram</v>
      </c>
      <c r="N48" s="7">
        <f>RawData!N48</f>
        <v>2200.56</v>
      </c>
    </row>
    <row r="49" spans="1:14" x14ac:dyDescent="0.3">
      <c r="A49" s="7" t="str">
        <f>RawData!A49</f>
        <v>ORD200047</v>
      </c>
      <c r="B49" s="11">
        <f>RawData!B49</f>
        <v>45126</v>
      </c>
      <c r="C49" s="7" t="str">
        <f>RawData!C49</f>
        <v>C38134</v>
      </c>
      <c r="D49" s="7" t="str">
        <f>RawData!D49</f>
        <v>Desk</v>
      </c>
      <c r="E49" s="7">
        <f>RawData!E49</f>
        <v>2</v>
      </c>
      <c r="F49" s="7">
        <f>RawData!F49</f>
        <v>209.94</v>
      </c>
      <c r="G49" s="7" t="str">
        <f>RawData!G49</f>
        <v>323 Main St</v>
      </c>
      <c r="H49" s="7" t="str">
        <f>RawData!H49</f>
        <v>Credit Card</v>
      </c>
      <c r="I49" s="7" t="str">
        <f>RawData!I49</f>
        <v>Returned</v>
      </c>
      <c r="J49" s="7" t="str">
        <f>RawData!J49</f>
        <v>TRK42450754</v>
      </c>
      <c r="K49" s="7">
        <f>RawData!K49</f>
        <v>3</v>
      </c>
      <c r="L49" s="7" t="str">
        <f>IF(RawData!L49="","No Coupon",RawData!L49)</f>
        <v>FREESHIP</v>
      </c>
      <c r="M49" s="7" t="str">
        <f>RawData!M49</f>
        <v>Email</v>
      </c>
      <c r="N49" s="7">
        <f>RawData!N49</f>
        <v>419.88</v>
      </c>
    </row>
    <row r="50" spans="1:14" x14ac:dyDescent="0.3">
      <c r="A50" s="7" t="str">
        <f>RawData!A50</f>
        <v>ORD200048</v>
      </c>
      <c r="B50" s="11">
        <f>RawData!B50</f>
        <v>45164</v>
      </c>
      <c r="C50" s="7" t="str">
        <f>RawData!C50</f>
        <v>C12408</v>
      </c>
      <c r="D50" s="7" t="str">
        <f>RawData!D50</f>
        <v>Monitor</v>
      </c>
      <c r="E50" s="7">
        <f>RawData!E50</f>
        <v>2</v>
      </c>
      <c r="F50" s="7">
        <f>RawData!F50</f>
        <v>80.77</v>
      </c>
      <c r="G50" s="7" t="str">
        <f>RawData!G50</f>
        <v>464 Main St</v>
      </c>
      <c r="H50" s="7" t="str">
        <f>RawData!H50</f>
        <v>Debit Card</v>
      </c>
      <c r="I50" s="7" t="str">
        <f>RawData!I50</f>
        <v>Shipped</v>
      </c>
      <c r="J50" s="7" t="str">
        <f>RawData!J50</f>
        <v>TRK38938858</v>
      </c>
      <c r="K50" s="7">
        <f>RawData!K50</f>
        <v>4</v>
      </c>
      <c r="L50" s="7" t="str">
        <f>IF(RawData!L50="","No Coupon",RawData!L50)</f>
        <v>No Coupon</v>
      </c>
      <c r="M50" s="7" t="str">
        <f>RawData!M50</f>
        <v>Google</v>
      </c>
      <c r="N50" s="7">
        <f>RawData!N50</f>
        <v>161.54</v>
      </c>
    </row>
    <row r="51" spans="1:14" x14ac:dyDescent="0.3">
      <c r="A51" s="7" t="str">
        <f>RawData!A51</f>
        <v>ORD200049</v>
      </c>
      <c r="B51" s="11">
        <f>RawData!B51</f>
        <v>45206</v>
      </c>
      <c r="C51" s="7" t="str">
        <f>RawData!C51</f>
        <v>C11985</v>
      </c>
      <c r="D51" s="7" t="str">
        <f>RawData!D51</f>
        <v>Printer</v>
      </c>
      <c r="E51" s="7">
        <f>RawData!E51</f>
        <v>1</v>
      </c>
      <c r="F51" s="7">
        <f>RawData!F51</f>
        <v>30.44</v>
      </c>
      <c r="G51" s="7" t="str">
        <f>RawData!G51</f>
        <v>633 Main St</v>
      </c>
      <c r="H51" s="7" t="str">
        <f>RawData!H51</f>
        <v>Credit Card</v>
      </c>
      <c r="I51" s="7" t="str">
        <f>RawData!I51</f>
        <v>Shipped</v>
      </c>
      <c r="J51" s="7" t="str">
        <f>RawData!J51</f>
        <v>TRK53272402</v>
      </c>
      <c r="K51" s="7">
        <f>RawData!K51</f>
        <v>1</v>
      </c>
      <c r="L51" s="7" t="str">
        <f>IF(RawData!L51="","No Coupon",RawData!L51)</f>
        <v>SAVE10</v>
      </c>
      <c r="M51" s="7" t="str">
        <f>RawData!M51</f>
        <v>Email</v>
      </c>
      <c r="N51" s="7">
        <f>RawData!N51</f>
        <v>30.44</v>
      </c>
    </row>
    <row r="52" spans="1:14" x14ac:dyDescent="0.3">
      <c r="A52" s="7" t="str">
        <f>RawData!A52</f>
        <v>ORD200050</v>
      </c>
      <c r="B52" s="11">
        <f>RawData!B52</f>
        <v>45138</v>
      </c>
      <c r="C52" s="7" t="str">
        <f>RawData!C52</f>
        <v>C96494</v>
      </c>
      <c r="D52" s="7" t="str">
        <f>RawData!D52</f>
        <v>Tablet</v>
      </c>
      <c r="E52" s="7">
        <f>RawData!E52</f>
        <v>1</v>
      </c>
      <c r="F52" s="7">
        <f>RawData!F52</f>
        <v>179.22</v>
      </c>
      <c r="G52" s="7" t="str">
        <f>RawData!G52</f>
        <v>446 Main St</v>
      </c>
      <c r="H52" s="7" t="str">
        <f>RawData!H52</f>
        <v>Online</v>
      </c>
      <c r="I52" s="7" t="str">
        <f>RawData!I52</f>
        <v>Cancelled</v>
      </c>
      <c r="J52" s="7" t="str">
        <f>RawData!J52</f>
        <v>TRK14675049</v>
      </c>
      <c r="K52" s="7">
        <f>RawData!K52</f>
        <v>6</v>
      </c>
      <c r="L52" s="7" t="str">
        <f>IF(RawData!L52="","No Coupon",RawData!L52)</f>
        <v>FREESHIP</v>
      </c>
      <c r="M52" s="7" t="str">
        <f>RawData!M52</f>
        <v>Instagram</v>
      </c>
      <c r="N52" s="7">
        <f>RawData!N52</f>
        <v>179.22</v>
      </c>
    </row>
    <row r="53" spans="1:14" x14ac:dyDescent="0.3">
      <c r="A53" s="7" t="str">
        <f>RawData!A53</f>
        <v>ORD200051</v>
      </c>
      <c r="B53" s="11">
        <f>RawData!B53</f>
        <v>45656</v>
      </c>
      <c r="C53" s="7" t="str">
        <f>RawData!C53</f>
        <v>C36778</v>
      </c>
      <c r="D53" s="7" t="str">
        <f>RawData!D53</f>
        <v>Tablet</v>
      </c>
      <c r="E53" s="7">
        <f>RawData!E53</f>
        <v>1</v>
      </c>
      <c r="F53" s="7">
        <f>RawData!F53</f>
        <v>388.33</v>
      </c>
      <c r="G53" s="7" t="str">
        <f>RawData!G53</f>
        <v>434 Main St</v>
      </c>
      <c r="H53" s="7" t="str">
        <f>RawData!H53</f>
        <v>Cash</v>
      </c>
      <c r="I53" s="7" t="str">
        <f>RawData!I53</f>
        <v>Returned</v>
      </c>
      <c r="J53" s="7" t="str">
        <f>RawData!J53</f>
        <v>TRK67610289</v>
      </c>
      <c r="K53" s="7">
        <f>RawData!K53</f>
        <v>2</v>
      </c>
      <c r="L53" s="7" t="str">
        <f>IF(RawData!L53="","No Coupon",RawData!L53)</f>
        <v>SAVE10</v>
      </c>
      <c r="M53" s="7" t="str">
        <f>RawData!M53</f>
        <v>Facebook</v>
      </c>
      <c r="N53" s="7">
        <f>RawData!N53</f>
        <v>388.33</v>
      </c>
    </row>
    <row r="54" spans="1:14" x14ac:dyDescent="0.3">
      <c r="A54" s="7" t="str">
        <f>RawData!A54</f>
        <v>ORD200052</v>
      </c>
      <c r="B54" s="11">
        <f>RawData!B54</f>
        <v>45543</v>
      </c>
      <c r="C54" s="7" t="str">
        <f>RawData!C54</f>
        <v>C30513</v>
      </c>
      <c r="D54" s="7" t="str">
        <f>RawData!D54</f>
        <v>Tablet</v>
      </c>
      <c r="E54" s="7">
        <f>RawData!E54</f>
        <v>1</v>
      </c>
      <c r="F54" s="7">
        <f>RawData!F54</f>
        <v>586.44000000000005</v>
      </c>
      <c r="G54" s="7" t="str">
        <f>RawData!G54</f>
        <v>232 Main St</v>
      </c>
      <c r="H54" s="7" t="str">
        <f>RawData!H54</f>
        <v>Online</v>
      </c>
      <c r="I54" s="7" t="str">
        <f>RawData!I54</f>
        <v>Returned</v>
      </c>
      <c r="J54" s="7" t="str">
        <f>RawData!J54</f>
        <v>TRK64320429</v>
      </c>
      <c r="K54" s="7">
        <f>RawData!K54</f>
        <v>5</v>
      </c>
      <c r="L54" s="7" t="str">
        <f>IF(RawData!L54="","No Coupon",RawData!L54)</f>
        <v>SAVE10</v>
      </c>
      <c r="M54" s="7" t="str">
        <f>RawData!M54</f>
        <v>Facebook</v>
      </c>
      <c r="N54" s="7">
        <f>RawData!N54</f>
        <v>586.44000000000005</v>
      </c>
    </row>
    <row r="55" spans="1:14" x14ac:dyDescent="0.3">
      <c r="A55" s="7" t="str">
        <f>RawData!A55</f>
        <v>ORD200053</v>
      </c>
      <c r="B55" s="11">
        <f>RawData!B55</f>
        <v>45430</v>
      </c>
      <c r="C55" s="7" t="str">
        <f>RawData!C55</f>
        <v>C67551</v>
      </c>
      <c r="D55" s="7" t="str">
        <f>RawData!D55</f>
        <v>Phone</v>
      </c>
      <c r="E55" s="7">
        <f>RawData!E55</f>
        <v>4</v>
      </c>
      <c r="F55" s="7">
        <f>RawData!F55</f>
        <v>488.78</v>
      </c>
      <c r="G55" s="7" t="str">
        <f>RawData!G55</f>
        <v>512 Main St</v>
      </c>
      <c r="H55" s="7" t="str">
        <f>RawData!H55</f>
        <v>Online</v>
      </c>
      <c r="I55" s="7" t="str">
        <f>RawData!I55</f>
        <v>Returned</v>
      </c>
      <c r="J55" s="7" t="str">
        <f>RawData!J55</f>
        <v>TRK94992552</v>
      </c>
      <c r="K55" s="7">
        <f>RawData!K55</f>
        <v>5</v>
      </c>
      <c r="L55" s="7" t="str">
        <f>IF(RawData!L55="","No Coupon",RawData!L55)</f>
        <v>FREESHIP</v>
      </c>
      <c r="M55" s="7" t="str">
        <f>RawData!M55</f>
        <v>Google</v>
      </c>
      <c r="N55" s="7">
        <f>RawData!N55</f>
        <v>1955.12</v>
      </c>
    </row>
    <row r="56" spans="1:14" x14ac:dyDescent="0.3">
      <c r="A56" s="7" t="str">
        <f>RawData!A56</f>
        <v>ORD200054</v>
      </c>
      <c r="B56" s="11">
        <f>RawData!B56</f>
        <v>45743</v>
      </c>
      <c r="C56" s="7" t="str">
        <f>RawData!C56</f>
        <v>C48120</v>
      </c>
      <c r="D56" s="7" t="str">
        <f>RawData!D56</f>
        <v>Chair</v>
      </c>
      <c r="E56" s="7">
        <f>RawData!E56</f>
        <v>1</v>
      </c>
      <c r="F56" s="7">
        <f>RawData!F56</f>
        <v>280.25</v>
      </c>
      <c r="G56" s="7" t="str">
        <f>RawData!G56</f>
        <v>623 Main St</v>
      </c>
      <c r="H56" s="7" t="str">
        <f>RawData!H56</f>
        <v>Online</v>
      </c>
      <c r="I56" s="7" t="str">
        <f>RawData!I56</f>
        <v>Pending</v>
      </c>
      <c r="J56" s="7" t="str">
        <f>RawData!J56</f>
        <v>TRK11014449</v>
      </c>
      <c r="K56" s="7">
        <f>RawData!K56</f>
        <v>5</v>
      </c>
      <c r="L56" s="7" t="str">
        <f>IF(RawData!L56="","No Coupon",RawData!L56)</f>
        <v>WINTER15</v>
      </c>
      <c r="M56" s="7" t="str">
        <f>RawData!M56</f>
        <v>Email</v>
      </c>
      <c r="N56" s="7">
        <f>RawData!N56</f>
        <v>280.25</v>
      </c>
    </row>
    <row r="57" spans="1:14" x14ac:dyDescent="0.3">
      <c r="A57" s="7" t="str">
        <f>RawData!A57</f>
        <v>ORD200055</v>
      </c>
      <c r="B57" s="11">
        <f>RawData!B57</f>
        <v>45832</v>
      </c>
      <c r="C57" s="7" t="str">
        <f>RawData!C57</f>
        <v>C95984</v>
      </c>
      <c r="D57" s="7" t="str">
        <f>RawData!D57</f>
        <v>Printer</v>
      </c>
      <c r="E57" s="7">
        <f>RawData!E57</f>
        <v>3</v>
      </c>
      <c r="F57" s="7">
        <f>RawData!F57</f>
        <v>344.4</v>
      </c>
      <c r="G57" s="7" t="str">
        <f>RawData!G57</f>
        <v>565 Main St</v>
      </c>
      <c r="H57" s="7" t="str">
        <f>RawData!H57</f>
        <v>Online</v>
      </c>
      <c r="I57" s="7" t="str">
        <f>RawData!I57</f>
        <v>Cancelled</v>
      </c>
      <c r="J57" s="7" t="str">
        <f>RawData!J57</f>
        <v>TRK67434829</v>
      </c>
      <c r="K57" s="7">
        <f>RawData!K57</f>
        <v>3</v>
      </c>
      <c r="L57" s="7" t="str">
        <f>IF(RawData!L57="","No Coupon",RawData!L57)</f>
        <v>No Coupon</v>
      </c>
      <c r="M57" s="7" t="str">
        <f>RawData!M57</f>
        <v>Facebook</v>
      </c>
      <c r="N57" s="7">
        <f>RawData!N57</f>
        <v>1033.2</v>
      </c>
    </row>
    <row r="58" spans="1:14" x14ac:dyDescent="0.3">
      <c r="A58" s="7" t="str">
        <f>RawData!A58</f>
        <v>ORD200056</v>
      </c>
      <c r="B58" s="11">
        <f>RawData!B58</f>
        <v>45067</v>
      </c>
      <c r="C58" s="7" t="str">
        <f>RawData!C58</f>
        <v>C54298</v>
      </c>
      <c r="D58" s="7" t="str">
        <f>RawData!D58</f>
        <v>Tablet</v>
      </c>
      <c r="E58" s="7">
        <f>RawData!E58</f>
        <v>3</v>
      </c>
      <c r="F58" s="7">
        <f>RawData!F58</f>
        <v>479.21</v>
      </c>
      <c r="G58" s="7" t="str">
        <f>RawData!G58</f>
        <v>566 Main St</v>
      </c>
      <c r="H58" s="7" t="str">
        <f>RawData!H58</f>
        <v>Cash</v>
      </c>
      <c r="I58" s="7" t="str">
        <f>RawData!I58</f>
        <v>Cancelled</v>
      </c>
      <c r="J58" s="7" t="str">
        <f>RawData!J58</f>
        <v>TRK62902341</v>
      </c>
      <c r="K58" s="7">
        <f>RawData!K58</f>
        <v>5</v>
      </c>
      <c r="L58" s="7" t="str">
        <f>IF(RawData!L58="","No Coupon",RawData!L58)</f>
        <v>WINTER15</v>
      </c>
      <c r="M58" s="7" t="str">
        <f>RawData!M58</f>
        <v>Referral</v>
      </c>
      <c r="N58" s="7">
        <f>RawData!N58</f>
        <v>1437.63</v>
      </c>
    </row>
    <row r="59" spans="1:14" x14ac:dyDescent="0.3">
      <c r="A59" s="7" t="str">
        <f>RawData!A59</f>
        <v>ORD200057</v>
      </c>
      <c r="B59" s="11">
        <f>RawData!B59</f>
        <v>44948</v>
      </c>
      <c r="C59" s="7" t="str">
        <f>RawData!C59</f>
        <v>C88036</v>
      </c>
      <c r="D59" s="7" t="str">
        <f>RawData!D59</f>
        <v>Printer</v>
      </c>
      <c r="E59" s="7">
        <f>RawData!E59</f>
        <v>5</v>
      </c>
      <c r="F59" s="7">
        <f>RawData!F59</f>
        <v>314.27</v>
      </c>
      <c r="G59" s="7" t="str">
        <f>RawData!G59</f>
        <v>842 Main St</v>
      </c>
      <c r="H59" s="7" t="str">
        <f>RawData!H59</f>
        <v>Cash</v>
      </c>
      <c r="I59" s="7" t="str">
        <f>RawData!I59</f>
        <v>Returned</v>
      </c>
      <c r="J59" s="7" t="str">
        <f>RawData!J59</f>
        <v>TRK52470128</v>
      </c>
      <c r="K59" s="7">
        <f>RawData!K59</f>
        <v>6</v>
      </c>
      <c r="L59" s="7" t="str">
        <f>IF(RawData!L59="","No Coupon",RawData!L59)</f>
        <v>SAVE10</v>
      </c>
      <c r="M59" s="7" t="str">
        <f>RawData!M59</f>
        <v>Instagram</v>
      </c>
      <c r="N59" s="7">
        <f>RawData!N59</f>
        <v>1571.35</v>
      </c>
    </row>
    <row r="60" spans="1:14" x14ac:dyDescent="0.3">
      <c r="A60" s="7" t="str">
        <f>RawData!A60</f>
        <v>ORD200058</v>
      </c>
      <c r="B60" s="11">
        <f>RawData!B60</f>
        <v>44941</v>
      </c>
      <c r="C60" s="7" t="str">
        <f>RawData!C60</f>
        <v>C60190</v>
      </c>
      <c r="D60" s="7" t="str">
        <f>RawData!D60</f>
        <v>Phone</v>
      </c>
      <c r="E60" s="7">
        <f>RawData!E60</f>
        <v>4</v>
      </c>
      <c r="F60" s="7">
        <f>RawData!F60</f>
        <v>474.69</v>
      </c>
      <c r="G60" s="7" t="str">
        <f>RawData!G60</f>
        <v>202 Main St</v>
      </c>
      <c r="H60" s="7" t="str">
        <f>RawData!H60</f>
        <v>Gift Card</v>
      </c>
      <c r="I60" s="7" t="str">
        <f>RawData!I60</f>
        <v>Cancelled</v>
      </c>
      <c r="J60" s="7" t="str">
        <f>RawData!J60</f>
        <v>TRK70857868</v>
      </c>
      <c r="K60" s="7">
        <f>RawData!K60</f>
        <v>6</v>
      </c>
      <c r="L60" s="7" t="str">
        <f>IF(RawData!L60="","No Coupon",RawData!L60)</f>
        <v>SAVE10</v>
      </c>
      <c r="M60" s="7" t="str">
        <f>RawData!M60</f>
        <v>Google</v>
      </c>
      <c r="N60" s="7">
        <f>RawData!N60</f>
        <v>1898.76</v>
      </c>
    </row>
    <row r="61" spans="1:14" x14ac:dyDescent="0.3">
      <c r="A61" s="7" t="str">
        <f>RawData!A61</f>
        <v>ORD200059</v>
      </c>
      <c r="B61" s="11">
        <f>RawData!B61</f>
        <v>45546</v>
      </c>
      <c r="C61" s="7" t="str">
        <f>RawData!C61</f>
        <v>C97603</v>
      </c>
      <c r="D61" s="7" t="str">
        <f>RawData!D61</f>
        <v>Chair</v>
      </c>
      <c r="E61" s="7">
        <f>RawData!E61</f>
        <v>4</v>
      </c>
      <c r="F61" s="7">
        <f>RawData!F61</f>
        <v>593.27</v>
      </c>
      <c r="G61" s="7" t="str">
        <f>RawData!G61</f>
        <v>811 Main St</v>
      </c>
      <c r="H61" s="7" t="str">
        <f>RawData!H61</f>
        <v>Online</v>
      </c>
      <c r="I61" s="7" t="str">
        <f>RawData!I61</f>
        <v>Shipped</v>
      </c>
      <c r="J61" s="7" t="str">
        <f>RawData!J61</f>
        <v>TRK47055028</v>
      </c>
      <c r="K61" s="7">
        <f>RawData!K61</f>
        <v>5</v>
      </c>
      <c r="L61" s="7" t="str">
        <f>IF(RawData!L61="","No Coupon",RawData!L61)</f>
        <v>No Coupon</v>
      </c>
      <c r="M61" s="7" t="str">
        <f>RawData!M61</f>
        <v>Facebook</v>
      </c>
      <c r="N61" s="7">
        <f>RawData!N61</f>
        <v>2373.08</v>
      </c>
    </row>
    <row r="62" spans="1:14" x14ac:dyDescent="0.3">
      <c r="A62" s="7" t="str">
        <f>RawData!A62</f>
        <v>ORD200060</v>
      </c>
      <c r="B62" s="11">
        <f>RawData!B62</f>
        <v>45525</v>
      </c>
      <c r="C62" s="7" t="str">
        <f>RawData!C62</f>
        <v>C39256</v>
      </c>
      <c r="D62" s="7" t="str">
        <f>RawData!D62</f>
        <v>Desk</v>
      </c>
      <c r="E62" s="7">
        <f>RawData!E62</f>
        <v>1</v>
      </c>
      <c r="F62" s="7">
        <f>RawData!F62</f>
        <v>417.1</v>
      </c>
      <c r="G62" s="7" t="str">
        <f>RawData!G62</f>
        <v>634 Main St</v>
      </c>
      <c r="H62" s="7" t="str">
        <f>RawData!H62</f>
        <v>Debit Card</v>
      </c>
      <c r="I62" s="7" t="str">
        <f>RawData!I62</f>
        <v>Returned</v>
      </c>
      <c r="J62" s="7" t="str">
        <f>RawData!J62</f>
        <v>TRK23412025</v>
      </c>
      <c r="K62" s="7">
        <f>RawData!K62</f>
        <v>3</v>
      </c>
      <c r="L62" s="7" t="str">
        <f>IF(RawData!L62="","No Coupon",RawData!L62)</f>
        <v>FREESHIP</v>
      </c>
      <c r="M62" s="7" t="str">
        <f>RawData!M62</f>
        <v>Referral</v>
      </c>
      <c r="N62" s="7">
        <f>RawData!N62</f>
        <v>417.1</v>
      </c>
    </row>
    <row r="63" spans="1:14" x14ac:dyDescent="0.3">
      <c r="A63" s="7" t="str">
        <f>RawData!A63</f>
        <v>ORD200061</v>
      </c>
      <c r="B63" s="11">
        <f>RawData!B63</f>
        <v>45375</v>
      </c>
      <c r="C63" s="7" t="str">
        <f>RawData!C63</f>
        <v>C61618</v>
      </c>
      <c r="D63" s="7" t="str">
        <f>RawData!D63</f>
        <v>Desk</v>
      </c>
      <c r="E63" s="7">
        <f>RawData!E63</f>
        <v>4</v>
      </c>
      <c r="F63" s="7">
        <f>RawData!F63</f>
        <v>122.2</v>
      </c>
      <c r="G63" s="7" t="str">
        <f>RawData!G63</f>
        <v>104 Main St</v>
      </c>
      <c r="H63" s="7" t="str">
        <f>RawData!H63</f>
        <v>Cash</v>
      </c>
      <c r="I63" s="7" t="str">
        <f>RawData!I63</f>
        <v>Delivered</v>
      </c>
      <c r="J63" s="7" t="str">
        <f>RawData!J63</f>
        <v>TRK43458485</v>
      </c>
      <c r="K63" s="7">
        <f>RawData!K63</f>
        <v>7</v>
      </c>
      <c r="L63" s="7" t="str">
        <f>IF(RawData!L63="","No Coupon",RawData!L63)</f>
        <v>FREESHIP</v>
      </c>
      <c r="M63" s="7" t="str">
        <f>RawData!M63</f>
        <v>Facebook</v>
      </c>
      <c r="N63" s="7">
        <f>RawData!N63</f>
        <v>488.8</v>
      </c>
    </row>
    <row r="64" spans="1:14" x14ac:dyDescent="0.3">
      <c r="A64" s="7" t="str">
        <f>RawData!A64</f>
        <v>ORD200062</v>
      </c>
      <c r="B64" s="11">
        <f>RawData!B64</f>
        <v>45160</v>
      </c>
      <c r="C64" s="7" t="str">
        <f>RawData!C64</f>
        <v>C36497</v>
      </c>
      <c r="D64" s="7" t="str">
        <f>RawData!D64</f>
        <v>Desk</v>
      </c>
      <c r="E64" s="7">
        <f>RawData!E64</f>
        <v>2</v>
      </c>
      <c r="F64" s="7">
        <f>RawData!F64</f>
        <v>43.15</v>
      </c>
      <c r="G64" s="7" t="str">
        <f>RawData!G64</f>
        <v>691 Main St</v>
      </c>
      <c r="H64" s="7" t="str">
        <f>RawData!H64</f>
        <v>Debit Card</v>
      </c>
      <c r="I64" s="7" t="str">
        <f>RawData!I64</f>
        <v>Pending</v>
      </c>
      <c r="J64" s="7" t="str">
        <f>RawData!J64</f>
        <v>TRK12102911</v>
      </c>
      <c r="K64" s="7">
        <f>RawData!K64</f>
        <v>3</v>
      </c>
      <c r="L64" s="7" t="str">
        <f>IF(RawData!L64="","No Coupon",RawData!L64)</f>
        <v>WINTER15</v>
      </c>
      <c r="M64" s="7" t="str">
        <f>RawData!M64</f>
        <v>Email</v>
      </c>
      <c r="N64" s="7">
        <f>RawData!N64</f>
        <v>86.3</v>
      </c>
    </row>
    <row r="65" spans="1:14" x14ac:dyDescent="0.3">
      <c r="A65" s="7" t="str">
        <f>RawData!A65</f>
        <v>ORD200063</v>
      </c>
      <c r="B65" s="11">
        <f>RawData!B65</f>
        <v>45690</v>
      </c>
      <c r="C65" s="7" t="str">
        <f>RawData!C65</f>
        <v>C96695</v>
      </c>
      <c r="D65" s="7" t="str">
        <f>RawData!D65</f>
        <v>Chair</v>
      </c>
      <c r="E65" s="7">
        <f>RawData!E65</f>
        <v>1</v>
      </c>
      <c r="F65" s="7">
        <f>RawData!F65</f>
        <v>564.86</v>
      </c>
      <c r="G65" s="7" t="str">
        <f>RawData!G65</f>
        <v>813 Main St</v>
      </c>
      <c r="H65" s="7" t="str">
        <f>RawData!H65</f>
        <v>Debit Card</v>
      </c>
      <c r="I65" s="7" t="str">
        <f>RawData!I65</f>
        <v>Shipped</v>
      </c>
      <c r="J65" s="7" t="str">
        <f>RawData!J65</f>
        <v>TRK64283851</v>
      </c>
      <c r="K65" s="7">
        <f>RawData!K65</f>
        <v>6</v>
      </c>
      <c r="L65" s="7" t="str">
        <f>IF(RawData!L65="","No Coupon",RawData!L65)</f>
        <v>WINTER15</v>
      </c>
      <c r="M65" s="7" t="str">
        <f>RawData!M65</f>
        <v>Referral</v>
      </c>
      <c r="N65" s="7">
        <f>RawData!N65</f>
        <v>564.86</v>
      </c>
    </row>
    <row r="66" spans="1:14" x14ac:dyDescent="0.3">
      <c r="A66" s="7" t="str">
        <f>RawData!A66</f>
        <v>ORD200064</v>
      </c>
      <c r="B66" s="11">
        <f>RawData!B66</f>
        <v>45833</v>
      </c>
      <c r="C66" s="7" t="str">
        <f>RawData!C66</f>
        <v>C49720</v>
      </c>
      <c r="D66" s="7" t="str">
        <f>RawData!D66</f>
        <v>Printer</v>
      </c>
      <c r="E66" s="7">
        <f>RawData!E66</f>
        <v>3</v>
      </c>
      <c r="F66" s="7">
        <f>RawData!F66</f>
        <v>130.61000000000001</v>
      </c>
      <c r="G66" s="7" t="str">
        <f>RawData!G66</f>
        <v>752 Main St</v>
      </c>
      <c r="H66" s="7" t="str">
        <f>RawData!H66</f>
        <v>Debit Card</v>
      </c>
      <c r="I66" s="7" t="str">
        <f>RawData!I66</f>
        <v>Cancelled</v>
      </c>
      <c r="J66" s="7" t="str">
        <f>RawData!J66</f>
        <v>TRK55785217</v>
      </c>
      <c r="K66" s="7">
        <f>RawData!K66</f>
        <v>4</v>
      </c>
      <c r="L66" s="7" t="str">
        <f>IF(RawData!L66="","No Coupon",RawData!L66)</f>
        <v>FREESHIP</v>
      </c>
      <c r="M66" s="7" t="str">
        <f>RawData!M66</f>
        <v>Facebook</v>
      </c>
      <c r="N66" s="7">
        <f>RawData!N66</f>
        <v>391.83</v>
      </c>
    </row>
    <row r="67" spans="1:14" x14ac:dyDescent="0.3">
      <c r="A67" s="7" t="str">
        <f>RawData!A67</f>
        <v>ORD200065</v>
      </c>
      <c r="B67" s="11">
        <f>RawData!B67</f>
        <v>45290</v>
      </c>
      <c r="C67" s="7" t="str">
        <f>RawData!C67</f>
        <v>C97735</v>
      </c>
      <c r="D67" s="7" t="str">
        <f>RawData!D67</f>
        <v>Monitor</v>
      </c>
      <c r="E67" s="7">
        <f>RawData!E67</f>
        <v>5</v>
      </c>
      <c r="F67" s="7">
        <f>RawData!F67</f>
        <v>81.7</v>
      </c>
      <c r="G67" s="7" t="str">
        <f>RawData!G67</f>
        <v>385 Main St</v>
      </c>
      <c r="H67" s="7" t="str">
        <f>RawData!H67</f>
        <v>Credit Card</v>
      </c>
      <c r="I67" s="7" t="str">
        <f>RawData!I67</f>
        <v>Delivered</v>
      </c>
      <c r="J67" s="7" t="str">
        <f>RawData!J67</f>
        <v>TRK13743703</v>
      </c>
      <c r="K67" s="7">
        <f>RawData!K67</f>
        <v>6</v>
      </c>
      <c r="L67" s="7" t="str">
        <f>IF(RawData!L67="","No Coupon",RawData!L67)</f>
        <v>No Coupon</v>
      </c>
      <c r="M67" s="7" t="str">
        <f>RawData!M67</f>
        <v>Instagram</v>
      </c>
      <c r="N67" s="7">
        <f>RawData!N67</f>
        <v>408.5</v>
      </c>
    </row>
    <row r="68" spans="1:14" x14ac:dyDescent="0.3">
      <c r="A68" s="7" t="str">
        <f>RawData!A68</f>
        <v>ORD200066</v>
      </c>
      <c r="B68" s="11">
        <f>RawData!B68</f>
        <v>45611</v>
      </c>
      <c r="C68" s="7" t="str">
        <f>RawData!C68</f>
        <v>C18104</v>
      </c>
      <c r="D68" s="7" t="str">
        <f>RawData!D68</f>
        <v>Chair</v>
      </c>
      <c r="E68" s="7">
        <f>RawData!E68</f>
        <v>5</v>
      </c>
      <c r="F68" s="7">
        <f>RawData!F68</f>
        <v>127.18</v>
      </c>
      <c r="G68" s="7" t="str">
        <f>RawData!G68</f>
        <v>715 Main St</v>
      </c>
      <c r="H68" s="7" t="str">
        <f>RawData!H68</f>
        <v>Cash</v>
      </c>
      <c r="I68" s="7" t="str">
        <f>RawData!I68</f>
        <v>Cancelled</v>
      </c>
      <c r="J68" s="7" t="str">
        <f>RawData!J68</f>
        <v>TRK15488568</v>
      </c>
      <c r="K68" s="7">
        <f>RawData!K68</f>
        <v>9</v>
      </c>
      <c r="L68" s="7" t="str">
        <f>IF(RawData!L68="","No Coupon",RawData!L68)</f>
        <v>SAVE10</v>
      </c>
      <c r="M68" s="7" t="str">
        <f>RawData!M68</f>
        <v>Referral</v>
      </c>
      <c r="N68" s="7">
        <f>RawData!N68</f>
        <v>635.9</v>
      </c>
    </row>
    <row r="69" spans="1:14" x14ac:dyDescent="0.3">
      <c r="A69" s="7" t="str">
        <f>RawData!A69</f>
        <v>ORD200067</v>
      </c>
      <c r="B69" s="11">
        <f>RawData!B69</f>
        <v>45635</v>
      </c>
      <c r="C69" s="7" t="str">
        <f>RawData!C69</f>
        <v>C25587</v>
      </c>
      <c r="D69" s="7" t="str">
        <f>RawData!D69</f>
        <v>Printer</v>
      </c>
      <c r="E69" s="7">
        <f>RawData!E69</f>
        <v>4</v>
      </c>
      <c r="F69" s="7">
        <f>RawData!F69</f>
        <v>12.1</v>
      </c>
      <c r="G69" s="7" t="str">
        <f>RawData!G69</f>
        <v>440 Main St</v>
      </c>
      <c r="H69" s="7" t="str">
        <f>RawData!H69</f>
        <v>Debit Card</v>
      </c>
      <c r="I69" s="7" t="str">
        <f>RawData!I69</f>
        <v>Cancelled</v>
      </c>
      <c r="J69" s="7" t="str">
        <f>RawData!J69</f>
        <v>TRK55105323</v>
      </c>
      <c r="K69" s="7">
        <f>RawData!K69</f>
        <v>8</v>
      </c>
      <c r="L69" s="7" t="str">
        <f>IF(RawData!L69="","No Coupon",RawData!L69)</f>
        <v>No Coupon</v>
      </c>
      <c r="M69" s="7" t="str">
        <f>RawData!M69</f>
        <v>Google</v>
      </c>
      <c r="N69" s="7">
        <f>RawData!N69</f>
        <v>48.4</v>
      </c>
    </row>
    <row r="70" spans="1:14" x14ac:dyDescent="0.3">
      <c r="A70" s="7" t="str">
        <f>RawData!A70</f>
        <v>ORD200068</v>
      </c>
      <c r="B70" s="11">
        <f>RawData!B70</f>
        <v>45271</v>
      </c>
      <c r="C70" s="7" t="str">
        <f>RawData!C70</f>
        <v>C41598</v>
      </c>
      <c r="D70" s="7" t="str">
        <f>RawData!D70</f>
        <v>Chair</v>
      </c>
      <c r="E70" s="7">
        <f>RawData!E70</f>
        <v>3</v>
      </c>
      <c r="F70" s="7">
        <f>RawData!F70</f>
        <v>490.92</v>
      </c>
      <c r="G70" s="7" t="str">
        <f>RawData!G70</f>
        <v>709 Main St</v>
      </c>
      <c r="H70" s="7" t="str">
        <f>RawData!H70</f>
        <v>Credit Card</v>
      </c>
      <c r="I70" s="7" t="str">
        <f>RawData!I70</f>
        <v>Pending</v>
      </c>
      <c r="J70" s="7" t="str">
        <f>RawData!J70</f>
        <v>TRK81665940</v>
      </c>
      <c r="K70" s="7">
        <f>RawData!K70</f>
        <v>5</v>
      </c>
      <c r="L70" s="7" t="str">
        <f>IF(RawData!L70="","No Coupon",RawData!L70)</f>
        <v>FREESHIP</v>
      </c>
      <c r="M70" s="7" t="str">
        <f>RawData!M70</f>
        <v>Email</v>
      </c>
      <c r="N70" s="7">
        <f>RawData!N70</f>
        <v>1472.76</v>
      </c>
    </row>
    <row r="71" spans="1:14" x14ac:dyDescent="0.3">
      <c r="A71" s="7" t="str">
        <f>RawData!A71</f>
        <v>ORD200069</v>
      </c>
      <c r="B71" s="11">
        <f>RawData!B71</f>
        <v>45057</v>
      </c>
      <c r="C71" s="7" t="str">
        <f>RawData!C71</f>
        <v>C43338</v>
      </c>
      <c r="D71" s="7" t="str">
        <f>RawData!D71</f>
        <v>Monitor</v>
      </c>
      <c r="E71" s="7">
        <f>RawData!E71</f>
        <v>3</v>
      </c>
      <c r="F71" s="7">
        <f>RawData!F71</f>
        <v>478.65</v>
      </c>
      <c r="G71" s="7" t="str">
        <f>RawData!G71</f>
        <v>552 Main St</v>
      </c>
      <c r="H71" s="7" t="str">
        <f>RawData!H71</f>
        <v>Online</v>
      </c>
      <c r="I71" s="7" t="str">
        <f>RawData!I71</f>
        <v>Shipped</v>
      </c>
      <c r="J71" s="7" t="str">
        <f>RawData!J71</f>
        <v>TRK35241775</v>
      </c>
      <c r="K71" s="7">
        <f>RawData!K71</f>
        <v>4</v>
      </c>
      <c r="L71" s="7" t="str">
        <f>IF(RawData!L71="","No Coupon",RawData!L71)</f>
        <v>No Coupon</v>
      </c>
      <c r="M71" s="7" t="str">
        <f>RawData!M71</f>
        <v>Referral</v>
      </c>
      <c r="N71" s="7">
        <f>RawData!N71</f>
        <v>1435.95</v>
      </c>
    </row>
    <row r="72" spans="1:14" x14ac:dyDescent="0.3">
      <c r="A72" s="7" t="str">
        <f>RawData!A72</f>
        <v>ORD200070</v>
      </c>
      <c r="B72" s="11">
        <f>RawData!B72</f>
        <v>45072</v>
      </c>
      <c r="C72" s="7" t="str">
        <f>RawData!C72</f>
        <v>C25123</v>
      </c>
      <c r="D72" s="7" t="str">
        <f>RawData!D72</f>
        <v>Desk</v>
      </c>
      <c r="E72" s="7">
        <f>RawData!E72</f>
        <v>1</v>
      </c>
      <c r="F72" s="7">
        <f>RawData!F72</f>
        <v>629.21</v>
      </c>
      <c r="G72" s="7" t="str">
        <f>RawData!G72</f>
        <v>384 Main St</v>
      </c>
      <c r="H72" s="7" t="str">
        <f>RawData!H72</f>
        <v>Gift Card</v>
      </c>
      <c r="I72" s="7" t="str">
        <f>RawData!I72</f>
        <v>Pending</v>
      </c>
      <c r="J72" s="7" t="str">
        <f>RawData!J72</f>
        <v>TRK27812282</v>
      </c>
      <c r="K72" s="7">
        <f>RawData!K72</f>
        <v>2</v>
      </c>
      <c r="L72" s="7" t="str">
        <f>IF(RawData!L72="","No Coupon",RawData!L72)</f>
        <v>FREESHIP</v>
      </c>
      <c r="M72" s="7" t="str">
        <f>RawData!M72</f>
        <v>Instagram</v>
      </c>
      <c r="N72" s="7">
        <f>RawData!N72</f>
        <v>629.21</v>
      </c>
    </row>
    <row r="73" spans="1:14" x14ac:dyDescent="0.3">
      <c r="A73" s="7" t="str">
        <f>RawData!A73</f>
        <v>ORD200071</v>
      </c>
      <c r="B73" s="11">
        <f>RawData!B73</f>
        <v>45818</v>
      </c>
      <c r="C73" s="7" t="str">
        <f>RawData!C73</f>
        <v>C37454</v>
      </c>
      <c r="D73" s="7" t="str">
        <f>RawData!D73</f>
        <v>Monitor</v>
      </c>
      <c r="E73" s="7">
        <f>RawData!E73</f>
        <v>3</v>
      </c>
      <c r="F73" s="7">
        <f>RawData!F73</f>
        <v>434.45</v>
      </c>
      <c r="G73" s="7" t="str">
        <f>RawData!G73</f>
        <v>923 Main St</v>
      </c>
      <c r="H73" s="7" t="str">
        <f>RawData!H73</f>
        <v>Credit Card</v>
      </c>
      <c r="I73" s="7" t="str">
        <f>RawData!I73</f>
        <v>Pending</v>
      </c>
      <c r="J73" s="7" t="str">
        <f>RawData!J73</f>
        <v>TRK28252730</v>
      </c>
      <c r="K73" s="7">
        <f>RawData!K73</f>
        <v>4</v>
      </c>
      <c r="L73" s="7" t="str">
        <f>IF(RawData!L73="","No Coupon",RawData!L73)</f>
        <v>No Coupon</v>
      </c>
      <c r="M73" s="7" t="str">
        <f>RawData!M73</f>
        <v>Referral</v>
      </c>
      <c r="N73" s="7">
        <f>RawData!N73</f>
        <v>1303.3499999999999</v>
      </c>
    </row>
    <row r="74" spans="1:14" x14ac:dyDescent="0.3">
      <c r="A74" s="7" t="str">
        <f>RawData!A74</f>
        <v>ORD200072</v>
      </c>
      <c r="B74" s="11">
        <f>RawData!B74</f>
        <v>45648</v>
      </c>
      <c r="C74" s="7" t="str">
        <f>RawData!C74</f>
        <v>C19451</v>
      </c>
      <c r="D74" s="7" t="str">
        <f>RawData!D74</f>
        <v>Tablet</v>
      </c>
      <c r="E74" s="7">
        <f>RawData!E74</f>
        <v>4</v>
      </c>
      <c r="F74" s="7">
        <f>RawData!F74</f>
        <v>589.44000000000005</v>
      </c>
      <c r="G74" s="7" t="str">
        <f>RawData!G74</f>
        <v>942 Main St</v>
      </c>
      <c r="H74" s="7" t="str">
        <f>RawData!H74</f>
        <v>Gift Card</v>
      </c>
      <c r="I74" s="7" t="str">
        <f>RawData!I74</f>
        <v>Returned</v>
      </c>
      <c r="J74" s="7" t="str">
        <f>RawData!J74</f>
        <v>TRK87787793</v>
      </c>
      <c r="K74" s="7">
        <f>RawData!K74</f>
        <v>5</v>
      </c>
      <c r="L74" s="7" t="str">
        <f>IF(RawData!L74="","No Coupon",RawData!L74)</f>
        <v>No Coupon</v>
      </c>
      <c r="M74" s="7" t="str">
        <f>RawData!M74</f>
        <v>Facebook</v>
      </c>
      <c r="N74" s="7">
        <f>RawData!N74</f>
        <v>2357.7600000000002</v>
      </c>
    </row>
    <row r="75" spans="1:14" x14ac:dyDescent="0.3">
      <c r="A75" s="7" t="str">
        <f>RawData!A75</f>
        <v>ORD200073</v>
      </c>
      <c r="B75" s="11">
        <f>RawData!B75</f>
        <v>45049</v>
      </c>
      <c r="C75" s="7" t="str">
        <f>RawData!C75</f>
        <v>C17269</v>
      </c>
      <c r="D75" s="7" t="str">
        <f>RawData!D75</f>
        <v>Monitor</v>
      </c>
      <c r="E75" s="7">
        <f>RawData!E75</f>
        <v>4</v>
      </c>
      <c r="F75" s="7">
        <f>RawData!F75</f>
        <v>433.45</v>
      </c>
      <c r="G75" s="7" t="str">
        <f>RawData!G75</f>
        <v>129 Main St</v>
      </c>
      <c r="H75" s="7" t="str">
        <f>RawData!H75</f>
        <v>Gift Card</v>
      </c>
      <c r="I75" s="7" t="str">
        <f>RawData!I75</f>
        <v>Cancelled</v>
      </c>
      <c r="J75" s="7" t="str">
        <f>RawData!J75</f>
        <v>TRK79608389</v>
      </c>
      <c r="K75" s="7">
        <f>RawData!K75</f>
        <v>4</v>
      </c>
      <c r="L75" s="7" t="str">
        <f>IF(RawData!L75="","No Coupon",RawData!L75)</f>
        <v>No Coupon</v>
      </c>
      <c r="M75" s="7" t="str">
        <f>RawData!M75</f>
        <v>Facebook</v>
      </c>
      <c r="N75" s="7">
        <f>RawData!N75</f>
        <v>1733.8</v>
      </c>
    </row>
    <row r="76" spans="1:14" x14ac:dyDescent="0.3">
      <c r="A76" s="7" t="str">
        <f>RawData!A76</f>
        <v>ORD200074</v>
      </c>
      <c r="B76" s="11">
        <f>RawData!B76</f>
        <v>45101</v>
      </c>
      <c r="C76" s="7" t="str">
        <f>RawData!C76</f>
        <v>C25382</v>
      </c>
      <c r="D76" s="7" t="str">
        <f>RawData!D76</f>
        <v>Phone</v>
      </c>
      <c r="E76" s="7">
        <f>RawData!E76</f>
        <v>5</v>
      </c>
      <c r="F76" s="7">
        <f>RawData!F76</f>
        <v>90.87</v>
      </c>
      <c r="G76" s="7" t="str">
        <f>RawData!G76</f>
        <v>622 Main St</v>
      </c>
      <c r="H76" s="7" t="str">
        <f>RawData!H76</f>
        <v>Cash</v>
      </c>
      <c r="I76" s="7" t="str">
        <f>RawData!I76</f>
        <v>Pending</v>
      </c>
      <c r="J76" s="7" t="str">
        <f>RawData!J76</f>
        <v>TRK64691287</v>
      </c>
      <c r="K76" s="7">
        <f>RawData!K76</f>
        <v>5</v>
      </c>
      <c r="L76" s="7" t="str">
        <f>IF(RawData!L76="","No Coupon",RawData!L76)</f>
        <v>No Coupon</v>
      </c>
      <c r="M76" s="7" t="str">
        <f>RawData!M76</f>
        <v>Instagram</v>
      </c>
      <c r="N76" s="7">
        <f>RawData!N76</f>
        <v>454.35</v>
      </c>
    </row>
    <row r="77" spans="1:14" x14ac:dyDescent="0.3">
      <c r="A77" s="7" t="str">
        <f>RawData!A77</f>
        <v>ORD200075</v>
      </c>
      <c r="B77" s="11">
        <f>RawData!B77</f>
        <v>45195</v>
      </c>
      <c r="C77" s="7" t="str">
        <f>RawData!C77</f>
        <v>C80651</v>
      </c>
      <c r="D77" s="7" t="str">
        <f>RawData!D77</f>
        <v>Tablet</v>
      </c>
      <c r="E77" s="7">
        <f>RawData!E77</f>
        <v>3</v>
      </c>
      <c r="F77" s="7">
        <f>RawData!F77</f>
        <v>398.17</v>
      </c>
      <c r="G77" s="7" t="str">
        <f>RawData!G77</f>
        <v>917 Main St</v>
      </c>
      <c r="H77" s="7" t="str">
        <f>RawData!H77</f>
        <v>Debit Card</v>
      </c>
      <c r="I77" s="7" t="str">
        <f>RawData!I77</f>
        <v>Delivered</v>
      </c>
      <c r="J77" s="7" t="str">
        <f>RawData!J77</f>
        <v>TRK14846720</v>
      </c>
      <c r="K77" s="7">
        <f>RawData!K77</f>
        <v>5</v>
      </c>
      <c r="L77" s="7" t="str">
        <f>IF(RawData!L77="","No Coupon",RawData!L77)</f>
        <v>SAVE10</v>
      </c>
      <c r="M77" s="7" t="str">
        <f>RawData!M77</f>
        <v>Email</v>
      </c>
      <c r="N77" s="7">
        <f>RawData!N77</f>
        <v>1194.51</v>
      </c>
    </row>
    <row r="78" spans="1:14" x14ac:dyDescent="0.3">
      <c r="A78" s="7" t="str">
        <f>RawData!A78</f>
        <v>ORD200076</v>
      </c>
      <c r="B78" s="11">
        <f>RawData!B78</f>
        <v>45382</v>
      </c>
      <c r="C78" s="7" t="str">
        <f>RawData!C78</f>
        <v>C58638</v>
      </c>
      <c r="D78" s="7" t="str">
        <f>RawData!D78</f>
        <v>Laptop</v>
      </c>
      <c r="E78" s="7">
        <f>RawData!E78</f>
        <v>4</v>
      </c>
      <c r="F78" s="7">
        <f>RawData!F78</f>
        <v>382.88</v>
      </c>
      <c r="G78" s="7" t="str">
        <f>RawData!G78</f>
        <v>239 Main St</v>
      </c>
      <c r="H78" s="7" t="str">
        <f>RawData!H78</f>
        <v>Cash</v>
      </c>
      <c r="I78" s="7" t="str">
        <f>RawData!I78</f>
        <v>Cancelled</v>
      </c>
      <c r="J78" s="7" t="str">
        <f>RawData!J78</f>
        <v>TRK38224871</v>
      </c>
      <c r="K78" s="7">
        <f>RawData!K78</f>
        <v>6</v>
      </c>
      <c r="L78" s="7" t="str">
        <f>IF(RawData!L78="","No Coupon",RawData!L78)</f>
        <v>WINTER15</v>
      </c>
      <c r="M78" s="7" t="str">
        <f>RawData!M78</f>
        <v>Email</v>
      </c>
      <c r="N78" s="7">
        <f>RawData!N78</f>
        <v>1531.52</v>
      </c>
    </row>
    <row r="79" spans="1:14" x14ac:dyDescent="0.3">
      <c r="A79" s="7" t="str">
        <f>RawData!A79</f>
        <v>ORD200077</v>
      </c>
      <c r="B79" s="11">
        <f>RawData!B79</f>
        <v>45436</v>
      </c>
      <c r="C79" s="7" t="str">
        <f>RawData!C79</f>
        <v>C50121</v>
      </c>
      <c r="D79" s="7" t="str">
        <f>RawData!D79</f>
        <v>Phone</v>
      </c>
      <c r="E79" s="7">
        <f>RawData!E79</f>
        <v>1</v>
      </c>
      <c r="F79" s="7">
        <f>RawData!F79</f>
        <v>583.17999999999995</v>
      </c>
      <c r="G79" s="7" t="str">
        <f>RawData!G79</f>
        <v>348 Main St</v>
      </c>
      <c r="H79" s="7" t="str">
        <f>RawData!H79</f>
        <v>Credit Card</v>
      </c>
      <c r="I79" s="7" t="str">
        <f>RawData!I79</f>
        <v>Returned</v>
      </c>
      <c r="J79" s="7" t="str">
        <f>RawData!J79</f>
        <v>TRK79810059</v>
      </c>
      <c r="K79" s="7">
        <f>RawData!K79</f>
        <v>5</v>
      </c>
      <c r="L79" s="7" t="str">
        <f>IF(RawData!L79="","No Coupon",RawData!L79)</f>
        <v>No Coupon</v>
      </c>
      <c r="M79" s="7" t="str">
        <f>RawData!M79</f>
        <v>Google</v>
      </c>
      <c r="N79" s="7">
        <f>RawData!N79</f>
        <v>583.17999999999995</v>
      </c>
    </row>
    <row r="80" spans="1:14" x14ac:dyDescent="0.3">
      <c r="A80" s="7" t="str">
        <f>RawData!A80</f>
        <v>ORD200078</v>
      </c>
      <c r="B80" s="11">
        <f>RawData!B80</f>
        <v>45510</v>
      </c>
      <c r="C80" s="7" t="str">
        <f>RawData!C80</f>
        <v>C32029</v>
      </c>
      <c r="D80" s="7" t="str">
        <f>RawData!D80</f>
        <v>Printer</v>
      </c>
      <c r="E80" s="7">
        <f>RawData!E80</f>
        <v>4</v>
      </c>
      <c r="F80" s="7">
        <f>RawData!F80</f>
        <v>175.36</v>
      </c>
      <c r="G80" s="7" t="str">
        <f>RawData!G80</f>
        <v>146 Main St</v>
      </c>
      <c r="H80" s="7" t="str">
        <f>RawData!H80</f>
        <v>Debit Card</v>
      </c>
      <c r="I80" s="7" t="str">
        <f>RawData!I80</f>
        <v>Delivered</v>
      </c>
      <c r="J80" s="7" t="str">
        <f>RawData!J80</f>
        <v>TRK68535532</v>
      </c>
      <c r="K80" s="7">
        <f>RawData!K80</f>
        <v>4</v>
      </c>
      <c r="L80" s="7" t="str">
        <f>IF(RawData!L80="","No Coupon",RawData!L80)</f>
        <v>FREESHIP</v>
      </c>
      <c r="M80" s="7" t="str">
        <f>RawData!M80</f>
        <v>Instagram</v>
      </c>
      <c r="N80" s="7">
        <f>RawData!N80</f>
        <v>701.44</v>
      </c>
    </row>
    <row r="81" spans="1:14" x14ac:dyDescent="0.3">
      <c r="A81" s="7" t="str">
        <f>RawData!A81</f>
        <v>ORD200079</v>
      </c>
      <c r="B81" s="11">
        <f>RawData!B81</f>
        <v>45726</v>
      </c>
      <c r="C81" s="7" t="str">
        <f>RawData!C81</f>
        <v>C76700</v>
      </c>
      <c r="D81" s="7" t="str">
        <f>RawData!D81</f>
        <v>Tablet</v>
      </c>
      <c r="E81" s="7">
        <f>RawData!E81</f>
        <v>2</v>
      </c>
      <c r="F81" s="7">
        <f>RawData!F81</f>
        <v>311.91000000000003</v>
      </c>
      <c r="G81" s="7" t="str">
        <f>RawData!G81</f>
        <v>103 Main St</v>
      </c>
      <c r="H81" s="7" t="str">
        <f>RawData!H81</f>
        <v>Online</v>
      </c>
      <c r="I81" s="7" t="str">
        <f>RawData!I81</f>
        <v>Shipped</v>
      </c>
      <c r="J81" s="7" t="str">
        <f>RawData!J81</f>
        <v>TRK13036341</v>
      </c>
      <c r="K81" s="7">
        <f>RawData!K81</f>
        <v>2</v>
      </c>
      <c r="L81" s="7" t="str">
        <f>IF(RawData!L81="","No Coupon",RawData!L81)</f>
        <v>No Coupon</v>
      </c>
      <c r="M81" s="7" t="str">
        <f>RawData!M81</f>
        <v>Facebook</v>
      </c>
      <c r="N81" s="7">
        <f>RawData!N81</f>
        <v>623.82000000000005</v>
      </c>
    </row>
    <row r="82" spans="1:14" x14ac:dyDescent="0.3">
      <c r="A82" s="7" t="str">
        <f>RawData!A82</f>
        <v>ORD200080</v>
      </c>
      <c r="B82" s="11">
        <f>RawData!B82</f>
        <v>45104</v>
      </c>
      <c r="C82" s="7" t="str">
        <f>RawData!C82</f>
        <v>C29041</v>
      </c>
      <c r="D82" s="7" t="str">
        <f>RawData!D82</f>
        <v>Phone</v>
      </c>
      <c r="E82" s="7">
        <f>RawData!E82</f>
        <v>3</v>
      </c>
      <c r="F82" s="7">
        <f>RawData!F82</f>
        <v>589.55999999999995</v>
      </c>
      <c r="G82" s="7" t="str">
        <f>RawData!G82</f>
        <v>591 Main St</v>
      </c>
      <c r="H82" s="7" t="str">
        <f>RawData!H82</f>
        <v>Online</v>
      </c>
      <c r="I82" s="7" t="str">
        <f>RawData!I82</f>
        <v>Returned</v>
      </c>
      <c r="J82" s="7" t="str">
        <f>RawData!J82</f>
        <v>TRK28840655</v>
      </c>
      <c r="K82" s="7">
        <f>RawData!K82</f>
        <v>6</v>
      </c>
      <c r="L82" s="7" t="str">
        <f>IF(RawData!L82="","No Coupon",RawData!L82)</f>
        <v>No Coupon</v>
      </c>
      <c r="M82" s="7" t="str">
        <f>RawData!M82</f>
        <v>Facebook</v>
      </c>
      <c r="N82" s="7">
        <f>RawData!N82</f>
        <v>1768.68</v>
      </c>
    </row>
    <row r="83" spans="1:14" x14ac:dyDescent="0.3">
      <c r="A83" s="7" t="str">
        <f>RawData!A83</f>
        <v>ORD200081</v>
      </c>
      <c r="B83" s="11">
        <f>RawData!B83</f>
        <v>45085</v>
      </c>
      <c r="C83" s="7" t="str">
        <f>RawData!C83</f>
        <v>C29314</v>
      </c>
      <c r="D83" s="7" t="str">
        <f>RawData!D83</f>
        <v>Monitor</v>
      </c>
      <c r="E83" s="7">
        <f>RawData!E83</f>
        <v>2</v>
      </c>
      <c r="F83" s="7">
        <f>RawData!F83</f>
        <v>394.3</v>
      </c>
      <c r="G83" s="7" t="str">
        <f>RawData!G83</f>
        <v>496 Main St</v>
      </c>
      <c r="H83" s="7" t="str">
        <f>RawData!H83</f>
        <v>Cash</v>
      </c>
      <c r="I83" s="7" t="str">
        <f>RawData!I83</f>
        <v>Shipped</v>
      </c>
      <c r="J83" s="7" t="str">
        <f>RawData!J83</f>
        <v>TRK59876213</v>
      </c>
      <c r="K83" s="7">
        <f>RawData!K83</f>
        <v>6</v>
      </c>
      <c r="L83" s="7" t="str">
        <f>IF(RawData!L83="","No Coupon",RawData!L83)</f>
        <v>FREESHIP</v>
      </c>
      <c r="M83" s="7" t="str">
        <f>RawData!M83</f>
        <v>Email</v>
      </c>
      <c r="N83" s="7">
        <f>RawData!N83</f>
        <v>788.6</v>
      </c>
    </row>
    <row r="84" spans="1:14" x14ac:dyDescent="0.3">
      <c r="A84" s="7" t="str">
        <f>RawData!A84</f>
        <v>ORD200082</v>
      </c>
      <c r="B84" s="11">
        <f>RawData!B84</f>
        <v>45296</v>
      </c>
      <c r="C84" s="7" t="str">
        <f>RawData!C84</f>
        <v>C65799</v>
      </c>
      <c r="D84" s="7" t="str">
        <f>RawData!D84</f>
        <v>Tablet</v>
      </c>
      <c r="E84" s="7">
        <f>RawData!E84</f>
        <v>4</v>
      </c>
      <c r="F84" s="7">
        <f>RawData!F84</f>
        <v>565.20000000000005</v>
      </c>
      <c r="G84" s="7" t="str">
        <f>RawData!G84</f>
        <v>971 Main St</v>
      </c>
      <c r="H84" s="7" t="str">
        <f>RawData!H84</f>
        <v>Debit Card</v>
      </c>
      <c r="I84" s="7" t="str">
        <f>RawData!I84</f>
        <v>Shipped</v>
      </c>
      <c r="J84" s="7" t="str">
        <f>RawData!J84</f>
        <v>TRK66906607</v>
      </c>
      <c r="K84" s="7">
        <f>RawData!K84</f>
        <v>9</v>
      </c>
      <c r="L84" s="7" t="str">
        <f>IF(RawData!L84="","No Coupon",RawData!L84)</f>
        <v>SAVE10</v>
      </c>
      <c r="M84" s="7" t="str">
        <f>RawData!M84</f>
        <v>Google</v>
      </c>
      <c r="N84" s="7">
        <f>RawData!N84</f>
        <v>2260.8000000000002</v>
      </c>
    </row>
    <row r="85" spans="1:14" x14ac:dyDescent="0.3">
      <c r="A85" s="7" t="str">
        <f>RawData!A85</f>
        <v>ORD200083</v>
      </c>
      <c r="B85" s="11">
        <f>RawData!B85</f>
        <v>45160</v>
      </c>
      <c r="C85" s="7" t="str">
        <f>RawData!C85</f>
        <v>C15681</v>
      </c>
      <c r="D85" s="7" t="str">
        <f>RawData!D85</f>
        <v>Laptop</v>
      </c>
      <c r="E85" s="7">
        <f>RawData!E85</f>
        <v>4</v>
      </c>
      <c r="F85" s="7">
        <f>RawData!F85</f>
        <v>540.41</v>
      </c>
      <c r="G85" s="7" t="str">
        <f>RawData!G85</f>
        <v>989 Main St</v>
      </c>
      <c r="H85" s="7" t="str">
        <f>RawData!H85</f>
        <v>Credit Card</v>
      </c>
      <c r="I85" s="7" t="str">
        <f>RawData!I85</f>
        <v>Cancelled</v>
      </c>
      <c r="J85" s="7" t="str">
        <f>RawData!J85</f>
        <v>TRK75112172</v>
      </c>
      <c r="K85" s="7">
        <f>RawData!K85</f>
        <v>6</v>
      </c>
      <c r="L85" s="7" t="str">
        <f>IF(RawData!L85="","No Coupon",RawData!L85)</f>
        <v>No Coupon</v>
      </c>
      <c r="M85" s="7" t="str">
        <f>RawData!M85</f>
        <v>Referral</v>
      </c>
      <c r="N85" s="7">
        <f>RawData!N85</f>
        <v>2161.64</v>
      </c>
    </row>
    <row r="86" spans="1:14" x14ac:dyDescent="0.3">
      <c r="A86" s="7" t="str">
        <f>RawData!A86</f>
        <v>ORD200084</v>
      </c>
      <c r="B86" s="11">
        <f>RawData!B86</f>
        <v>45166</v>
      </c>
      <c r="C86" s="7" t="str">
        <f>RawData!C86</f>
        <v>C64160</v>
      </c>
      <c r="D86" s="7" t="str">
        <f>RawData!D86</f>
        <v>Monitor</v>
      </c>
      <c r="E86" s="7">
        <f>RawData!E86</f>
        <v>2</v>
      </c>
      <c r="F86" s="7">
        <f>RawData!F86</f>
        <v>165.49</v>
      </c>
      <c r="G86" s="7" t="str">
        <f>RawData!G86</f>
        <v>967 Main St</v>
      </c>
      <c r="H86" s="7" t="str">
        <f>RawData!H86</f>
        <v>Online</v>
      </c>
      <c r="I86" s="7" t="str">
        <f>RawData!I86</f>
        <v>Shipped</v>
      </c>
      <c r="J86" s="7" t="str">
        <f>RawData!J86</f>
        <v>TRK34121529</v>
      </c>
      <c r="K86" s="7">
        <f>RawData!K86</f>
        <v>4</v>
      </c>
      <c r="L86" s="7" t="str">
        <f>IF(RawData!L86="","No Coupon",RawData!L86)</f>
        <v>WINTER15</v>
      </c>
      <c r="M86" s="7" t="str">
        <f>RawData!M86</f>
        <v>Instagram</v>
      </c>
      <c r="N86" s="7">
        <f>RawData!N86</f>
        <v>330.98</v>
      </c>
    </row>
    <row r="87" spans="1:14" x14ac:dyDescent="0.3">
      <c r="A87" s="7" t="str">
        <f>RawData!A87</f>
        <v>ORD200085</v>
      </c>
      <c r="B87" s="11">
        <f>RawData!B87</f>
        <v>45544</v>
      </c>
      <c r="C87" s="7" t="str">
        <f>RawData!C87</f>
        <v>C14553</v>
      </c>
      <c r="D87" s="7" t="str">
        <f>RawData!D87</f>
        <v>Tablet</v>
      </c>
      <c r="E87" s="7">
        <f>RawData!E87</f>
        <v>3</v>
      </c>
      <c r="F87" s="7">
        <f>RawData!F87</f>
        <v>146.72999999999999</v>
      </c>
      <c r="G87" s="7" t="str">
        <f>RawData!G87</f>
        <v>768 Main St</v>
      </c>
      <c r="H87" s="7" t="str">
        <f>RawData!H87</f>
        <v>Cash</v>
      </c>
      <c r="I87" s="7" t="str">
        <f>RawData!I87</f>
        <v>Delivered</v>
      </c>
      <c r="J87" s="7" t="str">
        <f>RawData!J87</f>
        <v>TRK93538334</v>
      </c>
      <c r="K87" s="7">
        <f>RawData!K87</f>
        <v>8</v>
      </c>
      <c r="L87" s="7" t="str">
        <f>IF(RawData!L87="","No Coupon",RawData!L87)</f>
        <v>FREESHIP</v>
      </c>
      <c r="M87" s="7" t="str">
        <f>RawData!M87</f>
        <v>Email</v>
      </c>
      <c r="N87" s="7">
        <f>RawData!N87</f>
        <v>440.19</v>
      </c>
    </row>
    <row r="88" spans="1:14" x14ac:dyDescent="0.3">
      <c r="A88" s="7" t="str">
        <f>RawData!A88</f>
        <v>ORD200086</v>
      </c>
      <c r="B88" s="11">
        <f>RawData!B88</f>
        <v>45462</v>
      </c>
      <c r="C88" s="7" t="str">
        <f>RawData!C88</f>
        <v>C88205</v>
      </c>
      <c r="D88" s="7" t="str">
        <f>RawData!D88</f>
        <v>Printer</v>
      </c>
      <c r="E88" s="7">
        <f>RawData!E88</f>
        <v>5</v>
      </c>
      <c r="F88" s="7">
        <f>RawData!F88</f>
        <v>643.03</v>
      </c>
      <c r="G88" s="7" t="str">
        <f>RawData!G88</f>
        <v>447 Main St</v>
      </c>
      <c r="H88" s="7" t="str">
        <f>RawData!H88</f>
        <v>Online</v>
      </c>
      <c r="I88" s="7" t="str">
        <f>RawData!I88</f>
        <v>Cancelled</v>
      </c>
      <c r="J88" s="7" t="str">
        <f>RawData!J88</f>
        <v>TRK93504166</v>
      </c>
      <c r="K88" s="7">
        <f>RawData!K88</f>
        <v>5</v>
      </c>
      <c r="L88" s="7" t="str">
        <f>IF(RawData!L88="","No Coupon",RawData!L88)</f>
        <v>FREESHIP</v>
      </c>
      <c r="M88" s="7" t="str">
        <f>RawData!M88</f>
        <v>Referral</v>
      </c>
      <c r="N88" s="7">
        <f>RawData!N88</f>
        <v>3215.15</v>
      </c>
    </row>
    <row r="89" spans="1:14" x14ac:dyDescent="0.3">
      <c r="A89" s="7" t="str">
        <f>RawData!A89</f>
        <v>ORD200087</v>
      </c>
      <c r="B89" s="11">
        <f>RawData!B89</f>
        <v>45575</v>
      </c>
      <c r="C89" s="7" t="str">
        <f>RawData!C89</f>
        <v>C91245</v>
      </c>
      <c r="D89" s="7" t="str">
        <f>RawData!D89</f>
        <v>Tablet</v>
      </c>
      <c r="E89" s="7">
        <f>RawData!E89</f>
        <v>3</v>
      </c>
      <c r="F89" s="7">
        <f>RawData!F89</f>
        <v>225.11</v>
      </c>
      <c r="G89" s="7" t="str">
        <f>RawData!G89</f>
        <v>915 Main St</v>
      </c>
      <c r="H89" s="7" t="str">
        <f>RawData!H89</f>
        <v>Cash</v>
      </c>
      <c r="I89" s="7" t="str">
        <f>RawData!I89</f>
        <v>Shipped</v>
      </c>
      <c r="J89" s="7" t="str">
        <f>RawData!J89</f>
        <v>TRK46976391</v>
      </c>
      <c r="K89" s="7">
        <f>RawData!K89</f>
        <v>4</v>
      </c>
      <c r="L89" s="7" t="str">
        <f>IF(RawData!L89="","No Coupon",RawData!L89)</f>
        <v>SAVE10</v>
      </c>
      <c r="M89" s="7" t="str">
        <f>RawData!M89</f>
        <v>Facebook</v>
      </c>
      <c r="N89" s="7">
        <f>RawData!N89</f>
        <v>675.33</v>
      </c>
    </row>
    <row r="90" spans="1:14" x14ac:dyDescent="0.3">
      <c r="A90" s="7" t="str">
        <f>RawData!A90</f>
        <v>ORD200088</v>
      </c>
      <c r="B90" s="11">
        <f>RawData!B90</f>
        <v>45813</v>
      </c>
      <c r="C90" s="7" t="str">
        <f>RawData!C90</f>
        <v>C75439</v>
      </c>
      <c r="D90" s="7" t="str">
        <f>RawData!D90</f>
        <v>Desk</v>
      </c>
      <c r="E90" s="7">
        <f>RawData!E90</f>
        <v>3</v>
      </c>
      <c r="F90" s="7">
        <f>RawData!F90</f>
        <v>114.81</v>
      </c>
      <c r="G90" s="7" t="str">
        <f>RawData!G90</f>
        <v>318 Main St</v>
      </c>
      <c r="H90" s="7" t="str">
        <f>RawData!H90</f>
        <v>Gift Card</v>
      </c>
      <c r="I90" s="7" t="str">
        <f>RawData!I90</f>
        <v>Cancelled</v>
      </c>
      <c r="J90" s="7" t="str">
        <f>RawData!J90</f>
        <v>TRK19831653</v>
      </c>
      <c r="K90" s="7">
        <f>RawData!K90</f>
        <v>7</v>
      </c>
      <c r="L90" s="7" t="str">
        <f>IF(RawData!L90="","No Coupon",RawData!L90)</f>
        <v>No Coupon</v>
      </c>
      <c r="M90" s="7" t="str">
        <f>RawData!M90</f>
        <v>Google</v>
      </c>
      <c r="N90" s="7">
        <f>RawData!N90</f>
        <v>344.43</v>
      </c>
    </row>
    <row r="91" spans="1:14" x14ac:dyDescent="0.3">
      <c r="A91" s="7" t="str">
        <f>RawData!A91</f>
        <v>ORD200089</v>
      </c>
      <c r="B91" s="11">
        <f>RawData!B91</f>
        <v>45713</v>
      </c>
      <c r="C91" s="7" t="str">
        <f>RawData!C91</f>
        <v>C17181</v>
      </c>
      <c r="D91" s="7" t="str">
        <f>RawData!D91</f>
        <v>Printer</v>
      </c>
      <c r="E91" s="7">
        <f>RawData!E91</f>
        <v>5</v>
      </c>
      <c r="F91" s="7">
        <f>RawData!F91</f>
        <v>455.33</v>
      </c>
      <c r="G91" s="7" t="str">
        <f>RawData!G91</f>
        <v>291 Main St</v>
      </c>
      <c r="H91" s="7" t="str">
        <f>RawData!H91</f>
        <v>Credit Card</v>
      </c>
      <c r="I91" s="7" t="str">
        <f>RawData!I91</f>
        <v>Cancelled</v>
      </c>
      <c r="J91" s="7" t="str">
        <f>RawData!J91</f>
        <v>TRK78912978</v>
      </c>
      <c r="K91" s="7">
        <f>RawData!K91</f>
        <v>8</v>
      </c>
      <c r="L91" s="7" t="str">
        <f>IF(RawData!L91="","No Coupon",RawData!L91)</f>
        <v>FREESHIP</v>
      </c>
      <c r="M91" s="7" t="str">
        <f>RawData!M91</f>
        <v>Google</v>
      </c>
      <c r="N91" s="7">
        <f>RawData!N91</f>
        <v>2276.65</v>
      </c>
    </row>
    <row r="92" spans="1:14" x14ac:dyDescent="0.3">
      <c r="A92" s="7" t="str">
        <f>RawData!A92</f>
        <v>ORD200090</v>
      </c>
      <c r="B92" s="11">
        <f>RawData!B92</f>
        <v>45187</v>
      </c>
      <c r="C92" s="7" t="str">
        <f>RawData!C92</f>
        <v>C36540</v>
      </c>
      <c r="D92" s="7" t="str">
        <f>RawData!D92</f>
        <v>Chair</v>
      </c>
      <c r="E92" s="7">
        <f>RawData!E92</f>
        <v>4</v>
      </c>
      <c r="F92" s="7">
        <f>RawData!F92</f>
        <v>182.08</v>
      </c>
      <c r="G92" s="7" t="str">
        <f>RawData!G92</f>
        <v>611 Main St</v>
      </c>
      <c r="H92" s="7" t="str">
        <f>RawData!H92</f>
        <v>Gift Card</v>
      </c>
      <c r="I92" s="7" t="str">
        <f>RawData!I92</f>
        <v>Delivered</v>
      </c>
      <c r="J92" s="7" t="str">
        <f>RawData!J92</f>
        <v>TRK35828122</v>
      </c>
      <c r="K92" s="7">
        <f>RawData!K92</f>
        <v>4</v>
      </c>
      <c r="L92" s="7" t="str">
        <f>IF(RawData!L92="","No Coupon",RawData!L92)</f>
        <v>SAVE10</v>
      </c>
      <c r="M92" s="7" t="str">
        <f>RawData!M92</f>
        <v>Email</v>
      </c>
      <c r="N92" s="7">
        <f>RawData!N92</f>
        <v>728.32</v>
      </c>
    </row>
    <row r="93" spans="1:14" x14ac:dyDescent="0.3">
      <c r="A93" s="7" t="str">
        <f>RawData!A93</f>
        <v>ORD200091</v>
      </c>
      <c r="B93" s="11">
        <f>RawData!B93</f>
        <v>45000</v>
      </c>
      <c r="C93" s="7" t="str">
        <f>RawData!C93</f>
        <v>C98216</v>
      </c>
      <c r="D93" s="7" t="str">
        <f>RawData!D93</f>
        <v>Laptop</v>
      </c>
      <c r="E93" s="7">
        <f>RawData!E93</f>
        <v>5</v>
      </c>
      <c r="F93" s="7">
        <f>RawData!F93</f>
        <v>492.75</v>
      </c>
      <c r="G93" s="7" t="str">
        <f>RawData!G93</f>
        <v>196 Main St</v>
      </c>
      <c r="H93" s="7" t="str">
        <f>RawData!H93</f>
        <v>Cash</v>
      </c>
      <c r="I93" s="7" t="str">
        <f>RawData!I93</f>
        <v>Shipped</v>
      </c>
      <c r="J93" s="7" t="str">
        <f>RawData!J93</f>
        <v>TRK40986666</v>
      </c>
      <c r="K93" s="7">
        <f>RawData!K93</f>
        <v>6</v>
      </c>
      <c r="L93" s="7" t="str">
        <f>IF(RawData!L93="","No Coupon",RawData!L93)</f>
        <v>WINTER15</v>
      </c>
      <c r="M93" s="7" t="str">
        <f>RawData!M93</f>
        <v>Referral</v>
      </c>
      <c r="N93" s="7">
        <f>RawData!N93</f>
        <v>2463.75</v>
      </c>
    </row>
    <row r="94" spans="1:14" x14ac:dyDescent="0.3">
      <c r="A94" s="7" t="str">
        <f>RawData!A94</f>
        <v>ORD200092</v>
      </c>
      <c r="B94" s="11">
        <f>RawData!B94</f>
        <v>45453</v>
      </c>
      <c r="C94" s="7" t="str">
        <f>RawData!C94</f>
        <v>C29568</v>
      </c>
      <c r="D94" s="7" t="str">
        <f>RawData!D94</f>
        <v>Printer</v>
      </c>
      <c r="E94" s="7">
        <f>RawData!E94</f>
        <v>4</v>
      </c>
      <c r="F94" s="7">
        <f>RawData!F94</f>
        <v>48.61</v>
      </c>
      <c r="G94" s="7" t="str">
        <f>RawData!G94</f>
        <v>203 Main St</v>
      </c>
      <c r="H94" s="7" t="str">
        <f>RawData!H94</f>
        <v>Online</v>
      </c>
      <c r="I94" s="7" t="str">
        <f>RawData!I94</f>
        <v>Shipped</v>
      </c>
      <c r="J94" s="7" t="str">
        <f>RawData!J94</f>
        <v>TRK46531075</v>
      </c>
      <c r="K94" s="7">
        <f>RawData!K94</f>
        <v>7</v>
      </c>
      <c r="L94" s="7" t="str">
        <f>IF(RawData!L94="","No Coupon",RawData!L94)</f>
        <v>FREESHIP</v>
      </c>
      <c r="M94" s="7" t="str">
        <f>RawData!M94</f>
        <v>Facebook</v>
      </c>
      <c r="N94" s="7">
        <f>RawData!N94</f>
        <v>194.44</v>
      </c>
    </row>
    <row r="95" spans="1:14" x14ac:dyDescent="0.3">
      <c r="A95" s="7" t="str">
        <f>RawData!A95</f>
        <v>ORD200093</v>
      </c>
      <c r="B95" s="11">
        <f>RawData!B95</f>
        <v>44940</v>
      </c>
      <c r="C95" s="7" t="str">
        <f>RawData!C95</f>
        <v>C97262</v>
      </c>
      <c r="D95" s="7" t="str">
        <f>RawData!D95</f>
        <v>Desk</v>
      </c>
      <c r="E95" s="7">
        <f>RawData!E95</f>
        <v>4</v>
      </c>
      <c r="F95" s="7">
        <f>RawData!F95</f>
        <v>431.01</v>
      </c>
      <c r="G95" s="7" t="str">
        <f>RawData!G95</f>
        <v>837 Main St</v>
      </c>
      <c r="H95" s="7" t="str">
        <f>RawData!H95</f>
        <v>Credit Card</v>
      </c>
      <c r="I95" s="7" t="str">
        <f>RawData!I95</f>
        <v>Returned</v>
      </c>
      <c r="J95" s="7" t="str">
        <f>RawData!J95</f>
        <v>TRK65990229</v>
      </c>
      <c r="K95" s="7">
        <f>RawData!K95</f>
        <v>7</v>
      </c>
      <c r="L95" s="7" t="str">
        <f>IF(RawData!L95="","No Coupon",RawData!L95)</f>
        <v>No Coupon</v>
      </c>
      <c r="M95" s="7" t="str">
        <f>RawData!M95</f>
        <v>Referral</v>
      </c>
      <c r="N95" s="7">
        <f>RawData!N95</f>
        <v>1724.04</v>
      </c>
    </row>
    <row r="96" spans="1:14" x14ac:dyDescent="0.3">
      <c r="A96" s="7" t="str">
        <f>RawData!A96</f>
        <v>ORD200094</v>
      </c>
      <c r="B96" s="11">
        <f>RawData!B96</f>
        <v>44968</v>
      </c>
      <c r="C96" s="7" t="str">
        <f>RawData!C96</f>
        <v>C79821</v>
      </c>
      <c r="D96" s="7" t="str">
        <f>RawData!D96</f>
        <v>Chair</v>
      </c>
      <c r="E96" s="7">
        <f>RawData!E96</f>
        <v>1</v>
      </c>
      <c r="F96" s="7">
        <f>RawData!F96</f>
        <v>531.17999999999995</v>
      </c>
      <c r="G96" s="7" t="str">
        <f>RawData!G96</f>
        <v>781 Main St</v>
      </c>
      <c r="H96" s="7" t="str">
        <f>RawData!H96</f>
        <v>Gift Card</v>
      </c>
      <c r="I96" s="7" t="str">
        <f>RawData!I96</f>
        <v>Returned</v>
      </c>
      <c r="J96" s="7" t="str">
        <f>RawData!J96</f>
        <v>TRK12780193</v>
      </c>
      <c r="K96" s="7">
        <f>RawData!K96</f>
        <v>6</v>
      </c>
      <c r="L96" s="7" t="str">
        <f>IF(RawData!L96="","No Coupon",RawData!L96)</f>
        <v>WINTER15</v>
      </c>
      <c r="M96" s="7" t="str">
        <f>RawData!M96</f>
        <v>Instagram</v>
      </c>
      <c r="N96" s="7">
        <f>RawData!N96</f>
        <v>531.17999999999995</v>
      </c>
    </row>
    <row r="97" spans="1:14" x14ac:dyDescent="0.3">
      <c r="A97" s="7" t="str">
        <f>RawData!A97</f>
        <v>ORD200095</v>
      </c>
      <c r="B97" s="11">
        <f>RawData!B97</f>
        <v>45009</v>
      </c>
      <c r="C97" s="7" t="str">
        <f>RawData!C97</f>
        <v>C76761</v>
      </c>
      <c r="D97" s="7" t="str">
        <f>RawData!D97</f>
        <v>Printer</v>
      </c>
      <c r="E97" s="7">
        <f>RawData!E97</f>
        <v>4</v>
      </c>
      <c r="F97" s="7">
        <f>RawData!F97</f>
        <v>117.51</v>
      </c>
      <c r="G97" s="7" t="str">
        <f>RawData!G97</f>
        <v>839 Main St</v>
      </c>
      <c r="H97" s="7" t="str">
        <f>RawData!H97</f>
        <v>Debit Card</v>
      </c>
      <c r="I97" s="7" t="str">
        <f>RawData!I97</f>
        <v>Returned</v>
      </c>
      <c r="J97" s="7" t="str">
        <f>RawData!J97</f>
        <v>TRK60179774</v>
      </c>
      <c r="K97" s="7">
        <f>RawData!K97</f>
        <v>7</v>
      </c>
      <c r="L97" s="7" t="str">
        <f>IF(RawData!L97="","No Coupon",RawData!L97)</f>
        <v>No Coupon</v>
      </c>
      <c r="M97" s="7" t="str">
        <f>RawData!M97</f>
        <v>Referral</v>
      </c>
      <c r="N97" s="7">
        <f>RawData!N97</f>
        <v>470.04</v>
      </c>
    </row>
    <row r="98" spans="1:14" x14ac:dyDescent="0.3">
      <c r="A98" s="7" t="str">
        <f>RawData!A98</f>
        <v>ORD200096</v>
      </c>
      <c r="B98" s="11">
        <f>RawData!B98</f>
        <v>45444</v>
      </c>
      <c r="C98" s="7" t="str">
        <f>RawData!C98</f>
        <v>C93007</v>
      </c>
      <c r="D98" s="7" t="str">
        <f>RawData!D98</f>
        <v>Phone</v>
      </c>
      <c r="E98" s="7">
        <f>RawData!E98</f>
        <v>2</v>
      </c>
      <c r="F98" s="7">
        <f>RawData!F98</f>
        <v>232.83</v>
      </c>
      <c r="G98" s="7" t="str">
        <f>RawData!G98</f>
        <v>103 Main St</v>
      </c>
      <c r="H98" s="7" t="str">
        <f>RawData!H98</f>
        <v>Gift Card</v>
      </c>
      <c r="I98" s="7" t="str">
        <f>RawData!I98</f>
        <v>Delivered</v>
      </c>
      <c r="J98" s="7" t="str">
        <f>RawData!J98</f>
        <v>TRK85696091</v>
      </c>
      <c r="K98" s="7">
        <f>RawData!K98</f>
        <v>7</v>
      </c>
      <c r="L98" s="7" t="str">
        <f>IF(RawData!L98="","No Coupon",RawData!L98)</f>
        <v>No Coupon</v>
      </c>
      <c r="M98" s="7" t="str">
        <f>RawData!M98</f>
        <v>Instagram</v>
      </c>
      <c r="N98" s="7">
        <f>RawData!N98</f>
        <v>465.66</v>
      </c>
    </row>
    <row r="99" spans="1:14" x14ac:dyDescent="0.3">
      <c r="A99" s="7" t="str">
        <f>RawData!A99</f>
        <v>ORD200097</v>
      </c>
      <c r="B99" s="11">
        <f>RawData!B99</f>
        <v>45678</v>
      </c>
      <c r="C99" s="7" t="str">
        <f>RawData!C99</f>
        <v>C15624</v>
      </c>
      <c r="D99" s="7" t="str">
        <f>RawData!D99</f>
        <v>Tablet</v>
      </c>
      <c r="E99" s="7">
        <f>RawData!E99</f>
        <v>5</v>
      </c>
      <c r="F99" s="7">
        <f>RawData!F99</f>
        <v>619.52</v>
      </c>
      <c r="G99" s="7" t="str">
        <f>RawData!G99</f>
        <v>922 Main St</v>
      </c>
      <c r="H99" s="7" t="str">
        <f>RawData!H99</f>
        <v>Debit Card</v>
      </c>
      <c r="I99" s="7" t="str">
        <f>RawData!I99</f>
        <v>Pending</v>
      </c>
      <c r="J99" s="7" t="str">
        <f>RawData!J99</f>
        <v>TRK40621141</v>
      </c>
      <c r="K99" s="7">
        <f>RawData!K99</f>
        <v>9</v>
      </c>
      <c r="L99" s="7" t="str">
        <f>IF(RawData!L99="","No Coupon",RawData!L99)</f>
        <v>No Coupon</v>
      </c>
      <c r="M99" s="7" t="str">
        <f>RawData!M99</f>
        <v>Email</v>
      </c>
      <c r="N99" s="7">
        <f>RawData!N99</f>
        <v>3097.6</v>
      </c>
    </row>
    <row r="100" spans="1:14" x14ac:dyDescent="0.3">
      <c r="A100" s="7" t="str">
        <f>RawData!A100</f>
        <v>ORD200098</v>
      </c>
      <c r="B100" s="11">
        <f>RawData!B100</f>
        <v>44940</v>
      </c>
      <c r="C100" s="7" t="str">
        <f>RawData!C100</f>
        <v>C70921</v>
      </c>
      <c r="D100" s="7" t="str">
        <f>RawData!D100</f>
        <v>Printer</v>
      </c>
      <c r="E100" s="7">
        <f>RawData!E100</f>
        <v>2</v>
      </c>
      <c r="F100" s="7">
        <f>RawData!F100</f>
        <v>228.54</v>
      </c>
      <c r="G100" s="7" t="str">
        <f>RawData!G100</f>
        <v>533 Main St</v>
      </c>
      <c r="H100" s="7" t="str">
        <f>RawData!H100</f>
        <v>Debit Card</v>
      </c>
      <c r="I100" s="7" t="str">
        <f>RawData!I100</f>
        <v>Pending</v>
      </c>
      <c r="J100" s="7" t="str">
        <f>RawData!J100</f>
        <v>TRK54983109</v>
      </c>
      <c r="K100" s="7">
        <f>RawData!K100</f>
        <v>3</v>
      </c>
      <c r="L100" s="7" t="str">
        <f>IF(RawData!L100="","No Coupon",RawData!L100)</f>
        <v>No Coupon</v>
      </c>
      <c r="M100" s="7" t="str">
        <f>RawData!M100</f>
        <v>Email</v>
      </c>
      <c r="N100" s="7">
        <f>RawData!N100</f>
        <v>457.08</v>
      </c>
    </row>
    <row r="101" spans="1:14" x14ac:dyDescent="0.3">
      <c r="A101" s="7" t="str">
        <f>RawData!A101</f>
        <v>ORD200099</v>
      </c>
      <c r="B101" s="11">
        <f>RawData!B101</f>
        <v>45759</v>
      </c>
      <c r="C101" s="7" t="str">
        <f>RawData!C101</f>
        <v>C30477</v>
      </c>
      <c r="D101" s="7" t="str">
        <f>RawData!D101</f>
        <v>Printer</v>
      </c>
      <c r="E101" s="7">
        <f>RawData!E101</f>
        <v>1</v>
      </c>
      <c r="F101" s="7">
        <f>RawData!F101</f>
        <v>201.58</v>
      </c>
      <c r="G101" s="7" t="str">
        <f>RawData!G101</f>
        <v>717 Main St</v>
      </c>
      <c r="H101" s="7" t="str">
        <f>RawData!H101</f>
        <v>Debit Card</v>
      </c>
      <c r="I101" s="7" t="str">
        <f>RawData!I101</f>
        <v>Cancelled</v>
      </c>
      <c r="J101" s="7" t="str">
        <f>RawData!J101</f>
        <v>TRK51829648</v>
      </c>
      <c r="K101" s="7">
        <f>RawData!K101</f>
        <v>2</v>
      </c>
      <c r="L101" s="7" t="str">
        <f>IF(RawData!L101="","No Coupon",RawData!L101)</f>
        <v>WINTER15</v>
      </c>
      <c r="M101" s="7" t="str">
        <f>RawData!M101</f>
        <v>Email</v>
      </c>
      <c r="N101" s="7">
        <f>RawData!N101</f>
        <v>201.58</v>
      </c>
    </row>
    <row r="102" spans="1:14" x14ac:dyDescent="0.3">
      <c r="A102" s="7" t="str">
        <f>RawData!A102</f>
        <v>ORD200100</v>
      </c>
      <c r="B102" s="11">
        <f>RawData!B102</f>
        <v>44974</v>
      </c>
      <c r="C102" s="7" t="str">
        <f>RawData!C102</f>
        <v>C74866</v>
      </c>
      <c r="D102" s="7" t="str">
        <f>RawData!D102</f>
        <v>Phone</v>
      </c>
      <c r="E102" s="7">
        <f>RawData!E102</f>
        <v>3</v>
      </c>
      <c r="F102" s="7">
        <f>RawData!F102</f>
        <v>664.79</v>
      </c>
      <c r="G102" s="7" t="str">
        <f>RawData!G102</f>
        <v>743 Main St</v>
      </c>
      <c r="H102" s="7" t="str">
        <f>RawData!H102</f>
        <v>Online</v>
      </c>
      <c r="I102" s="7" t="str">
        <f>RawData!I102</f>
        <v>Delivered</v>
      </c>
      <c r="J102" s="7" t="str">
        <f>RawData!J102</f>
        <v>TRK53783265</v>
      </c>
      <c r="K102" s="7">
        <f>RawData!K102</f>
        <v>6</v>
      </c>
      <c r="L102" s="7" t="str">
        <f>IF(RawData!L102="","No Coupon",RawData!L102)</f>
        <v>No Coupon</v>
      </c>
      <c r="M102" s="7" t="str">
        <f>RawData!M102</f>
        <v>Facebook</v>
      </c>
      <c r="N102" s="7">
        <f>RawData!N102</f>
        <v>1994.37</v>
      </c>
    </row>
    <row r="103" spans="1:14" x14ac:dyDescent="0.3">
      <c r="A103" s="7" t="str">
        <f>RawData!A103</f>
        <v>ORD200101</v>
      </c>
      <c r="B103" s="11">
        <f>RawData!B103</f>
        <v>45255</v>
      </c>
      <c r="C103" s="7" t="str">
        <f>RawData!C103</f>
        <v>C15283</v>
      </c>
      <c r="D103" s="7" t="str">
        <f>RawData!D103</f>
        <v>Printer</v>
      </c>
      <c r="E103" s="7">
        <f>RawData!E103</f>
        <v>1</v>
      </c>
      <c r="F103" s="7">
        <f>RawData!F103</f>
        <v>381.02</v>
      </c>
      <c r="G103" s="7" t="str">
        <f>RawData!G103</f>
        <v>152 Main St</v>
      </c>
      <c r="H103" s="7" t="str">
        <f>RawData!H103</f>
        <v>Cash</v>
      </c>
      <c r="I103" s="7" t="str">
        <f>RawData!I103</f>
        <v>Shipped</v>
      </c>
      <c r="J103" s="7" t="str">
        <f>RawData!J103</f>
        <v>TRK19286291</v>
      </c>
      <c r="K103" s="7">
        <f>RawData!K103</f>
        <v>6</v>
      </c>
      <c r="L103" s="7" t="str">
        <f>IF(RawData!L103="","No Coupon",RawData!L103)</f>
        <v>No Coupon</v>
      </c>
      <c r="M103" s="7" t="str">
        <f>RawData!M103</f>
        <v>Google</v>
      </c>
      <c r="N103" s="7">
        <f>RawData!N103</f>
        <v>381.02</v>
      </c>
    </row>
    <row r="104" spans="1:14" x14ac:dyDescent="0.3">
      <c r="A104" s="7" t="str">
        <f>RawData!A104</f>
        <v>ORD200102</v>
      </c>
      <c r="B104" s="11">
        <f>RawData!B104</f>
        <v>44993</v>
      </c>
      <c r="C104" s="7" t="str">
        <f>RawData!C104</f>
        <v>C18037</v>
      </c>
      <c r="D104" s="7" t="str">
        <f>RawData!D104</f>
        <v>Laptop</v>
      </c>
      <c r="E104" s="7">
        <f>RawData!E104</f>
        <v>2</v>
      </c>
      <c r="F104" s="7">
        <f>RawData!F104</f>
        <v>70.34</v>
      </c>
      <c r="G104" s="7" t="str">
        <f>RawData!G104</f>
        <v>944 Main St</v>
      </c>
      <c r="H104" s="7" t="str">
        <f>RawData!H104</f>
        <v>Gift Card</v>
      </c>
      <c r="I104" s="7" t="str">
        <f>RawData!I104</f>
        <v>Cancelled</v>
      </c>
      <c r="J104" s="7" t="str">
        <f>RawData!J104</f>
        <v>TRK47362236</v>
      </c>
      <c r="K104" s="7">
        <f>RawData!K104</f>
        <v>3</v>
      </c>
      <c r="L104" s="7" t="str">
        <f>IF(RawData!L104="","No Coupon",RawData!L104)</f>
        <v>FREESHIP</v>
      </c>
      <c r="M104" s="7" t="str">
        <f>RawData!M104</f>
        <v>Email</v>
      </c>
      <c r="N104" s="7">
        <f>RawData!N104</f>
        <v>140.68</v>
      </c>
    </row>
    <row r="105" spans="1:14" x14ac:dyDescent="0.3">
      <c r="A105" s="7" t="str">
        <f>RawData!A105</f>
        <v>ORD200103</v>
      </c>
      <c r="B105" s="11">
        <f>RawData!B105</f>
        <v>45682</v>
      </c>
      <c r="C105" s="7" t="str">
        <f>RawData!C105</f>
        <v>C62656</v>
      </c>
      <c r="D105" s="7" t="str">
        <f>RawData!D105</f>
        <v>Phone</v>
      </c>
      <c r="E105" s="7">
        <f>RawData!E105</f>
        <v>4</v>
      </c>
      <c r="F105" s="7">
        <f>RawData!F105</f>
        <v>218.43</v>
      </c>
      <c r="G105" s="7" t="str">
        <f>RawData!G105</f>
        <v>514 Main St</v>
      </c>
      <c r="H105" s="7" t="str">
        <f>RawData!H105</f>
        <v>Credit Card</v>
      </c>
      <c r="I105" s="7" t="str">
        <f>RawData!I105</f>
        <v>Cancelled</v>
      </c>
      <c r="J105" s="7" t="str">
        <f>RawData!J105</f>
        <v>TRK86296459</v>
      </c>
      <c r="K105" s="7">
        <f>RawData!K105</f>
        <v>9</v>
      </c>
      <c r="L105" s="7" t="str">
        <f>IF(RawData!L105="","No Coupon",RawData!L105)</f>
        <v>SAVE10</v>
      </c>
      <c r="M105" s="7" t="str">
        <f>RawData!M105</f>
        <v>Email</v>
      </c>
      <c r="N105" s="7">
        <f>RawData!N105</f>
        <v>873.72</v>
      </c>
    </row>
    <row r="106" spans="1:14" x14ac:dyDescent="0.3">
      <c r="A106" s="7" t="str">
        <f>RawData!A106</f>
        <v>ORD200104</v>
      </c>
      <c r="B106" s="11">
        <f>RawData!B106</f>
        <v>45503</v>
      </c>
      <c r="C106" s="7" t="str">
        <f>RawData!C106</f>
        <v>C65744</v>
      </c>
      <c r="D106" s="7" t="str">
        <f>RawData!D106</f>
        <v>Phone</v>
      </c>
      <c r="E106" s="7">
        <f>RawData!E106</f>
        <v>1</v>
      </c>
      <c r="F106" s="7">
        <f>RawData!F106</f>
        <v>582.04</v>
      </c>
      <c r="G106" s="7" t="str">
        <f>RawData!G106</f>
        <v>647 Main St</v>
      </c>
      <c r="H106" s="7" t="str">
        <f>RawData!H106</f>
        <v>Gift Card</v>
      </c>
      <c r="I106" s="7" t="str">
        <f>RawData!I106</f>
        <v>Delivered</v>
      </c>
      <c r="J106" s="7" t="str">
        <f>RawData!J106</f>
        <v>TRK39906058</v>
      </c>
      <c r="K106" s="7">
        <f>RawData!K106</f>
        <v>1</v>
      </c>
      <c r="L106" s="7" t="str">
        <f>IF(RawData!L106="","No Coupon",RawData!L106)</f>
        <v>FREESHIP</v>
      </c>
      <c r="M106" s="7" t="str">
        <f>RawData!M106</f>
        <v>Email</v>
      </c>
      <c r="N106" s="7">
        <f>RawData!N106</f>
        <v>582.04</v>
      </c>
    </row>
    <row r="107" spans="1:14" x14ac:dyDescent="0.3">
      <c r="A107" s="7" t="str">
        <f>RawData!A107</f>
        <v>ORD200105</v>
      </c>
      <c r="B107" s="11">
        <f>RawData!B107</f>
        <v>45589</v>
      </c>
      <c r="C107" s="7" t="str">
        <f>RawData!C107</f>
        <v>C72290</v>
      </c>
      <c r="D107" s="7" t="str">
        <f>RawData!D107</f>
        <v>Printer</v>
      </c>
      <c r="E107" s="7">
        <f>RawData!E107</f>
        <v>3</v>
      </c>
      <c r="F107" s="7">
        <f>RawData!F107</f>
        <v>185.4</v>
      </c>
      <c r="G107" s="7" t="str">
        <f>RawData!G107</f>
        <v>810 Main St</v>
      </c>
      <c r="H107" s="7" t="str">
        <f>RawData!H107</f>
        <v>Gift Card</v>
      </c>
      <c r="I107" s="7" t="str">
        <f>RawData!I107</f>
        <v>Cancelled</v>
      </c>
      <c r="J107" s="7" t="str">
        <f>RawData!J107</f>
        <v>TRK68792129</v>
      </c>
      <c r="K107" s="7">
        <f>RawData!K107</f>
        <v>7</v>
      </c>
      <c r="L107" s="7" t="str">
        <f>IF(RawData!L107="","No Coupon",RawData!L107)</f>
        <v>No Coupon</v>
      </c>
      <c r="M107" s="7" t="str">
        <f>RawData!M107</f>
        <v>Facebook</v>
      </c>
      <c r="N107" s="7">
        <f>RawData!N107</f>
        <v>556.20000000000005</v>
      </c>
    </row>
    <row r="108" spans="1:14" x14ac:dyDescent="0.3">
      <c r="A108" s="7" t="str">
        <f>RawData!A108</f>
        <v>ORD200106</v>
      </c>
      <c r="B108" s="11">
        <f>RawData!B108</f>
        <v>45177</v>
      </c>
      <c r="C108" s="7" t="str">
        <f>RawData!C108</f>
        <v>C73514</v>
      </c>
      <c r="D108" s="7" t="str">
        <f>RawData!D108</f>
        <v>Desk</v>
      </c>
      <c r="E108" s="7">
        <f>RawData!E108</f>
        <v>3</v>
      </c>
      <c r="F108" s="7">
        <f>RawData!F108</f>
        <v>465.05</v>
      </c>
      <c r="G108" s="7" t="str">
        <f>RawData!G108</f>
        <v>126 Main St</v>
      </c>
      <c r="H108" s="7" t="str">
        <f>RawData!H108</f>
        <v>Credit Card</v>
      </c>
      <c r="I108" s="7" t="str">
        <f>RawData!I108</f>
        <v>Cancelled</v>
      </c>
      <c r="J108" s="7" t="str">
        <f>RawData!J108</f>
        <v>TRK96777924</v>
      </c>
      <c r="K108" s="7">
        <f>RawData!K108</f>
        <v>3</v>
      </c>
      <c r="L108" s="7" t="str">
        <f>IF(RawData!L108="","No Coupon",RawData!L108)</f>
        <v>SAVE10</v>
      </c>
      <c r="M108" s="7" t="str">
        <f>RawData!M108</f>
        <v>Email</v>
      </c>
      <c r="N108" s="7">
        <f>RawData!N108</f>
        <v>1395.15</v>
      </c>
    </row>
    <row r="109" spans="1:14" x14ac:dyDescent="0.3">
      <c r="A109" s="7" t="str">
        <f>RawData!A109</f>
        <v>ORD200107</v>
      </c>
      <c r="B109" s="11">
        <f>RawData!B109</f>
        <v>45012</v>
      </c>
      <c r="C109" s="7" t="str">
        <f>RawData!C109</f>
        <v>C16775</v>
      </c>
      <c r="D109" s="7" t="str">
        <f>RawData!D109</f>
        <v>Printer</v>
      </c>
      <c r="E109" s="7">
        <f>RawData!E109</f>
        <v>5</v>
      </c>
      <c r="F109" s="7">
        <f>RawData!F109</f>
        <v>670.75</v>
      </c>
      <c r="G109" s="7" t="str">
        <f>RawData!G109</f>
        <v>848 Main St</v>
      </c>
      <c r="H109" s="7" t="str">
        <f>RawData!H109</f>
        <v>Gift Card</v>
      </c>
      <c r="I109" s="7" t="str">
        <f>RawData!I109</f>
        <v>Shipped</v>
      </c>
      <c r="J109" s="7" t="str">
        <f>RawData!J109</f>
        <v>TRK34392124</v>
      </c>
      <c r="K109" s="7">
        <f>RawData!K109</f>
        <v>8</v>
      </c>
      <c r="L109" s="7" t="str">
        <f>IF(RawData!L109="","No Coupon",RawData!L109)</f>
        <v>FREESHIP</v>
      </c>
      <c r="M109" s="7" t="str">
        <f>RawData!M109</f>
        <v>Instagram</v>
      </c>
      <c r="N109" s="7">
        <f>RawData!N109</f>
        <v>3353.75</v>
      </c>
    </row>
    <row r="110" spans="1:14" x14ac:dyDescent="0.3">
      <c r="A110" s="7" t="str">
        <f>RawData!A110</f>
        <v>ORD200108</v>
      </c>
      <c r="B110" s="11">
        <f>RawData!B110</f>
        <v>45654</v>
      </c>
      <c r="C110" s="7" t="str">
        <f>RawData!C110</f>
        <v>C33099</v>
      </c>
      <c r="D110" s="7" t="str">
        <f>RawData!D110</f>
        <v>Laptop</v>
      </c>
      <c r="E110" s="7">
        <f>RawData!E110</f>
        <v>5</v>
      </c>
      <c r="F110" s="7">
        <f>RawData!F110</f>
        <v>48.38</v>
      </c>
      <c r="G110" s="7" t="str">
        <f>RawData!G110</f>
        <v>522 Main St</v>
      </c>
      <c r="H110" s="7" t="str">
        <f>RawData!H110</f>
        <v>Gift Card</v>
      </c>
      <c r="I110" s="7" t="str">
        <f>RawData!I110</f>
        <v>Delivered</v>
      </c>
      <c r="J110" s="7" t="str">
        <f>RawData!J110</f>
        <v>TRK28522330</v>
      </c>
      <c r="K110" s="7">
        <f>RawData!K110</f>
        <v>9</v>
      </c>
      <c r="L110" s="7" t="str">
        <f>IF(RawData!L110="","No Coupon",RawData!L110)</f>
        <v>WINTER15</v>
      </c>
      <c r="M110" s="7" t="str">
        <f>RawData!M110</f>
        <v>Email</v>
      </c>
      <c r="N110" s="7">
        <f>RawData!N110</f>
        <v>241.9</v>
      </c>
    </row>
    <row r="111" spans="1:14" x14ac:dyDescent="0.3">
      <c r="A111" s="7" t="str">
        <f>RawData!A111</f>
        <v>ORD200109</v>
      </c>
      <c r="B111" s="11">
        <f>RawData!B111</f>
        <v>45186</v>
      </c>
      <c r="C111" s="7" t="str">
        <f>RawData!C111</f>
        <v>C51157</v>
      </c>
      <c r="D111" s="7" t="str">
        <f>RawData!D111</f>
        <v>Desk</v>
      </c>
      <c r="E111" s="7">
        <f>RawData!E111</f>
        <v>3</v>
      </c>
      <c r="F111" s="7">
        <f>RawData!F111</f>
        <v>592.87</v>
      </c>
      <c r="G111" s="7" t="str">
        <f>RawData!G111</f>
        <v>131 Main St</v>
      </c>
      <c r="H111" s="7" t="str">
        <f>RawData!H111</f>
        <v>Gift Card</v>
      </c>
      <c r="I111" s="7" t="str">
        <f>RawData!I111</f>
        <v>Shipped</v>
      </c>
      <c r="J111" s="7" t="str">
        <f>RawData!J111</f>
        <v>TRK18674578</v>
      </c>
      <c r="K111" s="7">
        <f>RawData!K111</f>
        <v>3</v>
      </c>
      <c r="L111" s="7" t="str">
        <f>IF(RawData!L111="","No Coupon",RawData!L111)</f>
        <v>FREESHIP</v>
      </c>
      <c r="M111" s="7" t="str">
        <f>RawData!M111</f>
        <v>Referral</v>
      </c>
      <c r="N111" s="7">
        <f>RawData!N111</f>
        <v>1778.61</v>
      </c>
    </row>
    <row r="112" spans="1:14" x14ac:dyDescent="0.3">
      <c r="A112" s="7" t="str">
        <f>RawData!A112</f>
        <v>ORD200110</v>
      </c>
      <c r="B112" s="11">
        <f>RawData!B112</f>
        <v>45403</v>
      </c>
      <c r="C112" s="7" t="str">
        <f>RawData!C112</f>
        <v>C74562</v>
      </c>
      <c r="D112" s="7" t="str">
        <f>RawData!D112</f>
        <v>Tablet</v>
      </c>
      <c r="E112" s="7">
        <f>RawData!E112</f>
        <v>1</v>
      </c>
      <c r="F112" s="7">
        <f>RawData!F112</f>
        <v>220.77</v>
      </c>
      <c r="G112" s="7" t="str">
        <f>RawData!G112</f>
        <v>388 Main St</v>
      </c>
      <c r="H112" s="7" t="str">
        <f>RawData!H112</f>
        <v>Gift Card</v>
      </c>
      <c r="I112" s="7" t="str">
        <f>RawData!I112</f>
        <v>Pending</v>
      </c>
      <c r="J112" s="7" t="str">
        <f>RawData!J112</f>
        <v>TRK32062079</v>
      </c>
      <c r="K112" s="7">
        <f>RawData!K112</f>
        <v>5</v>
      </c>
      <c r="L112" s="7" t="str">
        <f>IF(RawData!L112="","No Coupon",RawData!L112)</f>
        <v>FREESHIP</v>
      </c>
      <c r="M112" s="7" t="str">
        <f>RawData!M112</f>
        <v>Instagram</v>
      </c>
      <c r="N112" s="7">
        <f>RawData!N112</f>
        <v>220.77</v>
      </c>
    </row>
    <row r="113" spans="1:14" x14ac:dyDescent="0.3">
      <c r="A113" s="7" t="str">
        <f>RawData!A113</f>
        <v>ORD200111</v>
      </c>
      <c r="B113" s="11">
        <f>RawData!B113</f>
        <v>45784</v>
      </c>
      <c r="C113" s="7" t="str">
        <f>RawData!C113</f>
        <v>C95271</v>
      </c>
      <c r="D113" s="7" t="str">
        <f>RawData!D113</f>
        <v>Desk</v>
      </c>
      <c r="E113" s="7">
        <f>RawData!E113</f>
        <v>3</v>
      </c>
      <c r="F113" s="7">
        <f>RawData!F113</f>
        <v>309.22000000000003</v>
      </c>
      <c r="G113" s="7" t="str">
        <f>RawData!G113</f>
        <v>620 Main St</v>
      </c>
      <c r="H113" s="7" t="str">
        <f>RawData!H113</f>
        <v>Online</v>
      </c>
      <c r="I113" s="7" t="str">
        <f>RawData!I113</f>
        <v>Cancelled</v>
      </c>
      <c r="J113" s="7" t="str">
        <f>RawData!J113</f>
        <v>TRK74904969</v>
      </c>
      <c r="K113" s="7">
        <f>RawData!K113</f>
        <v>7</v>
      </c>
      <c r="L113" s="7" t="str">
        <f>IF(RawData!L113="","No Coupon",RawData!L113)</f>
        <v>FREESHIP</v>
      </c>
      <c r="M113" s="7" t="str">
        <f>RawData!M113</f>
        <v>Google</v>
      </c>
      <c r="N113" s="7">
        <f>RawData!N113</f>
        <v>927.66</v>
      </c>
    </row>
    <row r="114" spans="1:14" x14ac:dyDescent="0.3">
      <c r="A114" s="7" t="str">
        <f>RawData!A114</f>
        <v>ORD200112</v>
      </c>
      <c r="B114" s="11">
        <f>RawData!B114</f>
        <v>44927</v>
      </c>
      <c r="C114" s="7" t="str">
        <f>RawData!C114</f>
        <v>C81366</v>
      </c>
      <c r="D114" s="7" t="str">
        <f>RawData!D114</f>
        <v>Monitor</v>
      </c>
      <c r="E114" s="7">
        <f>RawData!E114</f>
        <v>1</v>
      </c>
      <c r="F114" s="7">
        <f>RawData!F114</f>
        <v>410.6</v>
      </c>
      <c r="G114" s="7" t="str">
        <f>RawData!G114</f>
        <v>423 Main St</v>
      </c>
      <c r="H114" s="7" t="str">
        <f>RawData!H114</f>
        <v>Online</v>
      </c>
      <c r="I114" s="7" t="str">
        <f>RawData!I114</f>
        <v>Cancelled</v>
      </c>
      <c r="J114" s="7" t="str">
        <f>RawData!J114</f>
        <v>TRK17062206</v>
      </c>
      <c r="K114" s="7">
        <f>RawData!K114</f>
        <v>2</v>
      </c>
      <c r="L114" s="7" t="str">
        <f>IF(RawData!L114="","No Coupon",RawData!L114)</f>
        <v>WINTER15</v>
      </c>
      <c r="M114" s="7" t="str">
        <f>RawData!M114</f>
        <v>Referral</v>
      </c>
      <c r="N114" s="7">
        <f>RawData!N114</f>
        <v>410.6</v>
      </c>
    </row>
    <row r="115" spans="1:14" x14ac:dyDescent="0.3">
      <c r="A115" s="7" t="str">
        <f>RawData!A115</f>
        <v>ORD200113</v>
      </c>
      <c r="B115" s="11">
        <f>RawData!B115</f>
        <v>45308</v>
      </c>
      <c r="C115" s="7" t="str">
        <f>RawData!C115</f>
        <v>C65905</v>
      </c>
      <c r="D115" s="7" t="str">
        <f>RawData!D115</f>
        <v>Laptop</v>
      </c>
      <c r="E115" s="7">
        <f>RawData!E115</f>
        <v>5</v>
      </c>
      <c r="F115" s="7">
        <f>RawData!F115</f>
        <v>190.08</v>
      </c>
      <c r="G115" s="7" t="str">
        <f>RawData!G115</f>
        <v>605 Main St</v>
      </c>
      <c r="H115" s="7" t="str">
        <f>RawData!H115</f>
        <v>Cash</v>
      </c>
      <c r="I115" s="7" t="str">
        <f>RawData!I115</f>
        <v>Shipped</v>
      </c>
      <c r="J115" s="7" t="str">
        <f>RawData!J115</f>
        <v>TRK73954365</v>
      </c>
      <c r="K115" s="7">
        <f>RawData!K115</f>
        <v>9</v>
      </c>
      <c r="L115" s="7" t="str">
        <f>IF(RawData!L115="","No Coupon",RawData!L115)</f>
        <v>FREESHIP</v>
      </c>
      <c r="M115" s="7" t="str">
        <f>RawData!M115</f>
        <v>Instagram</v>
      </c>
      <c r="N115" s="7">
        <f>RawData!N115</f>
        <v>950.4</v>
      </c>
    </row>
    <row r="116" spans="1:14" x14ac:dyDescent="0.3">
      <c r="A116" s="7" t="str">
        <f>RawData!A116</f>
        <v>ORD200114</v>
      </c>
      <c r="B116" s="11">
        <f>RawData!B116</f>
        <v>45684</v>
      </c>
      <c r="C116" s="7" t="str">
        <f>RawData!C116</f>
        <v>C77272</v>
      </c>
      <c r="D116" s="7" t="str">
        <f>RawData!D116</f>
        <v>Monitor</v>
      </c>
      <c r="E116" s="7">
        <f>RawData!E116</f>
        <v>5</v>
      </c>
      <c r="F116" s="7">
        <f>RawData!F116</f>
        <v>498.48</v>
      </c>
      <c r="G116" s="7" t="str">
        <f>RawData!G116</f>
        <v>115 Main St</v>
      </c>
      <c r="H116" s="7" t="str">
        <f>RawData!H116</f>
        <v>Online</v>
      </c>
      <c r="I116" s="7" t="str">
        <f>RawData!I116</f>
        <v>Pending</v>
      </c>
      <c r="J116" s="7" t="str">
        <f>RawData!J116</f>
        <v>TRK29708128</v>
      </c>
      <c r="K116" s="7">
        <f>RawData!K116</f>
        <v>8</v>
      </c>
      <c r="L116" s="7" t="str">
        <f>IF(RawData!L116="","No Coupon",RawData!L116)</f>
        <v>SAVE10</v>
      </c>
      <c r="M116" s="7" t="str">
        <f>RawData!M116</f>
        <v>Google</v>
      </c>
      <c r="N116" s="7">
        <f>RawData!N116</f>
        <v>2492.4</v>
      </c>
    </row>
    <row r="117" spans="1:14" x14ac:dyDescent="0.3">
      <c r="A117" s="7" t="str">
        <f>RawData!A117</f>
        <v>ORD200115</v>
      </c>
      <c r="B117" s="11">
        <f>RawData!B117</f>
        <v>45257</v>
      </c>
      <c r="C117" s="7" t="str">
        <f>RawData!C117</f>
        <v>C32580</v>
      </c>
      <c r="D117" s="7" t="str">
        <f>RawData!D117</f>
        <v>Phone</v>
      </c>
      <c r="E117" s="7">
        <f>RawData!E117</f>
        <v>5</v>
      </c>
      <c r="F117" s="7">
        <f>RawData!F117</f>
        <v>374.99</v>
      </c>
      <c r="G117" s="7" t="str">
        <f>RawData!G117</f>
        <v>122 Main St</v>
      </c>
      <c r="H117" s="7" t="str">
        <f>RawData!H117</f>
        <v>Online</v>
      </c>
      <c r="I117" s="7" t="str">
        <f>RawData!I117</f>
        <v>Shipped</v>
      </c>
      <c r="J117" s="7" t="str">
        <f>RawData!J117</f>
        <v>TRK23670394</v>
      </c>
      <c r="K117" s="7">
        <f>RawData!K117</f>
        <v>9</v>
      </c>
      <c r="L117" s="7" t="str">
        <f>IF(RawData!L117="","No Coupon",RawData!L117)</f>
        <v>SAVE10</v>
      </c>
      <c r="M117" s="7" t="str">
        <f>RawData!M117</f>
        <v>Facebook</v>
      </c>
      <c r="N117" s="7">
        <f>RawData!N117</f>
        <v>1874.95</v>
      </c>
    </row>
    <row r="118" spans="1:14" x14ac:dyDescent="0.3">
      <c r="A118" s="7" t="str">
        <f>RawData!A118</f>
        <v>ORD200116</v>
      </c>
      <c r="B118" s="11">
        <f>RawData!B118</f>
        <v>45004</v>
      </c>
      <c r="C118" s="7" t="str">
        <f>RawData!C118</f>
        <v>C47761</v>
      </c>
      <c r="D118" s="7" t="str">
        <f>RawData!D118</f>
        <v>Printer</v>
      </c>
      <c r="E118" s="7">
        <f>RawData!E118</f>
        <v>4</v>
      </c>
      <c r="F118" s="7">
        <f>RawData!F118</f>
        <v>291.35000000000002</v>
      </c>
      <c r="G118" s="7" t="str">
        <f>RawData!G118</f>
        <v>109 Main St</v>
      </c>
      <c r="H118" s="7" t="str">
        <f>RawData!H118</f>
        <v>Credit Card</v>
      </c>
      <c r="I118" s="7" t="str">
        <f>RawData!I118</f>
        <v>Cancelled</v>
      </c>
      <c r="J118" s="7" t="str">
        <f>RawData!J118</f>
        <v>TRK66669207</v>
      </c>
      <c r="K118" s="7">
        <f>RawData!K118</f>
        <v>6</v>
      </c>
      <c r="L118" s="7" t="str">
        <f>IF(RawData!L118="","No Coupon",RawData!L118)</f>
        <v>WINTER15</v>
      </c>
      <c r="M118" s="7" t="str">
        <f>RawData!M118</f>
        <v>Facebook</v>
      </c>
      <c r="N118" s="7">
        <f>RawData!N118</f>
        <v>1165.4000000000001</v>
      </c>
    </row>
    <row r="119" spans="1:14" x14ac:dyDescent="0.3">
      <c r="A119" s="7" t="str">
        <f>RawData!A119</f>
        <v>ORD200117</v>
      </c>
      <c r="B119" s="11">
        <f>RawData!B119</f>
        <v>44993</v>
      </c>
      <c r="C119" s="7" t="str">
        <f>RawData!C119</f>
        <v>C49187</v>
      </c>
      <c r="D119" s="7" t="str">
        <f>RawData!D119</f>
        <v>Tablet</v>
      </c>
      <c r="E119" s="7">
        <f>RawData!E119</f>
        <v>1</v>
      </c>
      <c r="F119" s="7">
        <f>RawData!F119</f>
        <v>535.5</v>
      </c>
      <c r="G119" s="7" t="str">
        <f>RawData!G119</f>
        <v>593 Main St</v>
      </c>
      <c r="H119" s="7" t="str">
        <f>RawData!H119</f>
        <v>Gift Card</v>
      </c>
      <c r="I119" s="7" t="str">
        <f>RawData!I119</f>
        <v>Cancelled</v>
      </c>
      <c r="J119" s="7" t="str">
        <f>RawData!J119</f>
        <v>TRK81888598</v>
      </c>
      <c r="K119" s="7">
        <f>RawData!K119</f>
        <v>5</v>
      </c>
      <c r="L119" s="7" t="str">
        <f>IF(RawData!L119="","No Coupon",RawData!L119)</f>
        <v>WINTER15</v>
      </c>
      <c r="M119" s="7" t="str">
        <f>RawData!M119</f>
        <v>Referral</v>
      </c>
      <c r="N119" s="7">
        <f>RawData!N119</f>
        <v>535.5</v>
      </c>
    </row>
    <row r="120" spans="1:14" x14ac:dyDescent="0.3">
      <c r="A120" s="7" t="str">
        <f>RawData!A120</f>
        <v>ORD200118</v>
      </c>
      <c r="B120" s="11">
        <f>RawData!B120</f>
        <v>45208</v>
      </c>
      <c r="C120" s="7" t="str">
        <f>RawData!C120</f>
        <v>C27898</v>
      </c>
      <c r="D120" s="7" t="str">
        <f>RawData!D120</f>
        <v>Printer</v>
      </c>
      <c r="E120" s="7">
        <f>RawData!E120</f>
        <v>5</v>
      </c>
      <c r="F120" s="7">
        <f>RawData!F120</f>
        <v>502.71</v>
      </c>
      <c r="G120" s="7" t="str">
        <f>RawData!G120</f>
        <v>807 Main St</v>
      </c>
      <c r="H120" s="7" t="str">
        <f>RawData!H120</f>
        <v>Gift Card</v>
      </c>
      <c r="I120" s="7" t="str">
        <f>RawData!I120</f>
        <v>Shipped</v>
      </c>
      <c r="J120" s="7" t="str">
        <f>RawData!J120</f>
        <v>TRK61957665</v>
      </c>
      <c r="K120" s="7">
        <f>RawData!K120</f>
        <v>7</v>
      </c>
      <c r="L120" s="7" t="str">
        <f>IF(RawData!L120="","No Coupon",RawData!L120)</f>
        <v>FREESHIP</v>
      </c>
      <c r="M120" s="7" t="str">
        <f>RawData!M120</f>
        <v>Google</v>
      </c>
      <c r="N120" s="7">
        <f>RawData!N120</f>
        <v>2513.5500000000002</v>
      </c>
    </row>
    <row r="121" spans="1:14" x14ac:dyDescent="0.3">
      <c r="A121" s="7" t="str">
        <f>RawData!A121</f>
        <v>ORD200119</v>
      </c>
      <c r="B121" s="11">
        <f>RawData!B121</f>
        <v>45819</v>
      </c>
      <c r="C121" s="7" t="str">
        <f>RawData!C121</f>
        <v>C14683</v>
      </c>
      <c r="D121" s="7" t="str">
        <f>RawData!D121</f>
        <v>Desk</v>
      </c>
      <c r="E121" s="7">
        <f>RawData!E121</f>
        <v>2</v>
      </c>
      <c r="F121" s="7">
        <f>RawData!F121</f>
        <v>534.66999999999996</v>
      </c>
      <c r="G121" s="7" t="str">
        <f>RawData!G121</f>
        <v>187 Main St</v>
      </c>
      <c r="H121" s="7" t="str">
        <f>RawData!H121</f>
        <v>Debit Card</v>
      </c>
      <c r="I121" s="7" t="str">
        <f>RawData!I121</f>
        <v>Shipped</v>
      </c>
      <c r="J121" s="7" t="str">
        <f>RawData!J121</f>
        <v>TRK47373682</v>
      </c>
      <c r="K121" s="7">
        <f>RawData!K121</f>
        <v>7</v>
      </c>
      <c r="L121" s="7" t="str">
        <f>IF(RawData!L121="","No Coupon",RawData!L121)</f>
        <v>FREESHIP</v>
      </c>
      <c r="M121" s="7" t="str">
        <f>RawData!M121</f>
        <v>Referral</v>
      </c>
      <c r="N121" s="7">
        <f>RawData!N121</f>
        <v>1069.3399999999999</v>
      </c>
    </row>
    <row r="122" spans="1:14" x14ac:dyDescent="0.3">
      <c r="A122" s="7" t="str">
        <f>RawData!A122</f>
        <v>ORD200120</v>
      </c>
      <c r="B122" s="11">
        <f>RawData!B122</f>
        <v>45027</v>
      </c>
      <c r="C122" s="7" t="str">
        <f>RawData!C122</f>
        <v>C58108</v>
      </c>
      <c r="D122" s="7" t="str">
        <f>RawData!D122</f>
        <v>Tablet</v>
      </c>
      <c r="E122" s="7">
        <f>RawData!E122</f>
        <v>4</v>
      </c>
      <c r="F122" s="7">
        <f>RawData!F122</f>
        <v>629.34</v>
      </c>
      <c r="G122" s="7" t="str">
        <f>RawData!G122</f>
        <v>986 Main St</v>
      </c>
      <c r="H122" s="7" t="str">
        <f>RawData!H122</f>
        <v>Cash</v>
      </c>
      <c r="I122" s="7" t="str">
        <f>RawData!I122</f>
        <v>Cancelled</v>
      </c>
      <c r="J122" s="7" t="str">
        <f>RawData!J122</f>
        <v>TRK66218053</v>
      </c>
      <c r="K122" s="7">
        <f>RawData!K122</f>
        <v>4</v>
      </c>
      <c r="L122" s="7" t="str">
        <f>IF(RawData!L122="","No Coupon",RawData!L122)</f>
        <v>WINTER15</v>
      </c>
      <c r="M122" s="7" t="str">
        <f>RawData!M122</f>
        <v>Instagram</v>
      </c>
      <c r="N122" s="7">
        <f>RawData!N122</f>
        <v>2517.36</v>
      </c>
    </row>
    <row r="123" spans="1:14" x14ac:dyDescent="0.3">
      <c r="A123" s="7" t="str">
        <f>RawData!A123</f>
        <v>ORD200121</v>
      </c>
      <c r="B123" s="11">
        <f>RawData!B123</f>
        <v>45260</v>
      </c>
      <c r="C123" s="7" t="str">
        <f>RawData!C123</f>
        <v>C89822</v>
      </c>
      <c r="D123" s="7" t="str">
        <f>RawData!D123</f>
        <v>Desk</v>
      </c>
      <c r="E123" s="7">
        <f>RawData!E123</f>
        <v>1</v>
      </c>
      <c r="F123" s="7">
        <f>RawData!F123</f>
        <v>410.78</v>
      </c>
      <c r="G123" s="7" t="str">
        <f>RawData!G123</f>
        <v>673 Main St</v>
      </c>
      <c r="H123" s="7" t="str">
        <f>RawData!H123</f>
        <v>Cash</v>
      </c>
      <c r="I123" s="7" t="str">
        <f>RawData!I123</f>
        <v>Cancelled</v>
      </c>
      <c r="J123" s="7" t="str">
        <f>RawData!J123</f>
        <v>TRK24138598</v>
      </c>
      <c r="K123" s="7">
        <f>RawData!K123</f>
        <v>1</v>
      </c>
      <c r="L123" s="7" t="str">
        <f>IF(RawData!L123="","No Coupon",RawData!L123)</f>
        <v>FREESHIP</v>
      </c>
      <c r="M123" s="7" t="str">
        <f>RawData!M123</f>
        <v>Instagram</v>
      </c>
      <c r="N123" s="7">
        <f>RawData!N123</f>
        <v>410.78</v>
      </c>
    </row>
    <row r="124" spans="1:14" x14ac:dyDescent="0.3">
      <c r="A124" s="7" t="str">
        <f>RawData!A124</f>
        <v>ORD200122</v>
      </c>
      <c r="B124" s="11">
        <f>RawData!B124</f>
        <v>45397</v>
      </c>
      <c r="C124" s="7" t="str">
        <f>RawData!C124</f>
        <v>C96787</v>
      </c>
      <c r="D124" s="7" t="str">
        <f>RawData!D124</f>
        <v>Laptop</v>
      </c>
      <c r="E124" s="7">
        <f>RawData!E124</f>
        <v>2</v>
      </c>
      <c r="F124" s="7">
        <f>RawData!F124</f>
        <v>533.02</v>
      </c>
      <c r="G124" s="7" t="str">
        <f>RawData!G124</f>
        <v>588 Main St</v>
      </c>
      <c r="H124" s="7" t="str">
        <f>RawData!H124</f>
        <v>Gift Card</v>
      </c>
      <c r="I124" s="7" t="str">
        <f>RawData!I124</f>
        <v>Shipped</v>
      </c>
      <c r="J124" s="7" t="str">
        <f>RawData!J124</f>
        <v>TRK30422853</v>
      </c>
      <c r="K124" s="7">
        <f>RawData!K124</f>
        <v>2</v>
      </c>
      <c r="L124" s="7" t="str">
        <f>IF(RawData!L124="","No Coupon",RawData!L124)</f>
        <v>No Coupon</v>
      </c>
      <c r="M124" s="7" t="str">
        <f>RawData!M124</f>
        <v>Facebook</v>
      </c>
      <c r="N124" s="7">
        <f>RawData!N124</f>
        <v>1066.04</v>
      </c>
    </row>
    <row r="125" spans="1:14" x14ac:dyDescent="0.3">
      <c r="A125" s="7" t="str">
        <f>RawData!A125</f>
        <v>ORD200123</v>
      </c>
      <c r="B125" s="11">
        <f>RawData!B125</f>
        <v>45113</v>
      </c>
      <c r="C125" s="7" t="str">
        <f>RawData!C125</f>
        <v>C86064</v>
      </c>
      <c r="D125" s="7" t="str">
        <f>RawData!D125</f>
        <v>Desk</v>
      </c>
      <c r="E125" s="7">
        <f>RawData!E125</f>
        <v>3</v>
      </c>
      <c r="F125" s="7">
        <f>RawData!F125</f>
        <v>278.04000000000002</v>
      </c>
      <c r="G125" s="7" t="str">
        <f>RawData!G125</f>
        <v>727 Main St</v>
      </c>
      <c r="H125" s="7" t="str">
        <f>RawData!H125</f>
        <v>Online</v>
      </c>
      <c r="I125" s="7" t="str">
        <f>RawData!I125</f>
        <v>Delivered</v>
      </c>
      <c r="J125" s="7" t="str">
        <f>RawData!J125</f>
        <v>TRK62182901</v>
      </c>
      <c r="K125" s="7">
        <f>RawData!K125</f>
        <v>5</v>
      </c>
      <c r="L125" s="7" t="str">
        <f>IF(RawData!L125="","No Coupon",RawData!L125)</f>
        <v>No Coupon</v>
      </c>
      <c r="M125" s="7" t="str">
        <f>RawData!M125</f>
        <v>Instagram</v>
      </c>
      <c r="N125" s="7">
        <f>RawData!N125</f>
        <v>834.12</v>
      </c>
    </row>
    <row r="126" spans="1:14" x14ac:dyDescent="0.3">
      <c r="A126" s="7" t="str">
        <f>RawData!A126</f>
        <v>ORD200124</v>
      </c>
      <c r="B126" s="11">
        <f>RawData!B126</f>
        <v>45501</v>
      </c>
      <c r="C126" s="7" t="str">
        <f>RawData!C126</f>
        <v>C97148</v>
      </c>
      <c r="D126" s="7" t="str">
        <f>RawData!D126</f>
        <v>Printer</v>
      </c>
      <c r="E126" s="7">
        <f>RawData!E126</f>
        <v>4</v>
      </c>
      <c r="F126" s="7">
        <f>RawData!F126</f>
        <v>283.79000000000002</v>
      </c>
      <c r="G126" s="7" t="str">
        <f>RawData!G126</f>
        <v>563 Main St</v>
      </c>
      <c r="H126" s="7" t="str">
        <f>RawData!H126</f>
        <v>Online</v>
      </c>
      <c r="I126" s="7" t="str">
        <f>RawData!I126</f>
        <v>Pending</v>
      </c>
      <c r="J126" s="7" t="str">
        <f>RawData!J126</f>
        <v>TRK85321126</v>
      </c>
      <c r="K126" s="7">
        <f>RawData!K126</f>
        <v>8</v>
      </c>
      <c r="L126" s="7" t="str">
        <f>IF(RawData!L126="","No Coupon",RawData!L126)</f>
        <v>No Coupon</v>
      </c>
      <c r="M126" s="7" t="str">
        <f>RawData!M126</f>
        <v>Google</v>
      </c>
      <c r="N126" s="7">
        <f>RawData!N126</f>
        <v>1135.1600000000001</v>
      </c>
    </row>
    <row r="127" spans="1:14" x14ac:dyDescent="0.3">
      <c r="A127" s="7" t="str">
        <f>RawData!A127</f>
        <v>ORD200125</v>
      </c>
      <c r="B127" s="11">
        <f>RawData!B127</f>
        <v>45602</v>
      </c>
      <c r="C127" s="7" t="str">
        <f>RawData!C127</f>
        <v>C91099</v>
      </c>
      <c r="D127" s="7" t="str">
        <f>RawData!D127</f>
        <v>Phone</v>
      </c>
      <c r="E127" s="7">
        <f>RawData!E127</f>
        <v>2</v>
      </c>
      <c r="F127" s="7">
        <f>RawData!F127</f>
        <v>512.65</v>
      </c>
      <c r="G127" s="7" t="str">
        <f>RawData!G127</f>
        <v>758 Main St</v>
      </c>
      <c r="H127" s="7" t="str">
        <f>RawData!H127</f>
        <v>Credit Card</v>
      </c>
      <c r="I127" s="7" t="str">
        <f>RawData!I127</f>
        <v>Shipped</v>
      </c>
      <c r="J127" s="7" t="str">
        <f>RawData!J127</f>
        <v>TRK81846174</v>
      </c>
      <c r="K127" s="7">
        <f>RawData!K127</f>
        <v>5</v>
      </c>
      <c r="L127" s="7" t="str">
        <f>IF(RawData!L127="","No Coupon",RawData!L127)</f>
        <v>SAVE10</v>
      </c>
      <c r="M127" s="7" t="str">
        <f>RawData!M127</f>
        <v>Email</v>
      </c>
      <c r="N127" s="7">
        <f>RawData!N127</f>
        <v>1025.3</v>
      </c>
    </row>
    <row r="128" spans="1:14" x14ac:dyDescent="0.3">
      <c r="A128" s="7" t="str">
        <f>RawData!A128</f>
        <v>ORD200126</v>
      </c>
      <c r="B128" s="11">
        <f>RawData!B128</f>
        <v>45780</v>
      </c>
      <c r="C128" s="7" t="str">
        <f>RawData!C128</f>
        <v>C55606</v>
      </c>
      <c r="D128" s="7" t="str">
        <f>RawData!D128</f>
        <v>Desk</v>
      </c>
      <c r="E128" s="7">
        <f>RawData!E128</f>
        <v>4</v>
      </c>
      <c r="F128" s="7">
        <f>RawData!F128</f>
        <v>275.5</v>
      </c>
      <c r="G128" s="7" t="str">
        <f>RawData!G128</f>
        <v>353 Main St</v>
      </c>
      <c r="H128" s="7" t="str">
        <f>RawData!H128</f>
        <v>Gift Card</v>
      </c>
      <c r="I128" s="7" t="str">
        <f>RawData!I128</f>
        <v>Shipped</v>
      </c>
      <c r="J128" s="7" t="str">
        <f>RawData!J128</f>
        <v>TRK68250319</v>
      </c>
      <c r="K128" s="7">
        <f>RawData!K128</f>
        <v>8</v>
      </c>
      <c r="L128" s="7" t="str">
        <f>IF(RawData!L128="","No Coupon",RawData!L128)</f>
        <v>FREESHIP</v>
      </c>
      <c r="M128" s="7" t="str">
        <f>RawData!M128</f>
        <v>Google</v>
      </c>
      <c r="N128" s="7">
        <f>RawData!N128</f>
        <v>1102</v>
      </c>
    </row>
    <row r="129" spans="1:14" x14ac:dyDescent="0.3">
      <c r="A129" s="7" t="str">
        <f>RawData!A129</f>
        <v>ORD200127</v>
      </c>
      <c r="B129" s="11">
        <f>RawData!B129</f>
        <v>45148</v>
      </c>
      <c r="C129" s="7" t="str">
        <f>RawData!C129</f>
        <v>C71486</v>
      </c>
      <c r="D129" s="7" t="str">
        <f>RawData!D129</f>
        <v>Desk</v>
      </c>
      <c r="E129" s="7">
        <f>RawData!E129</f>
        <v>3</v>
      </c>
      <c r="F129" s="7">
        <f>RawData!F129</f>
        <v>469.32</v>
      </c>
      <c r="G129" s="7" t="str">
        <f>RawData!G129</f>
        <v>365 Main St</v>
      </c>
      <c r="H129" s="7" t="str">
        <f>RawData!H129</f>
        <v>Debit Card</v>
      </c>
      <c r="I129" s="7" t="str">
        <f>RawData!I129</f>
        <v>Shipped</v>
      </c>
      <c r="J129" s="7" t="str">
        <f>RawData!J129</f>
        <v>TRK73929833</v>
      </c>
      <c r="K129" s="7">
        <f>RawData!K129</f>
        <v>3</v>
      </c>
      <c r="L129" s="7" t="str">
        <f>IF(RawData!L129="","No Coupon",RawData!L129)</f>
        <v>No Coupon</v>
      </c>
      <c r="M129" s="7" t="str">
        <f>RawData!M129</f>
        <v>Google</v>
      </c>
      <c r="N129" s="7">
        <f>RawData!N129</f>
        <v>1407.96</v>
      </c>
    </row>
    <row r="130" spans="1:14" x14ac:dyDescent="0.3">
      <c r="A130" s="7" t="str">
        <f>RawData!A130</f>
        <v>ORD200128</v>
      </c>
      <c r="B130" s="11">
        <f>RawData!B130</f>
        <v>44974</v>
      </c>
      <c r="C130" s="7" t="str">
        <f>RawData!C130</f>
        <v>C86408</v>
      </c>
      <c r="D130" s="7" t="str">
        <f>RawData!D130</f>
        <v>Tablet</v>
      </c>
      <c r="E130" s="7">
        <f>RawData!E130</f>
        <v>4</v>
      </c>
      <c r="F130" s="7">
        <f>RawData!F130</f>
        <v>21.07</v>
      </c>
      <c r="G130" s="7" t="str">
        <f>RawData!G130</f>
        <v>244 Main St</v>
      </c>
      <c r="H130" s="7" t="str">
        <f>RawData!H130</f>
        <v>Gift Card</v>
      </c>
      <c r="I130" s="7" t="str">
        <f>RawData!I130</f>
        <v>Delivered</v>
      </c>
      <c r="J130" s="7" t="str">
        <f>RawData!J130</f>
        <v>TRK41432648</v>
      </c>
      <c r="K130" s="7">
        <f>RawData!K130</f>
        <v>4</v>
      </c>
      <c r="L130" s="7" t="str">
        <f>IF(RawData!L130="","No Coupon",RawData!L130)</f>
        <v>FREESHIP</v>
      </c>
      <c r="M130" s="7" t="str">
        <f>RawData!M130</f>
        <v>Google</v>
      </c>
      <c r="N130" s="7">
        <f>RawData!N130</f>
        <v>84.28</v>
      </c>
    </row>
    <row r="131" spans="1:14" x14ac:dyDescent="0.3">
      <c r="A131" s="7" t="str">
        <f>RawData!A131</f>
        <v>ORD200129</v>
      </c>
      <c r="B131" s="11">
        <f>RawData!B131</f>
        <v>45226</v>
      </c>
      <c r="C131" s="7" t="str">
        <f>RawData!C131</f>
        <v>C52751</v>
      </c>
      <c r="D131" s="7" t="str">
        <f>RawData!D131</f>
        <v>Laptop</v>
      </c>
      <c r="E131" s="7">
        <f>RawData!E131</f>
        <v>4</v>
      </c>
      <c r="F131" s="7">
        <f>RawData!F131</f>
        <v>263.93</v>
      </c>
      <c r="G131" s="7" t="str">
        <f>RawData!G131</f>
        <v>427 Main St</v>
      </c>
      <c r="H131" s="7" t="str">
        <f>RawData!H131</f>
        <v>Debit Card</v>
      </c>
      <c r="I131" s="7" t="str">
        <f>RawData!I131</f>
        <v>Shipped</v>
      </c>
      <c r="J131" s="7" t="str">
        <f>RawData!J131</f>
        <v>TRK72481234</v>
      </c>
      <c r="K131" s="7">
        <f>RawData!K131</f>
        <v>4</v>
      </c>
      <c r="L131" s="7" t="str">
        <f>IF(RawData!L131="","No Coupon",RawData!L131)</f>
        <v>FREESHIP</v>
      </c>
      <c r="M131" s="7" t="str">
        <f>RawData!M131</f>
        <v>Facebook</v>
      </c>
      <c r="N131" s="7">
        <f>RawData!N131</f>
        <v>1055.72</v>
      </c>
    </row>
    <row r="132" spans="1:14" x14ac:dyDescent="0.3">
      <c r="A132" s="7" t="str">
        <f>RawData!A132</f>
        <v>ORD200130</v>
      </c>
      <c r="B132" s="11">
        <f>RawData!B132</f>
        <v>45679</v>
      </c>
      <c r="C132" s="7" t="str">
        <f>RawData!C132</f>
        <v>C29059</v>
      </c>
      <c r="D132" s="7" t="str">
        <f>RawData!D132</f>
        <v>Desk</v>
      </c>
      <c r="E132" s="7">
        <f>RawData!E132</f>
        <v>3</v>
      </c>
      <c r="F132" s="7">
        <f>RawData!F132</f>
        <v>501.3</v>
      </c>
      <c r="G132" s="7" t="str">
        <f>RawData!G132</f>
        <v>513 Main St</v>
      </c>
      <c r="H132" s="7" t="str">
        <f>RawData!H132</f>
        <v>Online</v>
      </c>
      <c r="I132" s="7" t="str">
        <f>RawData!I132</f>
        <v>Cancelled</v>
      </c>
      <c r="J132" s="7" t="str">
        <f>RawData!J132</f>
        <v>TRK88360704</v>
      </c>
      <c r="K132" s="7">
        <f>RawData!K132</f>
        <v>3</v>
      </c>
      <c r="L132" s="7" t="str">
        <f>IF(RawData!L132="","No Coupon",RawData!L132)</f>
        <v>WINTER15</v>
      </c>
      <c r="M132" s="7" t="str">
        <f>RawData!M132</f>
        <v>Facebook</v>
      </c>
      <c r="N132" s="7">
        <f>RawData!N132</f>
        <v>1503.9</v>
      </c>
    </row>
    <row r="133" spans="1:14" x14ac:dyDescent="0.3">
      <c r="A133" s="7" t="str">
        <f>RawData!A133</f>
        <v>ORD200131</v>
      </c>
      <c r="B133" s="11">
        <f>RawData!B133</f>
        <v>44934</v>
      </c>
      <c r="C133" s="7" t="str">
        <f>RawData!C133</f>
        <v>C72862</v>
      </c>
      <c r="D133" s="7" t="str">
        <f>RawData!D133</f>
        <v>Tablet</v>
      </c>
      <c r="E133" s="7">
        <f>RawData!E133</f>
        <v>1</v>
      </c>
      <c r="F133" s="7">
        <f>RawData!F133</f>
        <v>84.8</v>
      </c>
      <c r="G133" s="7" t="str">
        <f>RawData!G133</f>
        <v>606 Main St</v>
      </c>
      <c r="H133" s="7" t="str">
        <f>RawData!H133</f>
        <v>Gift Card</v>
      </c>
      <c r="I133" s="7" t="str">
        <f>RawData!I133</f>
        <v>Pending</v>
      </c>
      <c r="J133" s="7" t="str">
        <f>RawData!J133</f>
        <v>TRK51648833</v>
      </c>
      <c r="K133" s="7">
        <f>RawData!K133</f>
        <v>5</v>
      </c>
      <c r="L133" s="7" t="str">
        <f>IF(RawData!L133="","No Coupon",RawData!L133)</f>
        <v>No Coupon</v>
      </c>
      <c r="M133" s="7" t="str">
        <f>RawData!M133</f>
        <v>Instagram</v>
      </c>
      <c r="N133" s="7">
        <f>RawData!N133</f>
        <v>84.8</v>
      </c>
    </row>
    <row r="134" spans="1:14" x14ac:dyDescent="0.3">
      <c r="A134" s="7" t="str">
        <f>RawData!A134</f>
        <v>ORD200132</v>
      </c>
      <c r="B134" s="11">
        <f>RawData!B134</f>
        <v>45013</v>
      </c>
      <c r="C134" s="7" t="str">
        <f>RawData!C134</f>
        <v>C96257</v>
      </c>
      <c r="D134" s="7" t="str">
        <f>RawData!D134</f>
        <v>Tablet</v>
      </c>
      <c r="E134" s="7">
        <f>RawData!E134</f>
        <v>4</v>
      </c>
      <c r="F134" s="7">
        <f>RawData!F134</f>
        <v>450.75</v>
      </c>
      <c r="G134" s="7" t="str">
        <f>RawData!G134</f>
        <v>583 Main St</v>
      </c>
      <c r="H134" s="7" t="str">
        <f>RawData!H134</f>
        <v>Credit Card</v>
      </c>
      <c r="I134" s="7" t="str">
        <f>RawData!I134</f>
        <v>Shipped</v>
      </c>
      <c r="J134" s="7" t="str">
        <f>RawData!J134</f>
        <v>TRK13137948</v>
      </c>
      <c r="K134" s="7">
        <f>RawData!K134</f>
        <v>6</v>
      </c>
      <c r="L134" s="7" t="str">
        <f>IF(RawData!L134="","No Coupon",RawData!L134)</f>
        <v>WINTER15</v>
      </c>
      <c r="M134" s="7" t="str">
        <f>RawData!M134</f>
        <v>Email</v>
      </c>
      <c r="N134" s="7">
        <f>RawData!N134</f>
        <v>1803</v>
      </c>
    </row>
    <row r="135" spans="1:14" x14ac:dyDescent="0.3">
      <c r="A135" s="7" t="str">
        <f>RawData!A135</f>
        <v>ORD200133</v>
      </c>
      <c r="B135" s="11">
        <f>RawData!B135</f>
        <v>45828</v>
      </c>
      <c r="C135" s="7" t="str">
        <f>RawData!C135</f>
        <v>C87432</v>
      </c>
      <c r="D135" s="7" t="str">
        <f>RawData!D135</f>
        <v>Chair</v>
      </c>
      <c r="E135" s="7">
        <f>RawData!E135</f>
        <v>4</v>
      </c>
      <c r="F135" s="7">
        <f>RawData!F135</f>
        <v>302.05</v>
      </c>
      <c r="G135" s="7" t="str">
        <f>RawData!G135</f>
        <v>636 Main St</v>
      </c>
      <c r="H135" s="7" t="str">
        <f>RawData!H135</f>
        <v>Debit Card</v>
      </c>
      <c r="I135" s="7" t="str">
        <f>RawData!I135</f>
        <v>Cancelled</v>
      </c>
      <c r="J135" s="7" t="str">
        <f>RawData!J135</f>
        <v>TRK68969625</v>
      </c>
      <c r="K135" s="7">
        <f>RawData!K135</f>
        <v>6</v>
      </c>
      <c r="L135" s="7" t="str">
        <f>IF(RawData!L135="","No Coupon",RawData!L135)</f>
        <v>SAVE10</v>
      </c>
      <c r="M135" s="7" t="str">
        <f>RawData!M135</f>
        <v>Google</v>
      </c>
      <c r="N135" s="7">
        <f>RawData!N135</f>
        <v>1208.2</v>
      </c>
    </row>
    <row r="136" spans="1:14" x14ac:dyDescent="0.3">
      <c r="A136" s="7" t="str">
        <f>RawData!A136</f>
        <v>ORD200134</v>
      </c>
      <c r="B136" s="11">
        <f>RawData!B136</f>
        <v>45831</v>
      </c>
      <c r="C136" s="7" t="str">
        <f>RawData!C136</f>
        <v>C16253</v>
      </c>
      <c r="D136" s="7" t="str">
        <f>RawData!D136</f>
        <v>Laptop</v>
      </c>
      <c r="E136" s="7">
        <f>RawData!E136</f>
        <v>2</v>
      </c>
      <c r="F136" s="7">
        <f>RawData!F136</f>
        <v>199.7</v>
      </c>
      <c r="G136" s="7" t="str">
        <f>RawData!G136</f>
        <v>583 Main St</v>
      </c>
      <c r="H136" s="7" t="str">
        <f>RawData!H136</f>
        <v>Cash</v>
      </c>
      <c r="I136" s="7" t="str">
        <f>RawData!I136</f>
        <v>Pending</v>
      </c>
      <c r="J136" s="7" t="str">
        <f>RawData!J136</f>
        <v>TRK17354894</v>
      </c>
      <c r="K136" s="7">
        <f>RawData!K136</f>
        <v>4</v>
      </c>
      <c r="L136" s="7" t="str">
        <f>IF(RawData!L136="","No Coupon",RawData!L136)</f>
        <v>No Coupon</v>
      </c>
      <c r="M136" s="7" t="str">
        <f>RawData!M136</f>
        <v>Email</v>
      </c>
      <c r="N136" s="7">
        <f>RawData!N136</f>
        <v>399.4</v>
      </c>
    </row>
    <row r="137" spans="1:14" x14ac:dyDescent="0.3">
      <c r="A137" s="7" t="str">
        <f>RawData!A137</f>
        <v>ORD200135</v>
      </c>
      <c r="B137" s="11">
        <f>RawData!B137</f>
        <v>45142</v>
      </c>
      <c r="C137" s="7" t="str">
        <f>RawData!C137</f>
        <v>C79909</v>
      </c>
      <c r="D137" s="7" t="str">
        <f>RawData!D137</f>
        <v>Printer</v>
      </c>
      <c r="E137" s="7">
        <f>RawData!E137</f>
        <v>2</v>
      </c>
      <c r="F137" s="7">
        <f>RawData!F137</f>
        <v>68.81</v>
      </c>
      <c r="G137" s="7" t="str">
        <f>RawData!G137</f>
        <v>642 Main St</v>
      </c>
      <c r="H137" s="7" t="str">
        <f>RawData!H137</f>
        <v>Gift Card</v>
      </c>
      <c r="I137" s="7" t="str">
        <f>RawData!I137</f>
        <v>Shipped</v>
      </c>
      <c r="J137" s="7" t="str">
        <f>RawData!J137</f>
        <v>TRK86742257</v>
      </c>
      <c r="K137" s="7">
        <f>RawData!K137</f>
        <v>5</v>
      </c>
      <c r="L137" s="7" t="str">
        <f>IF(RawData!L137="","No Coupon",RawData!L137)</f>
        <v>SAVE10</v>
      </c>
      <c r="M137" s="7" t="str">
        <f>RawData!M137</f>
        <v>Referral</v>
      </c>
      <c r="N137" s="7">
        <f>RawData!N137</f>
        <v>137.62</v>
      </c>
    </row>
    <row r="138" spans="1:14" x14ac:dyDescent="0.3">
      <c r="A138" s="7" t="str">
        <f>RawData!A138</f>
        <v>ORD200136</v>
      </c>
      <c r="B138" s="11">
        <f>RawData!B138</f>
        <v>45409</v>
      </c>
      <c r="C138" s="7" t="str">
        <f>RawData!C138</f>
        <v>C73370</v>
      </c>
      <c r="D138" s="7" t="str">
        <f>RawData!D138</f>
        <v>Laptop</v>
      </c>
      <c r="E138" s="7">
        <f>RawData!E138</f>
        <v>1</v>
      </c>
      <c r="F138" s="7">
        <f>RawData!F138</f>
        <v>44.35</v>
      </c>
      <c r="G138" s="7" t="str">
        <f>RawData!G138</f>
        <v>595 Main St</v>
      </c>
      <c r="H138" s="7" t="str">
        <f>RawData!H138</f>
        <v>Gift Card</v>
      </c>
      <c r="I138" s="7" t="str">
        <f>RawData!I138</f>
        <v>Cancelled</v>
      </c>
      <c r="J138" s="7" t="str">
        <f>RawData!J138</f>
        <v>TRK67820278</v>
      </c>
      <c r="K138" s="7">
        <f>RawData!K138</f>
        <v>1</v>
      </c>
      <c r="L138" s="7" t="str">
        <f>IF(RawData!L138="","No Coupon",RawData!L138)</f>
        <v>SAVE10</v>
      </c>
      <c r="M138" s="7" t="str">
        <f>RawData!M138</f>
        <v>Instagram</v>
      </c>
      <c r="N138" s="7">
        <f>RawData!N138</f>
        <v>44.35</v>
      </c>
    </row>
    <row r="139" spans="1:14" x14ac:dyDescent="0.3">
      <c r="A139" s="7" t="str">
        <f>RawData!A139</f>
        <v>ORD200137</v>
      </c>
      <c r="B139" s="11">
        <f>RawData!B139</f>
        <v>45622</v>
      </c>
      <c r="C139" s="7" t="str">
        <f>RawData!C139</f>
        <v>C50682</v>
      </c>
      <c r="D139" s="7" t="str">
        <f>RawData!D139</f>
        <v>Monitor</v>
      </c>
      <c r="E139" s="7">
        <f>RawData!E139</f>
        <v>2</v>
      </c>
      <c r="F139" s="7">
        <f>RawData!F139</f>
        <v>250.98</v>
      </c>
      <c r="G139" s="7" t="str">
        <f>RawData!G139</f>
        <v>598 Main St</v>
      </c>
      <c r="H139" s="7" t="str">
        <f>RawData!H139</f>
        <v>Credit Card</v>
      </c>
      <c r="I139" s="7" t="str">
        <f>RawData!I139</f>
        <v>Delivered</v>
      </c>
      <c r="J139" s="7" t="str">
        <f>RawData!J139</f>
        <v>TRK12242337</v>
      </c>
      <c r="K139" s="7">
        <f>RawData!K139</f>
        <v>5</v>
      </c>
      <c r="L139" s="7" t="str">
        <f>IF(RawData!L139="","No Coupon",RawData!L139)</f>
        <v>No Coupon</v>
      </c>
      <c r="M139" s="7" t="str">
        <f>RawData!M139</f>
        <v>Google</v>
      </c>
      <c r="N139" s="7">
        <f>RawData!N139</f>
        <v>501.96</v>
      </c>
    </row>
    <row r="140" spans="1:14" x14ac:dyDescent="0.3">
      <c r="A140" s="7" t="str">
        <f>RawData!A140</f>
        <v>ORD200138</v>
      </c>
      <c r="B140" s="11">
        <f>RawData!B140</f>
        <v>45281</v>
      </c>
      <c r="C140" s="7" t="str">
        <f>RawData!C140</f>
        <v>C21905</v>
      </c>
      <c r="D140" s="7" t="str">
        <f>RawData!D140</f>
        <v>Tablet</v>
      </c>
      <c r="E140" s="7">
        <f>RawData!E140</f>
        <v>1</v>
      </c>
      <c r="F140" s="7">
        <f>RawData!F140</f>
        <v>298.06</v>
      </c>
      <c r="G140" s="7" t="str">
        <f>RawData!G140</f>
        <v>478 Main St</v>
      </c>
      <c r="H140" s="7" t="str">
        <f>RawData!H140</f>
        <v>Debit Card</v>
      </c>
      <c r="I140" s="7" t="str">
        <f>RawData!I140</f>
        <v>Pending</v>
      </c>
      <c r="J140" s="7" t="str">
        <f>RawData!J140</f>
        <v>TRK31863841</v>
      </c>
      <c r="K140" s="7">
        <f>RawData!K140</f>
        <v>3</v>
      </c>
      <c r="L140" s="7" t="str">
        <f>IF(RawData!L140="","No Coupon",RawData!L140)</f>
        <v>WINTER15</v>
      </c>
      <c r="M140" s="7" t="str">
        <f>RawData!M140</f>
        <v>Google</v>
      </c>
      <c r="N140" s="7">
        <f>RawData!N140</f>
        <v>298.06</v>
      </c>
    </row>
    <row r="141" spans="1:14" x14ac:dyDescent="0.3">
      <c r="A141" s="7" t="str">
        <f>RawData!A141</f>
        <v>ORD200139</v>
      </c>
      <c r="B141" s="11">
        <f>RawData!B141</f>
        <v>45026</v>
      </c>
      <c r="C141" s="7" t="str">
        <f>RawData!C141</f>
        <v>C61440</v>
      </c>
      <c r="D141" s="7" t="str">
        <f>RawData!D141</f>
        <v>Phone</v>
      </c>
      <c r="E141" s="7">
        <f>RawData!E141</f>
        <v>1</v>
      </c>
      <c r="F141" s="7">
        <f>RawData!F141</f>
        <v>583.9</v>
      </c>
      <c r="G141" s="7" t="str">
        <f>RawData!G141</f>
        <v>714 Main St</v>
      </c>
      <c r="H141" s="7" t="str">
        <f>RawData!H141</f>
        <v>Cash</v>
      </c>
      <c r="I141" s="7" t="str">
        <f>RawData!I141</f>
        <v>Returned</v>
      </c>
      <c r="J141" s="7" t="str">
        <f>RawData!J141</f>
        <v>TRK33114521</v>
      </c>
      <c r="K141" s="7">
        <f>RawData!K141</f>
        <v>1</v>
      </c>
      <c r="L141" s="7" t="str">
        <f>IF(RawData!L141="","No Coupon",RawData!L141)</f>
        <v>No Coupon</v>
      </c>
      <c r="M141" s="7" t="str">
        <f>RawData!M141</f>
        <v>Email</v>
      </c>
      <c r="N141" s="7">
        <f>RawData!N141</f>
        <v>583.9</v>
      </c>
    </row>
    <row r="142" spans="1:14" x14ac:dyDescent="0.3">
      <c r="A142" s="7" t="str">
        <f>RawData!A142</f>
        <v>ORD200140</v>
      </c>
      <c r="B142" s="11">
        <f>RawData!B142</f>
        <v>45808</v>
      </c>
      <c r="C142" s="7" t="str">
        <f>RawData!C142</f>
        <v>C33110</v>
      </c>
      <c r="D142" s="7" t="str">
        <f>RawData!D142</f>
        <v>Chair</v>
      </c>
      <c r="E142" s="7">
        <f>RawData!E142</f>
        <v>3</v>
      </c>
      <c r="F142" s="7">
        <f>RawData!F142</f>
        <v>528.14</v>
      </c>
      <c r="G142" s="7" t="str">
        <f>RawData!G142</f>
        <v>388 Main St</v>
      </c>
      <c r="H142" s="7" t="str">
        <f>RawData!H142</f>
        <v>Online</v>
      </c>
      <c r="I142" s="7" t="str">
        <f>RawData!I142</f>
        <v>Delivered</v>
      </c>
      <c r="J142" s="7" t="str">
        <f>RawData!J142</f>
        <v>TRK38624225</v>
      </c>
      <c r="K142" s="7">
        <f>RawData!K142</f>
        <v>3</v>
      </c>
      <c r="L142" s="7" t="str">
        <f>IF(RawData!L142="","No Coupon",RawData!L142)</f>
        <v>FREESHIP</v>
      </c>
      <c r="M142" s="7" t="str">
        <f>RawData!M142</f>
        <v>Email</v>
      </c>
      <c r="N142" s="7">
        <f>RawData!N142</f>
        <v>1584.42</v>
      </c>
    </row>
    <row r="143" spans="1:14" x14ac:dyDescent="0.3">
      <c r="A143" s="7" t="str">
        <f>RawData!A143</f>
        <v>ORD200141</v>
      </c>
      <c r="B143" s="11">
        <f>RawData!B143</f>
        <v>45248</v>
      </c>
      <c r="C143" s="7" t="str">
        <f>RawData!C143</f>
        <v>C80004</v>
      </c>
      <c r="D143" s="7" t="str">
        <f>RawData!D143</f>
        <v>Printer</v>
      </c>
      <c r="E143" s="7">
        <f>RawData!E143</f>
        <v>3</v>
      </c>
      <c r="F143" s="7">
        <f>RawData!F143</f>
        <v>684.14</v>
      </c>
      <c r="G143" s="7" t="str">
        <f>RawData!G143</f>
        <v>151 Main St</v>
      </c>
      <c r="H143" s="7" t="str">
        <f>RawData!H143</f>
        <v>Cash</v>
      </c>
      <c r="I143" s="7" t="str">
        <f>RawData!I143</f>
        <v>Cancelled</v>
      </c>
      <c r="J143" s="7" t="str">
        <f>RawData!J143</f>
        <v>TRK66230753</v>
      </c>
      <c r="K143" s="7">
        <f>RawData!K143</f>
        <v>3</v>
      </c>
      <c r="L143" s="7" t="str">
        <f>IF(RawData!L143="","No Coupon",RawData!L143)</f>
        <v>WINTER15</v>
      </c>
      <c r="M143" s="7" t="str">
        <f>RawData!M143</f>
        <v>Instagram</v>
      </c>
      <c r="N143" s="7">
        <f>RawData!N143</f>
        <v>2052.42</v>
      </c>
    </row>
    <row r="144" spans="1:14" x14ac:dyDescent="0.3">
      <c r="A144" s="7" t="str">
        <f>RawData!A144</f>
        <v>ORD200142</v>
      </c>
      <c r="B144" s="11">
        <f>RawData!B144</f>
        <v>45175</v>
      </c>
      <c r="C144" s="7" t="str">
        <f>RawData!C144</f>
        <v>C86374</v>
      </c>
      <c r="D144" s="7" t="str">
        <f>RawData!D144</f>
        <v>Desk</v>
      </c>
      <c r="E144" s="7">
        <f>RawData!E144</f>
        <v>5</v>
      </c>
      <c r="F144" s="7">
        <f>RawData!F144</f>
        <v>272.77</v>
      </c>
      <c r="G144" s="7" t="str">
        <f>RawData!G144</f>
        <v>573 Main St</v>
      </c>
      <c r="H144" s="7" t="str">
        <f>RawData!H144</f>
        <v>Cash</v>
      </c>
      <c r="I144" s="7" t="str">
        <f>RawData!I144</f>
        <v>Pending</v>
      </c>
      <c r="J144" s="7" t="str">
        <f>RawData!J144</f>
        <v>TRK79451491</v>
      </c>
      <c r="K144" s="7">
        <f>RawData!K144</f>
        <v>7</v>
      </c>
      <c r="L144" s="7" t="str">
        <f>IF(RawData!L144="","No Coupon",RawData!L144)</f>
        <v>WINTER15</v>
      </c>
      <c r="M144" s="7" t="str">
        <f>RawData!M144</f>
        <v>Email</v>
      </c>
      <c r="N144" s="7">
        <f>RawData!N144</f>
        <v>1363.85</v>
      </c>
    </row>
    <row r="145" spans="1:14" x14ac:dyDescent="0.3">
      <c r="A145" s="7" t="str">
        <f>RawData!A145</f>
        <v>ORD200143</v>
      </c>
      <c r="B145" s="11">
        <f>RawData!B145</f>
        <v>45456</v>
      </c>
      <c r="C145" s="7" t="str">
        <f>RawData!C145</f>
        <v>C66521</v>
      </c>
      <c r="D145" s="7" t="str">
        <f>RawData!D145</f>
        <v>Chair</v>
      </c>
      <c r="E145" s="7">
        <f>RawData!E145</f>
        <v>4</v>
      </c>
      <c r="F145" s="7">
        <f>RawData!F145</f>
        <v>400.07</v>
      </c>
      <c r="G145" s="7" t="str">
        <f>RawData!G145</f>
        <v>933 Main St</v>
      </c>
      <c r="H145" s="7" t="str">
        <f>RawData!H145</f>
        <v>Online</v>
      </c>
      <c r="I145" s="7" t="str">
        <f>RawData!I145</f>
        <v>Shipped</v>
      </c>
      <c r="J145" s="7" t="str">
        <f>RawData!J145</f>
        <v>TRK34654244</v>
      </c>
      <c r="K145" s="7">
        <f>RawData!K145</f>
        <v>5</v>
      </c>
      <c r="L145" s="7" t="str">
        <f>IF(RawData!L145="","No Coupon",RawData!L145)</f>
        <v>No Coupon</v>
      </c>
      <c r="M145" s="7" t="str">
        <f>RawData!M145</f>
        <v>Referral</v>
      </c>
      <c r="N145" s="7">
        <f>RawData!N145</f>
        <v>1600.28</v>
      </c>
    </row>
    <row r="146" spans="1:14" x14ac:dyDescent="0.3">
      <c r="A146" s="7" t="str">
        <f>RawData!A146</f>
        <v>ORD200144</v>
      </c>
      <c r="B146" s="11">
        <f>RawData!B146</f>
        <v>45142</v>
      </c>
      <c r="C146" s="7" t="str">
        <f>RawData!C146</f>
        <v>C63365</v>
      </c>
      <c r="D146" s="7" t="str">
        <f>RawData!D146</f>
        <v>Desk</v>
      </c>
      <c r="E146" s="7">
        <f>RawData!E146</f>
        <v>5</v>
      </c>
      <c r="F146" s="7">
        <f>RawData!F146</f>
        <v>219.78</v>
      </c>
      <c r="G146" s="7" t="str">
        <f>RawData!G146</f>
        <v>895 Main St</v>
      </c>
      <c r="H146" s="7" t="str">
        <f>RawData!H146</f>
        <v>Credit Card</v>
      </c>
      <c r="I146" s="7" t="str">
        <f>RawData!I146</f>
        <v>Pending</v>
      </c>
      <c r="J146" s="7" t="str">
        <f>RawData!J146</f>
        <v>TRK80100887</v>
      </c>
      <c r="K146" s="7">
        <f>RawData!K146</f>
        <v>8</v>
      </c>
      <c r="L146" s="7" t="str">
        <f>IF(RawData!L146="","No Coupon",RawData!L146)</f>
        <v>No Coupon</v>
      </c>
      <c r="M146" s="7" t="str">
        <f>RawData!M146</f>
        <v>Facebook</v>
      </c>
      <c r="N146" s="7">
        <f>RawData!N146</f>
        <v>1098.9000000000001</v>
      </c>
    </row>
    <row r="147" spans="1:14" x14ac:dyDescent="0.3">
      <c r="A147" s="7" t="str">
        <f>RawData!A147</f>
        <v>ORD200145</v>
      </c>
      <c r="B147" s="11">
        <f>RawData!B147</f>
        <v>45353</v>
      </c>
      <c r="C147" s="7" t="str">
        <f>RawData!C147</f>
        <v>C85929</v>
      </c>
      <c r="D147" s="7" t="str">
        <f>RawData!D147</f>
        <v>Printer</v>
      </c>
      <c r="E147" s="7">
        <f>RawData!E147</f>
        <v>3</v>
      </c>
      <c r="F147" s="7">
        <f>RawData!F147</f>
        <v>146.91</v>
      </c>
      <c r="G147" s="7" t="str">
        <f>RawData!G147</f>
        <v>798 Main St</v>
      </c>
      <c r="H147" s="7" t="str">
        <f>RawData!H147</f>
        <v>Credit Card</v>
      </c>
      <c r="I147" s="7" t="str">
        <f>RawData!I147</f>
        <v>Delivered</v>
      </c>
      <c r="J147" s="7" t="str">
        <f>RawData!J147</f>
        <v>TRK29318610</v>
      </c>
      <c r="K147" s="7">
        <f>RawData!K147</f>
        <v>6</v>
      </c>
      <c r="L147" s="7" t="str">
        <f>IF(RawData!L147="","No Coupon",RawData!L147)</f>
        <v>FREESHIP</v>
      </c>
      <c r="M147" s="7" t="str">
        <f>RawData!M147</f>
        <v>Google</v>
      </c>
      <c r="N147" s="7">
        <f>RawData!N147</f>
        <v>440.73</v>
      </c>
    </row>
    <row r="148" spans="1:14" x14ac:dyDescent="0.3">
      <c r="A148" s="7" t="str">
        <f>RawData!A148</f>
        <v>ORD200146</v>
      </c>
      <c r="B148" s="11">
        <f>RawData!B148</f>
        <v>45777</v>
      </c>
      <c r="C148" s="7" t="str">
        <f>RawData!C148</f>
        <v>C84645</v>
      </c>
      <c r="D148" s="7" t="str">
        <f>RawData!D148</f>
        <v>Tablet</v>
      </c>
      <c r="E148" s="7">
        <f>RawData!E148</f>
        <v>2</v>
      </c>
      <c r="F148" s="7">
        <f>RawData!F148</f>
        <v>411.49</v>
      </c>
      <c r="G148" s="7" t="str">
        <f>RawData!G148</f>
        <v>404 Main St</v>
      </c>
      <c r="H148" s="7" t="str">
        <f>RawData!H148</f>
        <v>Credit Card</v>
      </c>
      <c r="I148" s="7" t="str">
        <f>RawData!I148</f>
        <v>Returned</v>
      </c>
      <c r="J148" s="7" t="str">
        <f>RawData!J148</f>
        <v>TRK68893369</v>
      </c>
      <c r="K148" s="7">
        <f>RawData!K148</f>
        <v>4</v>
      </c>
      <c r="L148" s="7" t="str">
        <f>IF(RawData!L148="","No Coupon",RawData!L148)</f>
        <v>No Coupon</v>
      </c>
      <c r="M148" s="7" t="str">
        <f>RawData!M148</f>
        <v>Instagram</v>
      </c>
      <c r="N148" s="7">
        <f>RawData!N148</f>
        <v>822.98</v>
      </c>
    </row>
    <row r="149" spans="1:14" x14ac:dyDescent="0.3">
      <c r="A149" s="7" t="str">
        <f>RawData!A149</f>
        <v>ORD200147</v>
      </c>
      <c r="B149" s="11">
        <f>RawData!B149</f>
        <v>45783</v>
      </c>
      <c r="C149" s="7" t="str">
        <f>RawData!C149</f>
        <v>C46316</v>
      </c>
      <c r="D149" s="7" t="str">
        <f>RawData!D149</f>
        <v>Laptop</v>
      </c>
      <c r="E149" s="7">
        <f>RawData!E149</f>
        <v>2</v>
      </c>
      <c r="F149" s="7">
        <f>RawData!F149</f>
        <v>465.18</v>
      </c>
      <c r="G149" s="7" t="str">
        <f>RawData!G149</f>
        <v>893 Main St</v>
      </c>
      <c r="H149" s="7" t="str">
        <f>RawData!H149</f>
        <v>Credit Card</v>
      </c>
      <c r="I149" s="7" t="str">
        <f>RawData!I149</f>
        <v>Cancelled</v>
      </c>
      <c r="J149" s="7" t="str">
        <f>RawData!J149</f>
        <v>TRK16196000</v>
      </c>
      <c r="K149" s="7">
        <f>RawData!K149</f>
        <v>2</v>
      </c>
      <c r="L149" s="7" t="str">
        <f>IF(RawData!L149="","No Coupon",RawData!L149)</f>
        <v>SAVE10</v>
      </c>
      <c r="M149" s="7" t="str">
        <f>RawData!M149</f>
        <v>Google</v>
      </c>
      <c r="N149" s="7">
        <f>RawData!N149</f>
        <v>930.36</v>
      </c>
    </row>
    <row r="150" spans="1:14" x14ac:dyDescent="0.3">
      <c r="A150" s="7" t="str">
        <f>RawData!A150</f>
        <v>ORD200148</v>
      </c>
      <c r="B150" s="11">
        <f>RawData!B150</f>
        <v>45641</v>
      </c>
      <c r="C150" s="7" t="str">
        <f>RawData!C150</f>
        <v>C35100</v>
      </c>
      <c r="D150" s="7" t="str">
        <f>RawData!D150</f>
        <v>Phone</v>
      </c>
      <c r="E150" s="7">
        <f>RawData!E150</f>
        <v>2</v>
      </c>
      <c r="F150" s="7">
        <f>RawData!F150</f>
        <v>319.91000000000003</v>
      </c>
      <c r="G150" s="7" t="str">
        <f>RawData!G150</f>
        <v>139 Main St</v>
      </c>
      <c r="H150" s="7" t="str">
        <f>RawData!H150</f>
        <v>Credit Card</v>
      </c>
      <c r="I150" s="7" t="str">
        <f>RawData!I150</f>
        <v>Cancelled</v>
      </c>
      <c r="J150" s="7" t="str">
        <f>RawData!J150</f>
        <v>TRK56853491</v>
      </c>
      <c r="K150" s="7">
        <f>RawData!K150</f>
        <v>3</v>
      </c>
      <c r="L150" s="7" t="str">
        <f>IF(RawData!L150="","No Coupon",RawData!L150)</f>
        <v>WINTER15</v>
      </c>
      <c r="M150" s="7" t="str">
        <f>RawData!M150</f>
        <v>Google</v>
      </c>
      <c r="N150" s="7">
        <f>RawData!N150</f>
        <v>639.82000000000005</v>
      </c>
    </row>
    <row r="151" spans="1:14" x14ac:dyDescent="0.3">
      <c r="A151" s="7" t="str">
        <f>RawData!A151</f>
        <v>ORD200149</v>
      </c>
      <c r="B151" s="11">
        <f>RawData!B151</f>
        <v>45287</v>
      </c>
      <c r="C151" s="7" t="str">
        <f>RawData!C151</f>
        <v>C39671</v>
      </c>
      <c r="D151" s="7" t="str">
        <f>RawData!D151</f>
        <v>Laptop</v>
      </c>
      <c r="E151" s="7">
        <f>RawData!E151</f>
        <v>1</v>
      </c>
      <c r="F151" s="7">
        <f>RawData!F151</f>
        <v>217.56</v>
      </c>
      <c r="G151" s="7" t="str">
        <f>RawData!G151</f>
        <v>174 Main St</v>
      </c>
      <c r="H151" s="7" t="str">
        <f>RawData!H151</f>
        <v>Debit Card</v>
      </c>
      <c r="I151" s="7" t="str">
        <f>RawData!I151</f>
        <v>Delivered</v>
      </c>
      <c r="J151" s="7" t="str">
        <f>RawData!J151</f>
        <v>TRK47153818</v>
      </c>
      <c r="K151" s="7">
        <f>RawData!K151</f>
        <v>3</v>
      </c>
      <c r="L151" s="7" t="str">
        <f>IF(RawData!L151="","No Coupon",RawData!L151)</f>
        <v>No Coupon</v>
      </c>
      <c r="M151" s="7" t="str">
        <f>RawData!M151</f>
        <v>Facebook</v>
      </c>
      <c r="N151" s="7">
        <f>RawData!N151</f>
        <v>217.56</v>
      </c>
    </row>
    <row r="152" spans="1:14" x14ac:dyDescent="0.3">
      <c r="A152" s="7" t="str">
        <f>RawData!A152</f>
        <v>ORD200150</v>
      </c>
      <c r="B152" s="11">
        <f>RawData!B152</f>
        <v>45273</v>
      </c>
      <c r="C152" s="7" t="str">
        <f>RawData!C152</f>
        <v>C25503</v>
      </c>
      <c r="D152" s="7" t="str">
        <f>RawData!D152</f>
        <v>Phone</v>
      </c>
      <c r="E152" s="7">
        <f>RawData!E152</f>
        <v>2</v>
      </c>
      <c r="F152" s="7">
        <f>RawData!F152</f>
        <v>105.57</v>
      </c>
      <c r="G152" s="7" t="str">
        <f>RawData!G152</f>
        <v>981 Main St</v>
      </c>
      <c r="H152" s="7" t="str">
        <f>RawData!H152</f>
        <v>Debit Card</v>
      </c>
      <c r="I152" s="7" t="str">
        <f>RawData!I152</f>
        <v>Returned</v>
      </c>
      <c r="J152" s="7" t="str">
        <f>RawData!J152</f>
        <v>TRK29878837</v>
      </c>
      <c r="K152" s="7">
        <f>RawData!K152</f>
        <v>5</v>
      </c>
      <c r="L152" s="7" t="str">
        <f>IF(RawData!L152="","No Coupon",RawData!L152)</f>
        <v>WINTER15</v>
      </c>
      <c r="M152" s="7" t="str">
        <f>RawData!M152</f>
        <v>Google</v>
      </c>
      <c r="N152" s="7">
        <f>RawData!N152</f>
        <v>211.14</v>
      </c>
    </row>
    <row r="153" spans="1:14" x14ac:dyDescent="0.3">
      <c r="A153" s="7" t="str">
        <f>RawData!A153</f>
        <v>ORD200151</v>
      </c>
      <c r="B153" s="11">
        <f>RawData!B153</f>
        <v>45261</v>
      </c>
      <c r="C153" s="7" t="str">
        <f>RawData!C153</f>
        <v>C32960</v>
      </c>
      <c r="D153" s="7" t="str">
        <f>RawData!D153</f>
        <v>Printer</v>
      </c>
      <c r="E153" s="7">
        <f>RawData!E153</f>
        <v>5</v>
      </c>
      <c r="F153" s="7">
        <f>RawData!F153</f>
        <v>444.76</v>
      </c>
      <c r="G153" s="7" t="str">
        <f>RawData!G153</f>
        <v>947 Main St</v>
      </c>
      <c r="H153" s="7" t="str">
        <f>RawData!H153</f>
        <v>Debit Card</v>
      </c>
      <c r="I153" s="7" t="str">
        <f>RawData!I153</f>
        <v>Returned</v>
      </c>
      <c r="J153" s="7" t="str">
        <f>RawData!J153</f>
        <v>TRK91226500</v>
      </c>
      <c r="K153" s="7">
        <f>RawData!K153</f>
        <v>7</v>
      </c>
      <c r="L153" s="7" t="str">
        <f>IF(RawData!L153="","No Coupon",RawData!L153)</f>
        <v>No Coupon</v>
      </c>
      <c r="M153" s="7" t="str">
        <f>RawData!M153</f>
        <v>Email</v>
      </c>
      <c r="N153" s="7">
        <f>RawData!N153</f>
        <v>2223.8000000000002</v>
      </c>
    </row>
    <row r="154" spans="1:14" x14ac:dyDescent="0.3">
      <c r="A154" s="7" t="str">
        <f>RawData!A154</f>
        <v>ORD200152</v>
      </c>
      <c r="B154" s="11">
        <f>RawData!B154</f>
        <v>45659</v>
      </c>
      <c r="C154" s="7" t="str">
        <f>RawData!C154</f>
        <v>C77736</v>
      </c>
      <c r="D154" s="7" t="str">
        <f>RawData!D154</f>
        <v>Chair</v>
      </c>
      <c r="E154" s="7">
        <f>RawData!E154</f>
        <v>2</v>
      </c>
      <c r="F154" s="7">
        <f>RawData!F154</f>
        <v>399.04</v>
      </c>
      <c r="G154" s="7" t="str">
        <f>RawData!G154</f>
        <v>659 Main St</v>
      </c>
      <c r="H154" s="7" t="str">
        <f>RawData!H154</f>
        <v>Cash</v>
      </c>
      <c r="I154" s="7" t="str">
        <f>RawData!I154</f>
        <v>Cancelled</v>
      </c>
      <c r="J154" s="7" t="str">
        <f>RawData!J154</f>
        <v>TRK90329250</v>
      </c>
      <c r="K154" s="7">
        <f>RawData!K154</f>
        <v>3</v>
      </c>
      <c r="L154" s="7" t="str">
        <f>IF(RawData!L154="","No Coupon",RawData!L154)</f>
        <v>FREESHIP</v>
      </c>
      <c r="M154" s="7" t="str">
        <f>RawData!M154</f>
        <v>Referral</v>
      </c>
      <c r="N154" s="7">
        <f>RawData!N154</f>
        <v>798.08</v>
      </c>
    </row>
    <row r="155" spans="1:14" x14ac:dyDescent="0.3">
      <c r="A155" s="7" t="str">
        <f>RawData!A155</f>
        <v>ORD200153</v>
      </c>
      <c r="B155" s="11">
        <f>RawData!B155</f>
        <v>45644</v>
      </c>
      <c r="C155" s="7" t="str">
        <f>RawData!C155</f>
        <v>C71570</v>
      </c>
      <c r="D155" s="7" t="str">
        <f>RawData!D155</f>
        <v>Chair</v>
      </c>
      <c r="E155" s="7">
        <f>RawData!E155</f>
        <v>4</v>
      </c>
      <c r="F155" s="7">
        <f>RawData!F155</f>
        <v>534.48</v>
      </c>
      <c r="G155" s="7" t="str">
        <f>RawData!G155</f>
        <v>437 Main St</v>
      </c>
      <c r="H155" s="7" t="str">
        <f>RawData!H155</f>
        <v>Online</v>
      </c>
      <c r="I155" s="7" t="str">
        <f>RawData!I155</f>
        <v>Returned</v>
      </c>
      <c r="J155" s="7" t="str">
        <f>RawData!J155</f>
        <v>TRK95992269</v>
      </c>
      <c r="K155" s="7">
        <f>RawData!K155</f>
        <v>9</v>
      </c>
      <c r="L155" s="7" t="str">
        <f>IF(RawData!L155="","No Coupon",RawData!L155)</f>
        <v>WINTER15</v>
      </c>
      <c r="M155" s="7" t="str">
        <f>RawData!M155</f>
        <v>Instagram</v>
      </c>
      <c r="N155" s="7">
        <f>RawData!N155</f>
        <v>2137.92</v>
      </c>
    </row>
    <row r="156" spans="1:14" x14ac:dyDescent="0.3">
      <c r="A156" s="7" t="str">
        <f>RawData!A156</f>
        <v>ORD200154</v>
      </c>
      <c r="B156" s="11">
        <f>RawData!B156</f>
        <v>45127</v>
      </c>
      <c r="C156" s="7" t="str">
        <f>RawData!C156</f>
        <v>C73587</v>
      </c>
      <c r="D156" s="7" t="str">
        <f>RawData!D156</f>
        <v>Phone</v>
      </c>
      <c r="E156" s="7">
        <f>RawData!E156</f>
        <v>4</v>
      </c>
      <c r="F156" s="7">
        <f>RawData!F156</f>
        <v>408.21</v>
      </c>
      <c r="G156" s="7" t="str">
        <f>RawData!G156</f>
        <v>727 Main St</v>
      </c>
      <c r="H156" s="7" t="str">
        <f>RawData!H156</f>
        <v>Credit Card</v>
      </c>
      <c r="I156" s="7" t="str">
        <f>RawData!I156</f>
        <v>Pending</v>
      </c>
      <c r="J156" s="7" t="str">
        <f>RawData!J156</f>
        <v>TRK13955543</v>
      </c>
      <c r="K156" s="7">
        <f>RawData!K156</f>
        <v>9</v>
      </c>
      <c r="L156" s="7" t="str">
        <f>IF(RawData!L156="","No Coupon",RawData!L156)</f>
        <v>No Coupon</v>
      </c>
      <c r="M156" s="7" t="str">
        <f>RawData!M156</f>
        <v>Instagram</v>
      </c>
      <c r="N156" s="7">
        <f>RawData!N156</f>
        <v>1632.84</v>
      </c>
    </row>
    <row r="157" spans="1:14" x14ac:dyDescent="0.3">
      <c r="A157" s="7" t="str">
        <f>RawData!A157</f>
        <v>ORD200155</v>
      </c>
      <c r="B157" s="11">
        <f>RawData!B157</f>
        <v>44984</v>
      </c>
      <c r="C157" s="7" t="str">
        <f>RawData!C157</f>
        <v>C62740</v>
      </c>
      <c r="D157" s="7" t="str">
        <f>RawData!D157</f>
        <v>Phone</v>
      </c>
      <c r="E157" s="7">
        <f>RawData!E157</f>
        <v>1</v>
      </c>
      <c r="F157" s="7">
        <f>RawData!F157</f>
        <v>424.4</v>
      </c>
      <c r="G157" s="7" t="str">
        <f>RawData!G157</f>
        <v>446 Main St</v>
      </c>
      <c r="H157" s="7" t="str">
        <f>RawData!H157</f>
        <v>Online</v>
      </c>
      <c r="I157" s="7" t="str">
        <f>RawData!I157</f>
        <v>Shipped</v>
      </c>
      <c r="J157" s="7" t="str">
        <f>RawData!J157</f>
        <v>TRK20706408</v>
      </c>
      <c r="K157" s="7">
        <f>RawData!K157</f>
        <v>6</v>
      </c>
      <c r="L157" s="7" t="str">
        <f>IF(RawData!L157="","No Coupon",RawData!L157)</f>
        <v>WINTER15</v>
      </c>
      <c r="M157" s="7" t="str">
        <f>RawData!M157</f>
        <v>Referral</v>
      </c>
      <c r="N157" s="7">
        <f>RawData!N157</f>
        <v>424.4</v>
      </c>
    </row>
    <row r="158" spans="1:14" x14ac:dyDescent="0.3">
      <c r="A158" s="7" t="str">
        <f>RawData!A158</f>
        <v>ORD200156</v>
      </c>
      <c r="B158" s="11">
        <f>RawData!B158</f>
        <v>45604</v>
      </c>
      <c r="C158" s="7" t="str">
        <f>RawData!C158</f>
        <v>C58808</v>
      </c>
      <c r="D158" s="7" t="str">
        <f>RawData!D158</f>
        <v>Chair</v>
      </c>
      <c r="E158" s="7">
        <f>RawData!E158</f>
        <v>2</v>
      </c>
      <c r="F158" s="7">
        <f>RawData!F158</f>
        <v>269.83</v>
      </c>
      <c r="G158" s="7" t="str">
        <f>RawData!G158</f>
        <v>651 Main St</v>
      </c>
      <c r="H158" s="7" t="str">
        <f>RawData!H158</f>
        <v>Online</v>
      </c>
      <c r="I158" s="7" t="str">
        <f>RawData!I158</f>
        <v>Delivered</v>
      </c>
      <c r="J158" s="7" t="str">
        <f>RawData!J158</f>
        <v>TRK24451893</v>
      </c>
      <c r="K158" s="7">
        <f>RawData!K158</f>
        <v>4</v>
      </c>
      <c r="L158" s="7" t="str">
        <f>IF(RawData!L158="","No Coupon",RawData!L158)</f>
        <v>SAVE10</v>
      </c>
      <c r="M158" s="7" t="str">
        <f>RawData!M158</f>
        <v>Email</v>
      </c>
      <c r="N158" s="7">
        <f>RawData!N158</f>
        <v>539.66</v>
      </c>
    </row>
    <row r="159" spans="1:14" x14ac:dyDescent="0.3">
      <c r="A159" s="7" t="str">
        <f>RawData!A159</f>
        <v>ORD200157</v>
      </c>
      <c r="B159" s="11">
        <f>RawData!B159</f>
        <v>45709</v>
      </c>
      <c r="C159" s="7" t="str">
        <f>RawData!C159</f>
        <v>C50422</v>
      </c>
      <c r="D159" s="7" t="str">
        <f>RawData!D159</f>
        <v>Monitor</v>
      </c>
      <c r="E159" s="7">
        <f>RawData!E159</f>
        <v>2</v>
      </c>
      <c r="F159" s="7">
        <f>RawData!F159</f>
        <v>564.58000000000004</v>
      </c>
      <c r="G159" s="7" t="str">
        <f>RawData!G159</f>
        <v>636 Main St</v>
      </c>
      <c r="H159" s="7" t="str">
        <f>RawData!H159</f>
        <v>Online</v>
      </c>
      <c r="I159" s="7" t="str">
        <f>RawData!I159</f>
        <v>Returned</v>
      </c>
      <c r="J159" s="7" t="str">
        <f>RawData!J159</f>
        <v>TRK71227815</v>
      </c>
      <c r="K159" s="7">
        <f>RawData!K159</f>
        <v>4</v>
      </c>
      <c r="L159" s="7" t="str">
        <f>IF(RawData!L159="","No Coupon",RawData!L159)</f>
        <v>WINTER15</v>
      </c>
      <c r="M159" s="7" t="str">
        <f>RawData!M159</f>
        <v>Facebook</v>
      </c>
      <c r="N159" s="7">
        <f>RawData!N159</f>
        <v>1129.1600000000001</v>
      </c>
    </row>
    <row r="160" spans="1:14" x14ac:dyDescent="0.3">
      <c r="A160" s="7" t="str">
        <f>RawData!A160</f>
        <v>ORD200158</v>
      </c>
      <c r="B160" s="11">
        <f>RawData!B160</f>
        <v>45428</v>
      </c>
      <c r="C160" s="7" t="str">
        <f>RawData!C160</f>
        <v>C23334</v>
      </c>
      <c r="D160" s="7" t="str">
        <f>RawData!D160</f>
        <v>Tablet</v>
      </c>
      <c r="E160" s="7">
        <f>RawData!E160</f>
        <v>1</v>
      </c>
      <c r="F160" s="7">
        <f>RawData!F160</f>
        <v>331.06</v>
      </c>
      <c r="G160" s="7" t="str">
        <f>RawData!G160</f>
        <v>737 Main St</v>
      </c>
      <c r="H160" s="7" t="str">
        <f>RawData!H160</f>
        <v>Credit Card</v>
      </c>
      <c r="I160" s="7" t="str">
        <f>RawData!I160</f>
        <v>Pending</v>
      </c>
      <c r="J160" s="7" t="str">
        <f>RawData!J160</f>
        <v>TRK46335144</v>
      </c>
      <c r="K160" s="7">
        <f>RawData!K160</f>
        <v>5</v>
      </c>
      <c r="L160" s="7" t="str">
        <f>IF(RawData!L160="","No Coupon",RawData!L160)</f>
        <v>WINTER15</v>
      </c>
      <c r="M160" s="7" t="str">
        <f>RawData!M160</f>
        <v>Instagram</v>
      </c>
      <c r="N160" s="7">
        <f>RawData!N160</f>
        <v>331.06</v>
      </c>
    </row>
    <row r="161" spans="1:14" x14ac:dyDescent="0.3">
      <c r="A161" s="7" t="str">
        <f>RawData!A161</f>
        <v>ORD200159</v>
      </c>
      <c r="B161" s="11">
        <f>RawData!B161</f>
        <v>45230</v>
      </c>
      <c r="C161" s="7" t="str">
        <f>RawData!C161</f>
        <v>C48965</v>
      </c>
      <c r="D161" s="7" t="str">
        <f>RawData!D161</f>
        <v>Printer</v>
      </c>
      <c r="E161" s="7">
        <f>RawData!E161</f>
        <v>1</v>
      </c>
      <c r="F161" s="7">
        <f>RawData!F161</f>
        <v>299.35000000000002</v>
      </c>
      <c r="G161" s="7" t="str">
        <f>RawData!G161</f>
        <v>819 Main St</v>
      </c>
      <c r="H161" s="7" t="str">
        <f>RawData!H161</f>
        <v>Credit Card</v>
      </c>
      <c r="I161" s="7" t="str">
        <f>RawData!I161</f>
        <v>Cancelled</v>
      </c>
      <c r="J161" s="7" t="str">
        <f>RawData!J161</f>
        <v>TRK50921780</v>
      </c>
      <c r="K161" s="7">
        <f>RawData!K161</f>
        <v>5</v>
      </c>
      <c r="L161" s="7" t="str">
        <f>IF(RawData!L161="","No Coupon",RawData!L161)</f>
        <v>WINTER15</v>
      </c>
      <c r="M161" s="7" t="str">
        <f>RawData!M161</f>
        <v>Email</v>
      </c>
      <c r="N161" s="7">
        <f>RawData!N161</f>
        <v>299.35000000000002</v>
      </c>
    </row>
    <row r="162" spans="1:14" x14ac:dyDescent="0.3">
      <c r="A162" s="7" t="str">
        <f>RawData!A162</f>
        <v>ORD200160</v>
      </c>
      <c r="B162" s="11">
        <f>RawData!B162</f>
        <v>44974</v>
      </c>
      <c r="C162" s="7" t="str">
        <f>RawData!C162</f>
        <v>C38669</v>
      </c>
      <c r="D162" s="7" t="str">
        <f>RawData!D162</f>
        <v>Monitor</v>
      </c>
      <c r="E162" s="7">
        <f>RawData!E162</f>
        <v>4</v>
      </c>
      <c r="F162" s="7">
        <f>RawData!F162</f>
        <v>101.32</v>
      </c>
      <c r="G162" s="7" t="str">
        <f>RawData!G162</f>
        <v>240 Main St</v>
      </c>
      <c r="H162" s="7" t="str">
        <f>RawData!H162</f>
        <v>Cash</v>
      </c>
      <c r="I162" s="7" t="str">
        <f>RawData!I162</f>
        <v>Pending</v>
      </c>
      <c r="J162" s="7" t="str">
        <f>RawData!J162</f>
        <v>TRK81738254</v>
      </c>
      <c r="K162" s="7">
        <f>RawData!K162</f>
        <v>7</v>
      </c>
      <c r="L162" s="7" t="str">
        <f>IF(RawData!L162="","No Coupon",RawData!L162)</f>
        <v>No Coupon</v>
      </c>
      <c r="M162" s="7" t="str">
        <f>RawData!M162</f>
        <v>Referral</v>
      </c>
      <c r="N162" s="7">
        <f>RawData!N162</f>
        <v>405.28</v>
      </c>
    </row>
    <row r="163" spans="1:14" x14ac:dyDescent="0.3">
      <c r="A163" s="7" t="str">
        <f>RawData!A163</f>
        <v>ORD200161</v>
      </c>
      <c r="B163" s="11">
        <f>RawData!B163</f>
        <v>45380</v>
      </c>
      <c r="C163" s="7" t="str">
        <f>RawData!C163</f>
        <v>C35091</v>
      </c>
      <c r="D163" s="7" t="str">
        <f>RawData!D163</f>
        <v>Monitor</v>
      </c>
      <c r="E163" s="7">
        <f>RawData!E163</f>
        <v>1</v>
      </c>
      <c r="F163" s="7">
        <f>RawData!F163</f>
        <v>211.14</v>
      </c>
      <c r="G163" s="7" t="str">
        <f>RawData!G163</f>
        <v>513 Main St</v>
      </c>
      <c r="H163" s="7" t="str">
        <f>RawData!H163</f>
        <v>Credit Card</v>
      </c>
      <c r="I163" s="7" t="str">
        <f>RawData!I163</f>
        <v>Cancelled</v>
      </c>
      <c r="J163" s="7" t="str">
        <f>RawData!J163</f>
        <v>TRK53784452</v>
      </c>
      <c r="K163" s="7">
        <f>RawData!K163</f>
        <v>1</v>
      </c>
      <c r="L163" s="7" t="str">
        <f>IF(RawData!L163="","No Coupon",RawData!L163)</f>
        <v>SAVE10</v>
      </c>
      <c r="M163" s="7" t="str">
        <f>RawData!M163</f>
        <v>Facebook</v>
      </c>
      <c r="N163" s="7">
        <f>RawData!N163</f>
        <v>211.14</v>
      </c>
    </row>
    <row r="164" spans="1:14" x14ac:dyDescent="0.3">
      <c r="A164" s="7" t="str">
        <f>RawData!A164</f>
        <v>ORD200162</v>
      </c>
      <c r="B164" s="11">
        <f>RawData!B164</f>
        <v>45134</v>
      </c>
      <c r="C164" s="7" t="str">
        <f>RawData!C164</f>
        <v>C82313</v>
      </c>
      <c r="D164" s="7" t="str">
        <f>RawData!D164</f>
        <v>Chair</v>
      </c>
      <c r="E164" s="7">
        <f>RawData!E164</f>
        <v>3</v>
      </c>
      <c r="F164" s="7">
        <f>RawData!F164</f>
        <v>65.86</v>
      </c>
      <c r="G164" s="7" t="str">
        <f>RawData!G164</f>
        <v>917 Main St</v>
      </c>
      <c r="H164" s="7" t="str">
        <f>RawData!H164</f>
        <v>Online</v>
      </c>
      <c r="I164" s="7" t="str">
        <f>RawData!I164</f>
        <v>Pending</v>
      </c>
      <c r="J164" s="7" t="str">
        <f>RawData!J164</f>
        <v>TRK79854624</v>
      </c>
      <c r="K164" s="7">
        <f>RawData!K164</f>
        <v>8</v>
      </c>
      <c r="L164" s="7" t="str">
        <f>IF(RawData!L164="","No Coupon",RawData!L164)</f>
        <v>WINTER15</v>
      </c>
      <c r="M164" s="7" t="str">
        <f>RawData!M164</f>
        <v>Google</v>
      </c>
      <c r="N164" s="7">
        <f>RawData!N164</f>
        <v>197.58</v>
      </c>
    </row>
    <row r="165" spans="1:14" x14ac:dyDescent="0.3">
      <c r="A165" s="7" t="str">
        <f>RawData!A165</f>
        <v>ORD200163</v>
      </c>
      <c r="B165" s="11">
        <f>RawData!B165</f>
        <v>45832</v>
      </c>
      <c r="C165" s="7" t="str">
        <f>RawData!C165</f>
        <v>C99589</v>
      </c>
      <c r="D165" s="7" t="str">
        <f>RawData!D165</f>
        <v>Tablet</v>
      </c>
      <c r="E165" s="7">
        <f>RawData!E165</f>
        <v>1</v>
      </c>
      <c r="F165" s="7">
        <f>RawData!F165</f>
        <v>641.39</v>
      </c>
      <c r="G165" s="7" t="str">
        <f>RawData!G165</f>
        <v>277 Main St</v>
      </c>
      <c r="H165" s="7" t="str">
        <f>RawData!H165</f>
        <v>Online</v>
      </c>
      <c r="I165" s="7" t="str">
        <f>RawData!I165</f>
        <v>Cancelled</v>
      </c>
      <c r="J165" s="7" t="str">
        <f>RawData!J165</f>
        <v>TRK16695001</v>
      </c>
      <c r="K165" s="7">
        <f>RawData!K165</f>
        <v>1</v>
      </c>
      <c r="L165" s="7" t="str">
        <f>IF(RawData!L165="","No Coupon",RawData!L165)</f>
        <v>No Coupon</v>
      </c>
      <c r="M165" s="7" t="str">
        <f>RawData!M165</f>
        <v>Referral</v>
      </c>
      <c r="N165" s="7">
        <f>RawData!N165</f>
        <v>641.39</v>
      </c>
    </row>
    <row r="166" spans="1:14" x14ac:dyDescent="0.3">
      <c r="A166" s="7" t="str">
        <f>RawData!A166</f>
        <v>ORD200164</v>
      </c>
      <c r="B166" s="11">
        <f>RawData!B166</f>
        <v>45288</v>
      </c>
      <c r="C166" s="7" t="str">
        <f>RawData!C166</f>
        <v>C70566</v>
      </c>
      <c r="D166" s="7" t="str">
        <f>RawData!D166</f>
        <v>Desk</v>
      </c>
      <c r="E166" s="7">
        <f>RawData!E166</f>
        <v>5</v>
      </c>
      <c r="F166" s="7">
        <f>RawData!F166</f>
        <v>536.58000000000004</v>
      </c>
      <c r="G166" s="7" t="str">
        <f>RawData!G166</f>
        <v>667 Main St</v>
      </c>
      <c r="H166" s="7" t="str">
        <f>RawData!H166</f>
        <v>Gift Card</v>
      </c>
      <c r="I166" s="7" t="str">
        <f>RawData!I166</f>
        <v>Pending</v>
      </c>
      <c r="J166" s="7" t="str">
        <f>RawData!J166</f>
        <v>TRK49673411</v>
      </c>
      <c r="K166" s="7">
        <f>RawData!K166</f>
        <v>5</v>
      </c>
      <c r="L166" s="7" t="str">
        <f>IF(RawData!L166="","No Coupon",RawData!L166)</f>
        <v>SAVE10</v>
      </c>
      <c r="M166" s="7" t="str">
        <f>RawData!M166</f>
        <v>Google</v>
      </c>
      <c r="N166" s="7">
        <f>RawData!N166</f>
        <v>2682.9</v>
      </c>
    </row>
    <row r="167" spans="1:14" x14ac:dyDescent="0.3">
      <c r="A167" s="7" t="str">
        <f>RawData!A167</f>
        <v>ORD200165</v>
      </c>
      <c r="B167" s="11">
        <f>RawData!B167</f>
        <v>45549</v>
      </c>
      <c r="C167" s="7" t="str">
        <f>RawData!C167</f>
        <v>C60355</v>
      </c>
      <c r="D167" s="7" t="str">
        <f>RawData!D167</f>
        <v>Monitor</v>
      </c>
      <c r="E167" s="7">
        <f>RawData!E167</f>
        <v>2</v>
      </c>
      <c r="F167" s="7">
        <f>RawData!F167</f>
        <v>500.29</v>
      </c>
      <c r="G167" s="7" t="str">
        <f>RawData!G167</f>
        <v>226 Main St</v>
      </c>
      <c r="H167" s="7" t="str">
        <f>RawData!H167</f>
        <v>Online</v>
      </c>
      <c r="I167" s="7" t="str">
        <f>RawData!I167</f>
        <v>Returned</v>
      </c>
      <c r="J167" s="7" t="str">
        <f>RawData!J167</f>
        <v>TRK30155194</v>
      </c>
      <c r="K167" s="7">
        <f>RawData!K167</f>
        <v>7</v>
      </c>
      <c r="L167" s="7" t="str">
        <f>IF(RawData!L167="","No Coupon",RawData!L167)</f>
        <v>WINTER15</v>
      </c>
      <c r="M167" s="7" t="str">
        <f>RawData!M167</f>
        <v>Google</v>
      </c>
      <c r="N167" s="7">
        <f>RawData!N167</f>
        <v>1000.58</v>
      </c>
    </row>
    <row r="168" spans="1:14" x14ac:dyDescent="0.3">
      <c r="A168" s="7" t="str">
        <f>RawData!A168</f>
        <v>ORD200166</v>
      </c>
      <c r="B168" s="11">
        <f>RawData!B168</f>
        <v>45720</v>
      </c>
      <c r="C168" s="7" t="str">
        <f>RawData!C168</f>
        <v>C28889</v>
      </c>
      <c r="D168" s="7" t="str">
        <f>RawData!D168</f>
        <v>Chair</v>
      </c>
      <c r="E168" s="7">
        <f>RawData!E168</f>
        <v>3</v>
      </c>
      <c r="F168" s="7">
        <f>RawData!F168</f>
        <v>86.29</v>
      </c>
      <c r="G168" s="7" t="str">
        <f>RawData!G168</f>
        <v>565 Main St</v>
      </c>
      <c r="H168" s="7" t="str">
        <f>RawData!H168</f>
        <v>Cash</v>
      </c>
      <c r="I168" s="7" t="str">
        <f>RawData!I168</f>
        <v>Delivered</v>
      </c>
      <c r="J168" s="7" t="str">
        <f>RawData!J168</f>
        <v>TRK23791726</v>
      </c>
      <c r="K168" s="7">
        <f>RawData!K168</f>
        <v>6</v>
      </c>
      <c r="L168" s="7" t="str">
        <f>IF(RawData!L168="","No Coupon",RawData!L168)</f>
        <v>WINTER15</v>
      </c>
      <c r="M168" s="7" t="str">
        <f>RawData!M168</f>
        <v>Instagram</v>
      </c>
      <c r="N168" s="7">
        <f>RawData!N168</f>
        <v>258.87</v>
      </c>
    </row>
    <row r="169" spans="1:14" x14ac:dyDescent="0.3">
      <c r="A169" s="7" t="str">
        <f>RawData!A169</f>
        <v>ORD200167</v>
      </c>
      <c r="B169" s="11">
        <f>RawData!B169</f>
        <v>45073</v>
      </c>
      <c r="C169" s="7" t="str">
        <f>RawData!C169</f>
        <v>C88304</v>
      </c>
      <c r="D169" s="7" t="str">
        <f>RawData!D169</f>
        <v>Chair</v>
      </c>
      <c r="E169" s="7">
        <f>RawData!E169</f>
        <v>2</v>
      </c>
      <c r="F169" s="7">
        <f>RawData!F169</f>
        <v>384.14</v>
      </c>
      <c r="G169" s="7" t="str">
        <f>RawData!G169</f>
        <v>219 Main St</v>
      </c>
      <c r="H169" s="7" t="str">
        <f>RawData!H169</f>
        <v>Online</v>
      </c>
      <c r="I169" s="7" t="str">
        <f>RawData!I169</f>
        <v>Returned</v>
      </c>
      <c r="J169" s="7" t="str">
        <f>RawData!J169</f>
        <v>TRK44268941</v>
      </c>
      <c r="K169" s="7">
        <f>RawData!K169</f>
        <v>2</v>
      </c>
      <c r="L169" s="7" t="str">
        <f>IF(RawData!L169="","No Coupon",RawData!L169)</f>
        <v>WINTER15</v>
      </c>
      <c r="M169" s="7" t="str">
        <f>RawData!M169</f>
        <v>Email</v>
      </c>
      <c r="N169" s="7">
        <f>RawData!N169</f>
        <v>768.28</v>
      </c>
    </row>
    <row r="170" spans="1:14" x14ac:dyDescent="0.3">
      <c r="A170" s="7" t="str">
        <f>RawData!A170</f>
        <v>ORD200168</v>
      </c>
      <c r="B170" s="11">
        <f>RawData!B170</f>
        <v>45661</v>
      </c>
      <c r="C170" s="7" t="str">
        <f>RawData!C170</f>
        <v>C49517</v>
      </c>
      <c r="D170" s="7" t="str">
        <f>RawData!D170</f>
        <v>Printer</v>
      </c>
      <c r="E170" s="7">
        <f>RawData!E170</f>
        <v>1</v>
      </c>
      <c r="F170" s="7">
        <f>RawData!F170</f>
        <v>594.96</v>
      </c>
      <c r="G170" s="7" t="str">
        <f>RawData!G170</f>
        <v>878 Main St</v>
      </c>
      <c r="H170" s="7" t="str">
        <f>RawData!H170</f>
        <v>Cash</v>
      </c>
      <c r="I170" s="7" t="str">
        <f>RawData!I170</f>
        <v>Returned</v>
      </c>
      <c r="J170" s="7" t="str">
        <f>RawData!J170</f>
        <v>TRK78551375</v>
      </c>
      <c r="K170" s="7">
        <f>RawData!K170</f>
        <v>6</v>
      </c>
      <c r="L170" s="7" t="str">
        <f>IF(RawData!L170="","No Coupon",RawData!L170)</f>
        <v>No Coupon</v>
      </c>
      <c r="M170" s="7" t="str">
        <f>RawData!M170</f>
        <v>Facebook</v>
      </c>
      <c r="N170" s="7">
        <f>RawData!N170</f>
        <v>594.96</v>
      </c>
    </row>
    <row r="171" spans="1:14" x14ac:dyDescent="0.3">
      <c r="A171" s="7" t="str">
        <f>RawData!A171</f>
        <v>ORD200169</v>
      </c>
      <c r="B171" s="11">
        <f>RawData!B171</f>
        <v>45389</v>
      </c>
      <c r="C171" s="7" t="str">
        <f>RawData!C171</f>
        <v>C35785</v>
      </c>
      <c r="D171" s="7" t="str">
        <f>RawData!D171</f>
        <v>Printer</v>
      </c>
      <c r="E171" s="7">
        <f>RawData!E171</f>
        <v>1</v>
      </c>
      <c r="F171" s="7">
        <f>RawData!F171</f>
        <v>427.82</v>
      </c>
      <c r="G171" s="7" t="str">
        <f>RawData!G171</f>
        <v>732 Main St</v>
      </c>
      <c r="H171" s="7" t="str">
        <f>RawData!H171</f>
        <v>Online</v>
      </c>
      <c r="I171" s="7" t="str">
        <f>RawData!I171</f>
        <v>Delivered</v>
      </c>
      <c r="J171" s="7" t="str">
        <f>RawData!J171</f>
        <v>TRK78923089</v>
      </c>
      <c r="K171" s="7">
        <f>RawData!K171</f>
        <v>2</v>
      </c>
      <c r="L171" s="7" t="str">
        <f>IF(RawData!L171="","No Coupon",RawData!L171)</f>
        <v>WINTER15</v>
      </c>
      <c r="M171" s="7" t="str">
        <f>RawData!M171</f>
        <v>Email</v>
      </c>
      <c r="N171" s="7">
        <f>RawData!N171</f>
        <v>427.82</v>
      </c>
    </row>
    <row r="172" spans="1:14" x14ac:dyDescent="0.3">
      <c r="A172" s="7" t="str">
        <f>RawData!A172</f>
        <v>ORD200170</v>
      </c>
      <c r="B172" s="11">
        <f>RawData!B172</f>
        <v>45751</v>
      </c>
      <c r="C172" s="7" t="str">
        <f>RawData!C172</f>
        <v>C80223</v>
      </c>
      <c r="D172" s="7" t="str">
        <f>RawData!D172</f>
        <v>Desk</v>
      </c>
      <c r="E172" s="7">
        <f>RawData!E172</f>
        <v>4</v>
      </c>
      <c r="F172" s="7">
        <f>RawData!F172</f>
        <v>662.94</v>
      </c>
      <c r="G172" s="7" t="str">
        <f>RawData!G172</f>
        <v>535 Main St</v>
      </c>
      <c r="H172" s="7" t="str">
        <f>RawData!H172</f>
        <v>Cash</v>
      </c>
      <c r="I172" s="7" t="str">
        <f>RawData!I172</f>
        <v>Cancelled</v>
      </c>
      <c r="J172" s="7" t="str">
        <f>RawData!J172</f>
        <v>TRK68632951</v>
      </c>
      <c r="K172" s="7">
        <f>RawData!K172</f>
        <v>8</v>
      </c>
      <c r="L172" s="7" t="str">
        <f>IF(RawData!L172="","No Coupon",RawData!L172)</f>
        <v>SAVE10</v>
      </c>
      <c r="M172" s="7" t="str">
        <f>RawData!M172</f>
        <v>Instagram</v>
      </c>
      <c r="N172" s="7">
        <f>RawData!N172</f>
        <v>2651.76</v>
      </c>
    </row>
    <row r="173" spans="1:14" x14ac:dyDescent="0.3">
      <c r="A173" s="7" t="str">
        <f>RawData!A173</f>
        <v>ORD200171</v>
      </c>
      <c r="B173" s="11">
        <f>RawData!B173</f>
        <v>45153</v>
      </c>
      <c r="C173" s="7" t="str">
        <f>RawData!C173</f>
        <v>C20448</v>
      </c>
      <c r="D173" s="7" t="str">
        <f>RawData!D173</f>
        <v>Tablet</v>
      </c>
      <c r="E173" s="7">
        <f>RawData!E173</f>
        <v>2</v>
      </c>
      <c r="F173" s="7">
        <f>RawData!F173</f>
        <v>148.22</v>
      </c>
      <c r="G173" s="7" t="str">
        <f>RawData!G173</f>
        <v>336 Main St</v>
      </c>
      <c r="H173" s="7" t="str">
        <f>RawData!H173</f>
        <v>Credit Card</v>
      </c>
      <c r="I173" s="7" t="str">
        <f>RawData!I173</f>
        <v>Delivered</v>
      </c>
      <c r="J173" s="7" t="str">
        <f>RawData!J173</f>
        <v>TRK67379895</v>
      </c>
      <c r="K173" s="7">
        <f>RawData!K173</f>
        <v>7</v>
      </c>
      <c r="L173" s="7" t="str">
        <f>IF(RawData!L173="","No Coupon",RawData!L173)</f>
        <v>WINTER15</v>
      </c>
      <c r="M173" s="7" t="str">
        <f>RawData!M173</f>
        <v>Instagram</v>
      </c>
      <c r="N173" s="7">
        <f>RawData!N173</f>
        <v>296.44</v>
      </c>
    </row>
    <row r="174" spans="1:14" x14ac:dyDescent="0.3">
      <c r="A174" s="7" t="str">
        <f>RawData!A174</f>
        <v>ORD200172</v>
      </c>
      <c r="B174" s="11">
        <f>RawData!B174</f>
        <v>45753</v>
      </c>
      <c r="C174" s="7" t="str">
        <f>RawData!C174</f>
        <v>C34134</v>
      </c>
      <c r="D174" s="7" t="str">
        <f>RawData!D174</f>
        <v>Printer</v>
      </c>
      <c r="E174" s="7">
        <f>RawData!E174</f>
        <v>1</v>
      </c>
      <c r="F174" s="7">
        <f>RawData!F174</f>
        <v>254.12</v>
      </c>
      <c r="G174" s="7" t="str">
        <f>RawData!G174</f>
        <v>365 Main St</v>
      </c>
      <c r="H174" s="7" t="str">
        <f>RawData!H174</f>
        <v>Online</v>
      </c>
      <c r="I174" s="7" t="str">
        <f>RawData!I174</f>
        <v>Delivered</v>
      </c>
      <c r="J174" s="7" t="str">
        <f>RawData!J174</f>
        <v>TRK43074303</v>
      </c>
      <c r="K174" s="7">
        <f>RawData!K174</f>
        <v>1</v>
      </c>
      <c r="L174" s="7" t="str">
        <f>IF(RawData!L174="","No Coupon",RawData!L174)</f>
        <v>WINTER15</v>
      </c>
      <c r="M174" s="7" t="str">
        <f>RawData!M174</f>
        <v>Email</v>
      </c>
      <c r="N174" s="7">
        <f>RawData!N174</f>
        <v>254.12</v>
      </c>
    </row>
    <row r="175" spans="1:14" x14ac:dyDescent="0.3">
      <c r="A175" s="7" t="str">
        <f>RawData!A175</f>
        <v>ORD200173</v>
      </c>
      <c r="B175" s="11">
        <f>RawData!B175</f>
        <v>45375</v>
      </c>
      <c r="C175" s="7" t="str">
        <f>RawData!C175</f>
        <v>C95901</v>
      </c>
      <c r="D175" s="7" t="str">
        <f>RawData!D175</f>
        <v>Phone</v>
      </c>
      <c r="E175" s="7">
        <f>RawData!E175</f>
        <v>3</v>
      </c>
      <c r="F175" s="7">
        <f>RawData!F175</f>
        <v>664.46</v>
      </c>
      <c r="G175" s="7" t="str">
        <f>RawData!G175</f>
        <v>806 Main St</v>
      </c>
      <c r="H175" s="7" t="str">
        <f>RawData!H175</f>
        <v>Online</v>
      </c>
      <c r="I175" s="7" t="str">
        <f>RawData!I175</f>
        <v>Delivered</v>
      </c>
      <c r="J175" s="7" t="str">
        <f>RawData!J175</f>
        <v>TRK56989066</v>
      </c>
      <c r="K175" s="7">
        <f>RawData!K175</f>
        <v>4</v>
      </c>
      <c r="L175" s="7" t="str">
        <f>IF(RawData!L175="","No Coupon",RawData!L175)</f>
        <v>FREESHIP</v>
      </c>
      <c r="M175" s="7" t="str">
        <f>RawData!M175</f>
        <v>Google</v>
      </c>
      <c r="N175" s="7">
        <f>RawData!N175</f>
        <v>1993.38</v>
      </c>
    </row>
    <row r="176" spans="1:14" x14ac:dyDescent="0.3">
      <c r="A176" s="7" t="str">
        <f>RawData!A176</f>
        <v>ORD200174</v>
      </c>
      <c r="B176" s="11">
        <f>RawData!B176</f>
        <v>45398</v>
      </c>
      <c r="C176" s="7" t="str">
        <f>RawData!C176</f>
        <v>C51145</v>
      </c>
      <c r="D176" s="7" t="str">
        <f>RawData!D176</f>
        <v>Printer</v>
      </c>
      <c r="E176" s="7">
        <f>RawData!E176</f>
        <v>4</v>
      </c>
      <c r="F176" s="7">
        <f>RawData!F176</f>
        <v>600.80999999999995</v>
      </c>
      <c r="G176" s="7" t="str">
        <f>RawData!G176</f>
        <v>790 Main St</v>
      </c>
      <c r="H176" s="7" t="str">
        <f>RawData!H176</f>
        <v>Debit Card</v>
      </c>
      <c r="I176" s="7" t="str">
        <f>RawData!I176</f>
        <v>Delivered</v>
      </c>
      <c r="J176" s="7" t="str">
        <f>RawData!J176</f>
        <v>TRK59154274</v>
      </c>
      <c r="K176" s="7">
        <f>RawData!K176</f>
        <v>9</v>
      </c>
      <c r="L176" s="7" t="str">
        <f>IF(RawData!L176="","No Coupon",RawData!L176)</f>
        <v>SAVE10</v>
      </c>
      <c r="M176" s="7" t="str">
        <f>RawData!M176</f>
        <v>Email</v>
      </c>
      <c r="N176" s="7">
        <f>RawData!N176</f>
        <v>2403.2399999999998</v>
      </c>
    </row>
    <row r="177" spans="1:14" x14ac:dyDescent="0.3">
      <c r="A177" s="7" t="str">
        <f>RawData!A177</f>
        <v>ORD200175</v>
      </c>
      <c r="B177" s="11">
        <f>RawData!B177</f>
        <v>45696</v>
      </c>
      <c r="C177" s="7" t="str">
        <f>RawData!C177</f>
        <v>C78170</v>
      </c>
      <c r="D177" s="7" t="str">
        <f>RawData!D177</f>
        <v>Chair</v>
      </c>
      <c r="E177" s="7">
        <f>RawData!E177</f>
        <v>5</v>
      </c>
      <c r="F177" s="7">
        <f>RawData!F177</f>
        <v>68.34</v>
      </c>
      <c r="G177" s="7" t="str">
        <f>RawData!G177</f>
        <v>332 Main St</v>
      </c>
      <c r="H177" s="7" t="str">
        <f>RawData!H177</f>
        <v>Debit Card</v>
      </c>
      <c r="I177" s="7" t="str">
        <f>RawData!I177</f>
        <v>Pending</v>
      </c>
      <c r="J177" s="7" t="str">
        <f>RawData!J177</f>
        <v>TRK71410605</v>
      </c>
      <c r="K177" s="7">
        <f>RawData!K177</f>
        <v>6</v>
      </c>
      <c r="L177" s="7" t="str">
        <f>IF(RawData!L177="","No Coupon",RawData!L177)</f>
        <v>WINTER15</v>
      </c>
      <c r="M177" s="7" t="str">
        <f>RawData!M177</f>
        <v>Referral</v>
      </c>
      <c r="N177" s="7">
        <f>RawData!N177</f>
        <v>341.7</v>
      </c>
    </row>
    <row r="178" spans="1:14" x14ac:dyDescent="0.3">
      <c r="A178" s="7" t="str">
        <f>RawData!A178</f>
        <v>ORD200176</v>
      </c>
      <c r="B178" s="11">
        <f>RawData!B178</f>
        <v>45836</v>
      </c>
      <c r="C178" s="7" t="str">
        <f>RawData!C178</f>
        <v>C80151</v>
      </c>
      <c r="D178" s="7" t="str">
        <f>RawData!D178</f>
        <v>Tablet</v>
      </c>
      <c r="E178" s="7">
        <f>RawData!E178</f>
        <v>4</v>
      </c>
      <c r="F178" s="7">
        <f>RawData!F178</f>
        <v>430.83</v>
      </c>
      <c r="G178" s="7" t="str">
        <f>RawData!G178</f>
        <v>553 Main St</v>
      </c>
      <c r="H178" s="7" t="str">
        <f>RawData!H178</f>
        <v>Gift Card</v>
      </c>
      <c r="I178" s="7" t="str">
        <f>RawData!I178</f>
        <v>Pending</v>
      </c>
      <c r="J178" s="7" t="str">
        <f>RawData!J178</f>
        <v>TRK88251529</v>
      </c>
      <c r="K178" s="7">
        <f>RawData!K178</f>
        <v>8</v>
      </c>
      <c r="L178" s="7" t="str">
        <f>IF(RawData!L178="","No Coupon",RawData!L178)</f>
        <v>WINTER15</v>
      </c>
      <c r="M178" s="7" t="str">
        <f>RawData!M178</f>
        <v>Referral</v>
      </c>
      <c r="N178" s="7">
        <f>RawData!N178</f>
        <v>1723.32</v>
      </c>
    </row>
    <row r="179" spans="1:14" x14ac:dyDescent="0.3">
      <c r="A179" s="7" t="str">
        <f>RawData!A179</f>
        <v>ORD200177</v>
      </c>
      <c r="B179" s="11">
        <f>RawData!B179</f>
        <v>45143</v>
      </c>
      <c r="C179" s="7" t="str">
        <f>RawData!C179</f>
        <v>C55632</v>
      </c>
      <c r="D179" s="7" t="str">
        <f>RawData!D179</f>
        <v>Chair</v>
      </c>
      <c r="E179" s="7">
        <f>RawData!E179</f>
        <v>5</v>
      </c>
      <c r="F179" s="7">
        <f>RawData!F179</f>
        <v>431.69</v>
      </c>
      <c r="G179" s="7" t="str">
        <f>RawData!G179</f>
        <v>354 Main St</v>
      </c>
      <c r="H179" s="7" t="str">
        <f>RawData!H179</f>
        <v>Credit Card</v>
      </c>
      <c r="I179" s="7" t="str">
        <f>RawData!I179</f>
        <v>Pending</v>
      </c>
      <c r="J179" s="7" t="str">
        <f>RawData!J179</f>
        <v>TRK13003066</v>
      </c>
      <c r="K179" s="7">
        <f>RawData!K179</f>
        <v>10</v>
      </c>
      <c r="L179" s="7" t="str">
        <f>IF(RawData!L179="","No Coupon",RawData!L179)</f>
        <v>No Coupon</v>
      </c>
      <c r="M179" s="7" t="str">
        <f>RawData!M179</f>
        <v>Facebook</v>
      </c>
      <c r="N179" s="7">
        <f>RawData!N179</f>
        <v>2158.4499999999998</v>
      </c>
    </row>
    <row r="180" spans="1:14" x14ac:dyDescent="0.3">
      <c r="A180" s="7" t="str">
        <f>RawData!A180</f>
        <v>ORD200178</v>
      </c>
      <c r="B180" s="11">
        <f>RawData!B180</f>
        <v>45393</v>
      </c>
      <c r="C180" s="7" t="str">
        <f>RawData!C180</f>
        <v>C53070</v>
      </c>
      <c r="D180" s="7" t="str">
        <f>RawData!D180</f>
        <v>Chair</v>
      </c>
      <c r="E180" s="7">
        <f>RawData!E180</f>
        <v>4</v>
      </c>
      <c r="F180" s="7">
        <f>RawData!F180</f>
        <v>512.05999999999995</v>
      </c>
      <c r="G180" s="7" t="str">
        <f>RawData!G180</f>
        <v>283 Main St</v>
      </c>
      <c r="H180" s="7" t="str">
        <f>RawData!H180</f>
        <v>Online</v>
      </c>
      <c r="I180" s="7" t="str">
        <f>RawData!I180</f>
        <v>Delivered</v>
      </c>
      <c r="J180" s="7" t="str">
        <f>RawData!J180</f>
        <v>TRK49791755</v>
      </c>
      <c r="K180" s="7">
        <f>RawData!K180</f>
        <v>5</v>
      </c>
      <c r="L180" s="7" t="str">
        <f>IF(RawData!L180="","No Coupon",RawData!L180)</f>
        <v>SAVE10</v>
      </c>
      <c r="M180" s="7" t="str">
        <f>RawData!M180</f>
        <v>Google</v>
      </c>
      <c r="N180" s="7">
        <f>RawData!N180</f>
        <v>2048.2399999999998</v>
      </c>
    </row>
    <row r="181" spans="1:14" x14ac:dyDescent="0.3">
      <c r="A181" s="7" t="str">
        <f>RawData!A181</f>
        <v>ORD200179</v>
      </c>
      <c r="B181" s="11">
        <f>RawData!B181</f>
        <v>45620</v>
      </c>
      <c r="C181" s="7" t="str">
        <f>RawData!C181</f>
        <v>C27401</v>
      </c>
      <c r="D181" s="7" t="str">
        <f>RawData!D181</f>
        <v>Laptop</v>
      </c>
      <c r="E181" s="7">
        <f>RawData!E181</f>
        <v>3</v>
      </c>
      <c r="F181" s="7">
        <f>RawData!F181</f>
        <v>539.91</v>
      </c>
      <c r="G181" s="7" t="str">
        <f>RawData!G181</f>
        <v>500 Main St</v>
      </c>
      <c r="H181" s="7" t="str">
        <f>RawData!H181</f>
        <v>Credit Card</v>
      </c>
      <c r="I181" s="7" t="str">
        <f>RawData!I181</f>
        <v>Delivered</v>
      </c>
      <c r="J181" s="7" t="str">
        <f>RawData!J181</f>
        <v>TRK14332053</v>
      </c>
      <c r="K181" s="7">
        <f>RawData!K181</f>
        <v>8</v>
      </c>
      <c r="L181" s="7" t="str">
        <f>IF(RawData!L181="","No Coupon",RawData!L181)</f>
        <v>No Coupon</v>
      </c>
      <c r="M181" s="7" t="str">
        <f>RawData!M181</f>
        <v>Email</v>
      </c>
      <c r="N181" s="7">
        <f>RawData!N181</f>
        <v>1619.73</v>
      </c>
    </row>
    <row r="182" spans="1:14" x14ac:dyDescent="0.3">
      <c r="A182" s="7" t="str">
        <f>RawData!A182</f>
        <v>ORD200180</v>
      </c>
      <c r="B182" s="11">
        <f>RawData!B182</f>
        <v>45003</v>
      </c>
      <c r="C182" s="7" t="str">
        <f>RawData!C182</f>
        <v>C87216</v>
      </c>
      <c r="D182" s="7" t="str">
        <f>RawData!D182</f>
        <v>Tablet</v>
      </c>
      <c r="E182" s="7">
        <f>RawData!E182</f>
        <v>5</v>
      </c>
      <c r="F182" s="7">
        <f>RawData!F182</f>
        <v>316.07</v>
      </c>
      <c r="G182" s="7" t="str">
        <f>RawData!G182</f>
        <v>970 Main St</v>
      </c>
      <c r="H182" s="7" t="str">
        <f>RawData!H182</f>
        <v>Cash</v>
      </c>
      <c r="I182" s="7" t="str">
        <f>RawData!I182</f>
        <v>Returned</v>
      </c>
      <c r="J182" s="7" t="str">
        <f>RawData!J182</f>
        <v>TRK18713727</v>
      </c>
      <c r="K182" s="7">
        <f>RawData!K182</f>
        <v>10</v>
      </c>
      <c r="L182" s="7" t="str">
        <f>IF(RawData!L182="","No Coupon",RawData!L182)</f>
        <v>No Coupon</v>
      </c>
      <c r="M182" s="7" t="str">
        <f>RawData!M182</f>
        <v>Google</v>
      </c>
      <c r="N182" s="7">
        <f>RawData!N182</f>
        <v>1580.35</v>
      </c>
    </row>
    <row r="183" spans="1:14" x14ac:dyDescent="0.3">
      <c r="A183" s="7" t="str">
        <f>RawData!A183</f>
        <v>ORD200181</v>
      </c>
      <c r="B183" s="11">
        <f>RawData!B183</f>
        <v>45535</v>
      </c>
      <c r="C183" s="7" t="str">
        <f>RawData!C183</f>
        <v>C38966</v>
      </c>
      <c r="D183" s="7" t="str">
        <f>RawData!D183</f>
        <v>Printer</v>
      </c>
      <c r="E183" s="7">
        <f>RawData!E183</f>
        <v>5</v>
      </c>
      <c r="F183" s="7">
        <f>RawData!F183</f>
        <v>404.39</v>
      </c>
      <c r="G183" s="7" t="str">
        <f>RawData!G183</f>
        <v>247 Main St</v>
      </c>
      <c r="H183" s="7" t="str">
        <f>RawData!H183</f>
        <v>Online</v>
      </c>
      <c r="I183" s="7" t="str">
        <f>RawData!I183</f>
        <v>Shipped</v>
      </c>
      <c r="J183" s="7" t="str">
        <f>RawData!J183</f>
        <v>TRK17205146</v>
      </c>
      <c r="K183" s="7">
        <f>RawData!K183</f>
        <v>10</v>
      </c>
      <c r="L183" s="7" t="str">
        <f>IF(RawData!L183="","No Coupon",RawData!L183)</f>
        <v>No Coupon</v>
      </c>
      <c r="M183" s="7" t="str">
        <f>RawData!M183</f>
        <v>Referral</v>
      </c>
      <c r="N183" s="7">
        <f>RawData!N183</f>
        <v>2021.95</v>
      </c>
    </row>
    <row r="184" spans="1:14" x14ac:dyDescent="0.3">
      <c r="A184" s="7" t="str">
        <f>RawData!A184</f>
        <v>ORD200182</v>
      </c>
      <c r="B184" s="11">
        <f>RawData!B184</f>
        <v>45735</v>
      </c>
      <c r="C184" s="7" t="str">
        <f>RawData!C184</f>
        <v>C16612</v>
      </c>
      <c r="D184" s="7" t="str">
        <f>RawData!D184</f>
        <v>Desk</v>
      </c>
      <c r="E184" s="7">
        <f>RawData!E184</f>
        <v>1</v>
      </c>
      <c r="F184" s="7">
        <f>RawData!F184</f>
        <v>600.54</v>
      </c>
      <c r="G184" s="7" t="str">
        <f>RawData!G184</f>
        <v>596 Main St</v>
      </c>
      <c r="H184" s="7" t="str">
        <f>RawData!H184</f>
        <v>Debit Card</v>
      </c>
      <c r="I184" s="7" t="str">
        <f>RawData!I184</f>
        <v>Pending</v>
      </c>
      <c r="J184" s="7" t="str">
        <f>RawData!J184</f>
        <v>TRK96188223</v>
      </c>
      <c r="K184" s="7">
        <f>RawData!K184</f>
        <v>4</v>
      </c>
      <c r="L184" s="7" t="str">
        <f>IF(RawData!L184="","No Coupon",RawData!L184)</f>
        <v>WINTER15</v>
      </c>
      <c r="M184" s="7" t="str">
        <f>RawData!M184</f>
        <v>Google</v>
      </c>
      <c r="N184" s="7">
        <f>RawData!N184</f>
        <v>600.54</v>
      </c>
    </row>
    <row r="185" spans="1:14" x14ac:dyDescent="0.3">
      <c r="A185" s="7" t="str">
        <f>RawData!A185</f>
        <v>ORD200183</v>
      </c>
      <c r="B185" s="11">
        <f>RawData!B185</f>
        <v>45400</v>
      </c>
      <c r="C185" s="7" t="str">
        <f>RawData!C185</f>
        <v>C39246</v>
      </c>
      <c r="D185" s="7" t="str">
        <f>RawData!D185</f>
        <v>Monitor</v>
      </c>
      <c r="E185" s="7">
        <f>RawData!E185</f>
        <v>5</v>
      </c>
      <c r="F185" s="7">
        <f>RawData!F185</f>
        <v>186.28</v>
      </c>
      <c r="G185" s="7" t="str">
        <f>RawData!G185</f>
        <v>258 Main St</v>
      </c>
      <c r="H185" s="7" t="str">
        <f>RawData!H185</f>
        <v>Debit Card</v>
      </c>
      <c r="I185" s="7" t="str">
        <f>RawData!I185</f>
        <v>Delivered</v>
      </c>
      <c r="J185" s="7" t="str">
        <f>RawData!J185</f>
        <v>TRK16658182</v>
      </c>
      <c r="K185" s="7">
        <f>RawData!K185</f>
        <v>8</v>
      </c>
      <c r="L185" s="7" t="str">
        <f>IF(RawData!L185="","No Coupon",RawData!L185)</f>
        <v>SAVE10</v>
      </c>
      <c r="M185" s="7" t="str">
        <f>RawData!M185</f>
        <v>Email</v>
      </c>
      <c r="N185" s="7">
        <f>RawData!N185</f>
        <v>931.4</v>
      </c>
    </row>
    <row r="186" spans="1:14" x14ac:dyDescent="0.3">
      <c r="A186" s="7" t="str">
        <f>RawData!A186</f>
        <v>ORD200184</v>
      </c>
      <c r="B186" s="11">
        <f>RawData!B186</f>
        <v>45386</v>
      </c>
      <c r="C186" s="7" t="str">
        <f>RawData!C186</f>
        <v>C65180</v>
      </c>
      <c r="D186" s="7" t="str">
        <f>RawData!D186</f>
        <v>Tablet</v>
      </c>
      <c r="E186" s="7">
        <f>RawData!E186</f>
        <v>4</v>
      </c>
      <c r="F186" s="7">
        <f>RawData!F186</f>
        <v>214.54</v>
      </c>
      <c r="G186" s="7" t="str">
        <f>RawData!G186</f>
        <v>231 Main St</v>
      </c>
      <c r="H186" s="7" t="str">
        <f>RawData!H186</f>
        <v>Gift Card</v>
      </c>
      <c r="I186" s="7" t="str">
        <f>RawData!I186</f>
        <v>Cancelled</v>
      </c>
      <c r="J186" s="7" t="str">
        <f>RawData!J186</f>
        <v>TRK39255469</v>
      </c>
      <c r="K186" s="7">
        <f>RawData!K186</f>
        <v>7</v>
      </c>
      <c r="L186" s="7" t="str">
        <f>IF(RawData!L186="","No Coupon",RawData!L186)</f>
        <v>No Coupon</v>
      </c>
      <c r="M186" s="7" t="str">
        <f>RawData!M186</f>
        <v>Referral</v>
      </c>
      <c r="N186" s="7">
        <f>RawData!N186</f>
        <v>858.16</v>
      </c>
    </row>
    <row r="187" spans="1:14" x14ac:dyDescent="0.3">
      <c r="A187" s="7" t="str">
        <f>RawData!A187</f>
        <v>ORD200185</v>
      </c>
      <c r="B187" s="11">
        <f>RawData!B187</f>
        <v>45690</v>
      </c>
      <c r="C187" s="7" t="str">
        <f>RawData!C187</f>
        <v>C46877</v>
      </c>
      <c r="D187" s="7" t="str">
        <f>RawData!D187</f>
        <v>Laptop</v>
      </c>
      <c r="E187" s="7">
        <f>RawData!E187</f>
        <v>1</v>
      </c>
      <c r="F187" s="7">
        <f>RawData!F187</f>
        <v>210.7</v>
      </c>
      <c r="G187" s="7" t="str">
        <f>RawData!G187</f>
        <v>572 Main St</v>
      </c>
      <c r="H187" s="7" t="str">
        <f>RawData!H187</f>
        <v>Online</v>
      </c>
      <c r="I187" s="7" t="str">
        <f>RawData!I187</f>
        <v>Shipped</v>
      </c>
      <c r="J187" s="7" t="str">
        <f>RawData!J187</f>
        <v>TRK96935978</v>
      </c>
      <c r="K187" s="7">
        <f>RawData!K187</f>
        <v>2</v>
      </c>
      <c r="L187" s="7" t="str">
        <f>IF(RawData!L187="","No Coupon",RawData!L187)</f>
        <v>WINTER15</v>
      </c>
      <c r="M187" s="7" t="str">
        <f>RawData!M187</f>
        <v>Referral</v>
      </c>
      <c r="N187" s="7">
        <f>RawData!N187</f>
        <v>210.7</v>
      </c>
    </row>
    <row r="188" spans="1:14" x14ac:dyDescent="0.3">
      <c r="A188" s="7" t="str">
        <f>RawData!A188</f>
        <v>ORD200186</v>
      </c>
      <c r="B188" s="11">
        <f>RawData!B188</f>
        <v>45267</v>
      </c>
      <c r="C188" s="7" t="str">
        <f>RawData!C188</f>
        <v>C30334</v>
      </c>
      <c r="D188" s="7" t="str">
        <f>RawData!D188</f>
        <v>Phone</v>
      </c>
      <c r="E188" s="7">
        <f>RawData!E188</f>
        <v>2</v>
      </c>
      <c r="F188" s="7">
        <f>RawData!F188</f>
        <v>133.55000000000001</v>
      </c>
      <c r="G188" s="7" t="str">
        <f>RawData!G188</f>
        <v>322 Main St</v>
      </c>
      <c r="H188" s="7" t="str">
        <f>RawData!H188</f>
        <v>Cash</v>
      </c>
      <c r="I188" s="7" t="str">
        <f>RawData!I188</f>
        <v>Pending</v>
      </c>
      <c r="J188" s="7" t="str">
        <f>RawData!J188</f>
        <v>TRK66388885</v>
      </c>
      <c r="K188" s="7">
        <f>RawData!K188</f>
        <v>7</v>
      </c>
      <c r="L188" s="7" t="str">
        <f>IF(RawData!L188="","No Coupon",RawData!L188)</f>
        <v>FREESHIP</v>
      </c>
      <c r="M188" s="7" t="str">
        <f>RawData!M188</f>
        <v>Facebook</v>
      </c>
      <c r="N188" s="7">
        <f>RawData!N188</f>
        <v>267.10000000000002</v>
      </c>
    </row>
    <row r="189" spans="1:14" x14ac:dyDescent="0.3">
      <c r="A189" s="7" t="str">
        <f>RawData!A189</f>
        <v>ORD200187</v>
      </c>
      <c r="B189" s="11">
        <f>RawData!B189</f>
        <v>44965</v>
      </c>
      <c r="C189" s="7" t="str">
        <f>RawData!C189</f>
        <v>C21227</v>
      </c>
      <c r="D189" s="7" t="str">
        <f>RawData!D189</f>
        <v>Chair</v>
      </c>
      <c r="E189" s="7">
        <f>RawData!E189</f>
        <v>1</v>
      </c>
      <c r="F189" s="7">
        <f>RawData!F189</f>
        <v>590.87</v>
      </c>
      <c r="G189" s="7" t="str">
        <f>RawData!G189</f>
        <v>689 Main St</v>
      </c>
      <c r="H189" s="7" t="str">
        <f>RawData!H189</f>
        <v>Gift Card</v>
      </c>
      <c r="I189" s="7" t="str">
        <f>RawData!I189</f>
        <v>Returned</v>
      </c>
      <c r="J189" s="7" t="str">
        <f>RawData!J189</f>
        <v>TRK79129657</v>
      </c>
      <c r="K189" s="7">
        <f>RawData!K189</f>
        <v>6</v>
      </c>
      <c r="L189" s="7" t="str">
        <f>IF(RawData!L189="","No Coupon",RawData!L189)</f>
        <v>FREESHIP</v>
      </c>
      <c r="M189" s="7" t="str">
        <f>RawData!M189</f>
        <v>Referral</v>
      </c>
      <c r="N189" s="7">
        <f>RawData!N189</f>
        <v>590.87</v>
      </c>
    </row>
    <row r="190" spans="1:14" x14ac:dyDescent="0.3">
      <c r="A190" s="7" t="str">
        <f>RawData!A190</f>
        <v>ORD200188</v>
      </c>
      <c r="B190" s="11">
        <f>RawData!B190</f>
        <v>45731</v>
      </c>
      <c r="C190" s="7" t="str">
        <f>RawData!C190</f>
        <v>C97715</v>
      </c>
      <c r="D190" s="7" t="str">
        <f>RawData!D190</f>
        <v>Chair</v>
      </c>
      <c r="E190" s="7">
        <f>RawData!E190</f>
        <v>2</v>
      </c>
      <c r="F190" s="7">
        <f>RawData!F190</f>
        <v>363.91</v>
      </c>
      <c r="G190" s="7" t="str">
        <f>RawData!G190</f>
        <v>927 Main St</v>
      </c>
      <c r="H190" s="7" t="str">
        <f>RawData!H190</f>
        <v>Gift Card</v>
      </c>
      <c r="I190" s="7" t="str">
        <f>RawData!I190</f>
        <v>Shipped</v>
      </c>
      <c r="J190" s="7" t="str">
        <f>RawData!J190</f>
        <v>TRK19515949</v>
      </c>
      <c r="K190" s="7">
        <f>RawData!K190</f>
        <v>2</v>
      </c>
      <c r="L190" s="7" t="str">
        <f>IF(RawData!L190="","No Coupon",RawData!L190)</f>
        <v>FREESHIP</v>
      </c>
      <c r="M190" s="7" t="str">
        <f>RawData!M190</f>
        <v>Referral</v>
      </c>
      <c r="N190" s="7">
        <f>RawData!N190</f>
        <v>727.82</v>
      </c>
    </row>
    <row r="191" spans="1:14" x14ac:dyDescent="0.3">
      <c r="A191" s="7" t="str">
        <f>RawData!A191</f>
        <v>ORD200189</v>
      </c>
      <c r="B191" s="11">
        <f>RawData!B191</f>
        <v>45112</v>
      </c>
      <c r="C191" s="7" t="str">
        <f>RawData!C191</f>
        <v>C48939</v>
      </c>
      <c r="D191" s="7" t="str">
        <f>RawData!D191</f>
        <v>Printer</v>
      </c>
      <c r="E191" s="7">
        <f>RawData!E191</f>
        <v>5</v>
      </c>
      <c r="F191" s="7">
        <f>RawData!F191</f>
        <v>429.45</v>
      </c>
      <c r="G191" s="7" t="str">
        <f>RawData!G191</f>
        <v>597 Main St</v>
      </c>
      <c r="H191" s="7" t="str">
        <f>RawData!H191</f>
        <v>Gift Card</v>
      </c>
      <c r="I191" s="7" t="str">
        <f>RawData!I191</f>
        <v>Cancelled</v>
      </c>
      <c r="J191" s="7" t="str">
        <f>RawData!J191</f>
        <v>TRK62786764</v>
      </c>
      <c r="K191" s="7">
        <f>RawData!K191</f>
        <v>5</v>
      </c>
      <c r="L191" s="7" t="str">
        <f>IF(RawData!L191="","No Coupon",RawData!L191)</f>
        <v>WINTER15</v>
      </c>
      <c r="M191" s="7" t="str">
        <f>RawData!M191</f>
        <v>Email</v>
      </c>
      <c r="N191" s="7">
        <f>RawData!N191</f>
        <v>2147.25</v>
      </c>
    </row>
    <row r="192" spans="1:14" x14ac:dyDescent="0.3">
      <c r="A192" s="7" t="str">
        <f>RawData!A192</f>
        <v>ORD200190</v>
      </c>
      <c r="B192" s="11">
        <f>RawData!B192</f>
        <v>45535</v>
      </c>
      <c r="C192" s="7" t="str">
        <f>RawData!C192</f>
        <v>C35483</v>
      </c>
      <c r="D192" s="7" t="str">
        <f>RawData!D192</f>
        <v>Printer</v>
      </c>
      <c r="E192" s="7">
        <f>RawData!E192</f>
        <v>3</v>
      </c>
      <c r="F192" s="7">
        <f>RawData!F192</f>
        <v>223.7</v>
      </c>
      <c r="G192" s="7" t="str">
        <f>RawData!G192</f>
        <v>725 Main St</v>
      </c>
      <c r="H192" s="7" t="str">
        <f>RawData!H192</f>
        <v>Cash</v>
      </c>
      <c r="I192" s="7" t="str">
        <f>RawData!I192</f>
        <v>Returned</v>
      </c>
      <c r="J192" s="7" t="str">
        <f>RawData!J192</f>
        <v>TRK79638203</v>
      </c>
      <c r="K192" s="7">
        <f>RawData!K192</f>
        <v>3</v>
      </c>
      <c r="L192" s="7" t="str">
        <f>IF(RawData!L192="","No Coupon",RawData!L192)</f>
        <v>SAVE10</v>
      </c>
      <c r="M192" s="7" t="str">
        <f>RawData!M192</f>
        <v>Email</v>
      </c>
      <c r="N192" s="7">
        <f>RawData!N192</f>
        <v>671.1</v>
      </c>
    </row>
    <row r="193" spans="1:14" x14ac:dyDescent="0.3">
      <c r="A193" s="7" t="str">
        <f>RawData!A193</f>
        <v>ORD200191</v>
      </c>
      <c r="B193" s="11">
        <f>RawData!B193</f>
        <v>45724</v>
      </c>
      <c r="C193" s="7" t="str">
        <f>RawData!C193</f>
        <v>C51494</v>
      </c>
      <c r="D193" s="7" t="str">
        <f>RawData!D193</f>
        <v>Laptop</v>
      </c>
      <c r="E193" s="7">
        <f>RawData!E193</f>
        <v>2</v>
      </c>
      <c r="F193" s="7">
        <f>RawData!F193</f>
        <v>488.87</v>
      </c>
      <c r="G193" s="7" t="str">
        <f>RawData!G193</f>
        <v>505 Main St</v>
      </c>
      <c r="H193" s="7" t="str">
        <f>RawData!H193</f>
        <v>Online</v>
      </c>
      <c r="I193" s="7" t="str">
        <f>RawData!I193</f>
        <v>Cancelled</v>
      </c>
      <c r="J193" s="7" t="str">
        <f>RawData!J193</f>
        <v>TRK58520306</v>
      </c>
      <c r="K193" s="7">
        <f>RawData!K193</f>
        <v>4</v>
      </c>
      <c r="L193" s="7" t="str">
        <f>IF(RawData!L193="","No Coupon",RawData!L193)</f>
        <v>FREESHIP</v>
      </c>
      <c r="M193" s="7" t="str">
        <f>RawData!M193</f>
        <v>Google</v>
      </c>
      <c r="N193" s="7">
        <f>RawData!N193</f>
        <v>977.74</v>
      </c>
    </row>
    <row r="194" spans="1:14" x14ac:dyDescent="0.3">
      <c r="A194" s="7" t="str">
        <f>RawData!A194</f>
        <v>ORD200192</v>
      </c>
      <c r="B194" s="11">
        <f>RawData!B194</f>
        <v>45149</v>
      </c>
      <c r="C194" s="7" t="str">
        <f>RawData!C194</f>
        <v>C58410</v>
      </c>
      <c r="D194" s="7" t="str">
        <f>RawData!D194</f>
        <v>Desk</v>
      </c>
      <c r="E194" s="7">
        <f>RawData!E194</f>
        <v>1</v>
      </c>
      <c r="F194" s="7">
        <f>RawData!F194</f>
        <v>645.46</v>
      </c>
      <c r="G194" s="7" t="str">
        <f>RawData!G194</f>
        <v>151 Main St</v>
      </c>
      <c r="H194" s="7" t="str">
        <f>RawData!H194</f>
        <v>Gift Card</v>
      </c>
      <c r="I194" s="7" t="str">
        <f>RawData!I194</f>
        <v>Cancelled</v>
      </c>
      <c r="J194" s="7" t="str">
        <f>RawData!J194</f>
        <v>TRK19749672</v>
      </c>
      <c r="K194" s="7">
        <f>RawData!K194</f>
        <v>5</v>
      </c>
      <c r="L194" s="7" t="str">
        <f>IF(RawData!L194="","No Coupon",RawData!L194)</f>
        <v>SAVE10</v>
      </c>
      <c r="M194" s="7" t="str">
        <f>RawData!M194</f>
        <v>Google</v>
      </c>
      <c r="N194" s="7">
        <f>RawData!N194</f>
        <v>645.46</v>
      </c>
    </row>
    <row r="195" spans="1:14" x14ac:dyDescent="0.3">
      <c r="A195" s="7" t="str">
        <f>RawData!A195</f>
        <v>ORD200193</v>
      </c>
      <c r="B195" s="11">
        <f>RawData!B195</f>
        <v>45128</v>
      </c>
      <c r="C195" s="7" t="str">
        <f>RawData!C195</f>
        <v>C11644</v>
      </c>
      <c r="D195" s="7" t="str">
        <f>RawData!D195</f>
        <v>Printer</v>
      </c>
      <c r="E195" s="7">
        <f>RawData!E195</f>
        <v>1</v>
      </c>
      <c r="F195" s="7">
        <f>RawData!F195</f>
        <v>46.66</v>
      </c>
      <c r="G195" s="7" t="str">
        <f>RawData!G195</f>
        <v>429 Main St</v>
      </c>
      <c r="H195" s="7" t="str">
        <f>RawData!H195</f>
        <v>Cash</v>
      </c>
      <c r="I195" s="7" t="str">
        <f>RawData!I195</f>
        <v>Cancelled</v>
      </c>
      <c r="J195" s="7" t="str">
        <f>RawData!J195</f>
        <v>TRK81320339</v>
      </c>
      <c r="K195" s="7">
        <f>RawData!K195</f>
        <v>6</v>
      </c>
      <c r="L195" s="7" t="str">
        <f>IF(RawData!L195="","No Coupon",RawData!L195)</f>
        <v>No Coupon</v>
      </c>
      <c r="M195" s="7" t="str">
        <f>RawData!M195</f>
        <v>Google</v>
      </c>
      <c r="N195" s="7">
        <f>RawData!N195</f>
        <v>46.66</v>
      </c>
    </row>
    <row r="196" spans="1:14" x14ac:dyDescent="0.3">
      <c r="A196" s="7" t="str">
        <f>RawData!A196</f>
        <v>ORD200194</v>
      </c>
      <c r="B196" s="11">
        <f>RawData!B196</f>
        <v>45451</v>
      </c>
      <c r="C196" s="7" t="str">
        <f>RawData!C196</f>
        <v>C53501</v>
      </c>
      <c r="D196" s="7" t="str">
        <f>RawData!D196</f>
        <v>Monitor</v>
      </c>
      <c r="E196" s="7">
        <f>RawData!E196</f>
        <v>1</v>
      </c>
      <c r="F196" s="7">
        <f>RawData!F196</f>
        <v>249.57</v>
      </c>
      <c r="G196" s="7" t="str">
        <f>RawData!G196</f>
        <v>899 Main St</v>
      </c>
      <c r="H196" s="7" t="str">
        <f>RawData!H196</f>
        <v>Cash</v>
      </c>
      <c r="I196" s="7" t="str">
        <f>RawData!I196</f>
        <v>Shipped</v>
      </c>
      <c r="J196" s="7" t="str">
        <f>RawData!J196</f>
        <v>TRK90144892</v>
      </c>
      <c r="K196" s="7">
        <f>RawData!K196</f>
        <v>3</v>
      </c>
      <c r="L196" s="7" t="str">
        <f>IF(RawData!L196="","No Coupon",RawData!L196)</f>
        <v>FREESHIP</v>
      </c>
      <c r="M196" s="7" t="str">
        <f>RawData!M196</f>
        <v>Google</v>
      </c>
      <c r="N196" s="7">
        <f>RawData!N196</f>
        <v>249.57</v>
      </c>
    </row>
    <row r="197" spans="1:14" x14ac:dyDescent="0.3">
      <c r="A197" s="7" t="str">
        <f>RawData!A197</f>
        <v>ORD200195</v>
      </c>
      <c r="B197" s="11">
        <f>RawData!B197</f>
        <v>45404</v>
      </c>
      <c r="C197" s="7" t="str">
        <f>RawData!C197</f>
        <v>C63619</v>
      </c>
      <c r="D197" s="7" t="str">
        <f>RawData!D197</f>
        <v>Chair</v>
      </c>
      <c r="E197" s="7">
        <f>RawData!E197</f>
        <v>3</v>
      </c>
      <c r="F197" s="7">
        <f>RawData!F197</f>
        <v>619.21</v>
      </c>
      <c r="G197" s="7" t="str">
        <f>RawData!G197</f>
        <v>801 Main St</v>
      </c>
      <c r="H197" s="7" t="str">
        <f>RawData!H197</f>
        <v>Debit Card</v>
      </c>
      <c r="I197" s="7" t="str">
        <f>RawData!I197</f>
        <v>Cancelled</v>
      </c>
      <c r="J197" s="7" t="str">
        <f>RawData!J197</f>
        <v>TRK65385674</v>
      </c>
      <c r="K197" s="7">
        <f>RawData!K197</f>
        <v>6</v>
      </c>
      <c r="L197" s="7" t="str">
        <f>IF(RawData!L197="","No Coupon",RawData!L197)</f>
        <v>No Coupon</v>
      </c>
      <c r="M197" s="7" t="str">
        <f>RawData!M197</f>
        <v>Email</v>
      </c>
      <c r="N197" s="7">
        <f>RawData!N197</f>
        <v>1857.63</v>
      </c>
    </row>
    <row r="198" spans="1:14" x14ac:dyDescent="0.3">
      <c r="A198" s="7" t="str">
        <f>RawData!A198</f>
        <v>ORD200196</v>
      </c>
      <c r="B198" s="11">
        <f>RawData!B198</f>
        <v>45681</v>
      </c>
      <c r="C198" s="7" t="str">
        <f>RawData!C198</f>
        <v>C40882</v>
      </c>
      <c r="D198" s="7" t="str">
        <f>RawData!D198</f>
        <v>Desk</v>
      </c>
      <c r="E198" s="7">
        <f>RawData!E198</f>
        <v>4</v>
      </c>
      <c r="F198" s="7">
        <f>RawData!F198</f>
        <v>217.13</v>
      </c>
      <c r="G198" s="7" t="str">
        <f>RawData!G198</f>
        <v>719 Main St</v>
      </c>
      <c r="H198" s="7" t="str">
        <f>RawData!H198</f>
        <v>Cash</v>
      </c>
      <c r="I198" s="7" t="str">
        <f>RawData!I198</f>
        <v>Delivered</v>
      </c>
      <c r="J198" s="7" t="str">
        <f>RawData!J198</f>
        <v>TRK64165503</v>
      </c>
      <c r="K198" s="7">
        <f>RawData!K198</f>
        <v>8</v>
      </c>
      <c r="L198" s="7" t="str">
        <f>IF(RawData!L198="","No Coupon",RawData!L198)</f>
        <v>WINTER15</v>
      </c>
      <c r="M198" s="7" t="str">
        <f>RawData!M198</f>
        <v>Email</v>
      </c>
      <c r="N198" s="7">
        <f>RawData!N198</f>
        <v>868.52</v>
      </c>
    </row>
    <row r="199" spans="1:14" x14ac:dyDescent="0.3">
      <c r="A199" s="7" t="str">
        <f>RawData!A199</f>
        <v>ORD200197</v>
      </c>
      <c r="B199" s="11">
        <f>RawData!B199</f>
        <v>45165</v>
      </c>
      <c r="C199" s="7" t="str">
        <f>RawData!C199</f>
        <v>C80135</v>
      </c>
      <c r="D199" s="7" t="str">
        <f>RawData!D199</f>
        <v>Laptop</v>
      </c>
      <c r="E199" s="7">
        <f>RawData!E199</f>
        <v>5</v>
      </c>
      <c r="F199" s="7">
        <f>RawData!F199</f>
        <v>221.51</v>
      </c>
      <c r="G199" s="7" t="str">
        <f>RawData!G199</f>
        <v>723 Main St</v>
      </c>
      <c r="H199" s="7" t="str">
        <f>RawData!H199</f>
        <v>Cash</v>
      </c>
      <c r="I199" s="7" t="str">
        <f>RawData!I199</f>
        <v>Returned</v>
      </c>
      <c r="J199" s="7" t="str">
        <f>RawData!J199</f>
        <v>TRK95222269</v>
      </c>
      <c r="K199" s="7">
        <f>RawData!K199</f>
        <v>5</v>
      </c>
      <c r="L199" s="7" t="str">
        <f>IF(RawData!L199="","No Coupon",RawData!L199)</f>
        <v>WINTER15</v>
      </c>
      <c r="M199" s="7" t="str">
        <f>RawData!M199</f>
        <v>Referral</v>
      </c>
      <c r="N199" s="7">
        <f>RawData!N199</f>
        <v>1107.55</v>
      </c>
    </row>
    <row r="200" spans="1:14" x14ac:dyDescent="0.3">
      <c r="A200" s="7" t="str">
        <f>RawData!A200</f>
        <v>ORD200198</v>
      </c>
      <c r="B200" s="11">
        <f>RawData!B200</f>
        <v>45454</v>
      </c>
      <c r="C200" s="7" t="str">
        <f>RawData!C200</f>
        <v>C37594</v>
      </c>
      <c r="D200" s="7" t="str">
        <f>RawData!D200</f>
        <v>Laptop</v>
      </c>
      <c r="E200" s="7">
        <f>RawData!E200</f>
        <v>4</v>
      </c>
      <c r="F200" s="7">
        <f>RawData!F200</f>
        <v>340.3</v>
      </c>
      <c r="G200" s="7" t="str">
        <f>RawData!G200</f>
        <v>926 Main St</v>
      </c>
      <c r="H200" s="7" t="str">
        <f>RawData!H200</f>
        <v>Cash</v>
      </c>
      <c r="I200" s="7" t="str">
        <f>RawData!I200</f>
        <v>Cancelled</v>
      </c>
      <c r="J200" s="7" t="str">
        <f>RawData!J200</f>
        <v>TRK94405162</v>
      </c>
      <c r="K200" s="7">
        <f>RawData!K200</f>
        <v>8</v>
      </c>
      <c r="L200" s="7" t="str">
        <f>IF(RawData!L200="","No Coupon",RawData!L200)</f>
        <v>SAVE10</v>
      </c>
      <c r="M200" s="7" t="str">
        <f>RawData!M200</f>
        <v>Referral</v>
      </c>
      <c r="N200" s="7">
        <f>RawData!N200</f>
        <v>1361.2</v>
      </c>
    </row>
    <row r="201" spans="1:14" x14ac:dyDescent="0.3">
      <c r="A201" s="7" t="str">
        <f>RawData!A201</f>
        <v>ORD200199</v>
      </c>
      <c r="B201" s="11">
        <f>RawData!B201</f>
        <v>45680</v>
      </c>
      <c r="C201" s="7" t="str">
        <f>RawData!C201</f>
        <v>C87524</v>
      </c>
      <c r="D201" s="7" t="str">
        <f>RawData!D201</f>
        <v>Phone</v>
      </c>
      <c r="E201" s="7">
        <f>RawData!E201</f>
        <v>1</v>
      </c>
      <c r="F201" s="7">
        <f>RawData!F201</f>
        <v>625</v>
      </c>
      <c r="G201" s="7" t="str">
        <f>RawData!G201</f>
        <v>358 Main St</v>
      </c>
      <c r="H201" s="7" t="str">
        <f>RawData!H201</f>
        <v>Online</v>
      </c>
      <c r="I201" s="7" t="str">
        <f>RawData!I201</f>
        <v>Returned</v>
      </c>
      <c r="J201" s="7" t="str">
        <f>RawData!J201</f>
        <v>TRK21114341</v>
      </c>
      <c r="K201" s="7">
        <f>RawData!K201</f>
        <v>5</v>
      </c>
      <c r="L201" s="7" t="str">
        <f>IF(RawData!L201="","No Coupon",RawData!L201)</f>
        <v>WINTER15</v>
      </c>
      <c r="M201" s="7" t="str">
        <f>RawData!M201</f>
        <v>Google</v>
      </c>
      <c r="N201" s="7">
        <f>RawData!N201</f>
        <v>625</v>
      </c>
    </row>
    <row r="202" spans="1:14" x14ac:dyDescent="0.3">
      <c r="A202" s="7" t="str">
        <f>RawData!A202</f>
        <v>ORD200200</v>
      </c>
      <c r="B202" s="11">
        <f>RawData!B202</f>
        <v>45815</v>
      </c>
      <c r="C202" s="7" t="str">
        <f>RawData!C202</f>
        <v>C97681</v>
      </c>
      <c r="D202" s="7" t="str">
        <f>RawData!D202</f>
        <v>Tablet</v>
      </c>
      <c r="E202" s="7">
        <f>RawData!E202</f>
        <v>5</v>
      </c>
      <c r="F202" s="7">
        <f>RawData!F202</f>
        <v>433.26</v>
      </c>
      <c r="G202" s="7" t="str">
        <f>RawData!G202</f>
        <v>895 Main St</v>
      </c>
      <c r="H202" s="7" t="str">
        <f>RawData!H202</f>
        <v>Credit Card</v>
      </c>
      <c r="I202" s="7" t="str">
        <f>RawData!I202</f>
        <v>Delivered</v>
      </c>
      <c r="J202" s="7" t="str">
        <f>RawData!J202</f>
        <v>TRK37531040</v>
      </c>
      <c r="K202" s="7">
        <f>RawData!K202</f>
        <v>9</v>
      </c>
      <c r="L202" s="7" t="str">
        <f>IF(RawData!L202="","No Coupon",RawData!L202)</f>
        <v>SAVE10</v>
      </c>
      <c r="M202" s="7" t="str">
        <f>RawData!M202</f>
        <v>Google</v>
      </c>
      <c r="N202" s="7">
        <f>RawData!N202</f>
        <v>2166.3000000000002</v>
      </c>
    </row>
    <row r="203" spans="1:14" x14ac:dyDescent="0.3">
      <c r="A203" s="7" t="str">
        <f>RawData!A203</f>
        <v>ORD200201</v>
      </c>
      <c r="B203" s="11">
        <f>RawData!B203</f>
        <v>45095</v>
      </c>
      <c r="C203" s="7" t="str">
        <f>RawData!C203</f>
        <v>C10126</v>
      </c>
      <c r="D203" s="7" t="str">
        <f>RawData!D203</f>
        <v>Monitor</v>
      </c>
      <c r="E203" s="7">
        <f>RawData!E203</f>
        <v>2</v>
      </c>
      <c r="F203" s="7">
        <f>RawData!F203</f>
        <v>674.9</v>
      </c>
      <c r="G203" s="7" t="str">
        <f>RawData!G203</f>
        <v>146 Main St</v>
      </c>
      <c r="H203" s="7" t="str">
        <f>RawData!H203</f>
        <v>Online</v>
      </c>
      <c r="I203" s="7" t="str">
        <f>RawData!I203</f>
        <v>Shipped</v>
      </c>
      <c r="J203" s="7" t="str">
        <f>RawData!J203</f>
        <v>TRK75607531</v>
      </c>
      <c r="K203" s="7">
        <f>RawData!K203</f>
        <v>4</v>
      </c>
      <c r="L203" s="7" t="str">
        <f>IF(RawData!L203="","No Coupon",RawData!L203)</f>
        <v>SAVE10</v>
      </c>
      <c r="M203" s="7" t="str">
        <f>RawData!M203</f>
        <v>Facebook</v>
      </c>
      <c r="N203" s="7">
        <f>RawData!N203</f>
        <v>1349.8</v>
      </c>
    </row>
    <row r="204" spans="1:14" x14ac:dyDescent="0.3">
      <c r="A204" s="7" t="str">
        <f>RawData!A204</f>
        <v>ORD200202</v>
      </c>
      <c r="B204" s="11">
        <f>RawData!B204</f>
        <v>45694</v>
      </c>
      <c r="C204" s="7" t="str">
        <f>RawData!C204</f>
        <v>C36938</v>
      </c>
      <c r="D204" s="7" t="str">
        <f>RawData!D204</f>
        <v>Monitor</v>
      </c>
      <c r="E204" s="7">
        <f>RawData!E204</f>
        <v>3</v>
      </c>
      <c r="F204" s="7">
        <f>RawData!F204</f>
        <v>253.98</v>
      </c>
      <c r="G204" s="7" t="str">
        <f>RawData!G204</f>
        <v>636 Main St</v>
      </c>
      <c r="H204" s="7" t="str">
        <f>RawData!H204</f>
        <v>Credit Card</v>
      </c>
      <c r="I204" s="7" t="str">
        <f>RawData!I204</f>
        <v>Cancelled</v>
      </c>
      <c r="J204" s="7" t="str">
        <f>RawData!J204</f>
        <v>TRK52522904</v>
      </c>
      <c r="K204" s="7">
        <f>RawData!K204</f>
        <v>3</v>
      </c>
      <c r="L204" s="7" t="str">
        <f>IF(RawData!L204="","No Coupon",RawData!L204)</f>
        <v>FREESHIP</v>
      </c>
      <c r="M204" s="7" t="str">
        <f>RawData!M204</f>
        <v>Email</v>
      </c>
      <c r="N204" s="7">
        <f>RawData!N204</f>
        <v>761.94</v>
      </c>
    </row>
    <row r="205" spans="1:14" x14ac:dyDescent="0.3">
      <c r="A205" s="7" t="str">
        <f>RawData!A205</f>
        <v>ORD200203</v>
      </c>
      <c r="B205" s="11">
        <f>RawData!B205</f>
        <v>45678</v>
      </c>
      <c r="C205" s="7" t="str">
        <f>RawData!C205</f>
        <v>C99173</v>
      </c>
      <c r="D205" s="7" t="str">
        <f>RawData!D205</f>
        <v>Printer</v>
      </c>
      <c r="E205" s="7">
        <f>RawData!E205</f>
        <v>3</v>
      </c>
      <c r="F205" s="7">
        <f>RawData!F205</f>
        <v>356.84</v>
      </c>
      <c r="G205" s="7" t="str">
        <f>RawData!G205</f>
        <v>172 Main St</v>
      </c>
      <c r="H205" s="7" t="str">
        <f>RawData!H205</f>
        <v>Online</v>
      </c>
      <c r="I205" s="7" t="str">
        <f>RawData!I205</f>
        <v>Shipped</v>
      </c>
      <c r="J205" s="7" t="str">
        <f>RawData!J205</f>
        <v>TRK89849342</v>
      </c>
      <c r="K205" s="7">
        <f>RawData!K205</f>
        <v>5</v>
      </c>
      <c r="L205" s="7" t="str">
        <f>IF(RawData!L205="","No Coupon",RawData!L205)</f>
        <v>SAVE10</v>
      </c>
      <c r="M205" s="7" t="str">
        <f>RawData!M205</f>
        <v>Instagram</v>
      </c>
      <c r="N205" s="7">
        <f>RawData!N205</f>
        <v>1070.52</v>
      </c>
    </row>
    <row r="206" spans="1:14" x14ac:dyDescent="0.3">
      <c r="A206" s="7" t="str">
        <f>RawData!A206</f>
        <v>ORD200204</v>
      </c>
      <c r="B206" s="11">
        <f>RawData!B206</f>
        <v>45174</v>
      </c>
      <c r="C206" s="7" t="str">
        <f>RawData!C206</f>
        <v>C99775</v>
      </c>
      <c r="D206" s="7" t="str">
        <f>RawData!D206</f>
        <v>Laptop</v>
      </c>
      <c r="E206" s="7">
        <f>RawData!E206</f>
        <v>4</v>
      </c>
      <c r="F206" s="7">
        <f>RawData!F206</f>
        <v>413.71</v>
      </c>
      <c r="G206" s="7" t="str">
        <f>RawData!G206</f>
        <v>478 Main St</v>
      </c>
      <c r="H206" s="7" t="str">
        <f>RawData!H206</f>
        <v>Gift Card</v>
      </c>
      <c r="I206" s="7" t="str">
        <f>RawData!I206</f>
        <v>Cancelled</v>
      </c>
      <c r="J206" s="7" t="str">
        <f>RawData!J206</f>
        <v>TRK21638425</v>
      </c>
      <c r="K206" s="7">
        <f>RawData!K206</f>
        <v>9</v>
      </c>
      <c r="L206" s="7" t="str">
        <f>IF(RawData!L206="","No Coupon",RawData!L206)</f>
        <v>FREESHIP</v>
      </c>
      <c r="M206" s="7" t="str">
        <f>RawData!M206</f>
        <v>Facebook</v>
      </c>
      <c r="N206" s="7">
        <f>RawData!N206</f>
        <v>1654.84</v>
      </c>
    </row>
    <row r="207" spans="1:14" x14ac:dyDescent="0.3">
      <c r="A207" s="7" t="str">
        <f>RawData!A207</f>
        <v>ORD200205</v>
      </c>
      <c r="B207" s="11">
        <f>RawData!B207</f>
        <v>44989</v>
      </c>
      <c r="C207" s="7" t="str">
        <f>RawData!C207</f>
        <v>C19266</v>
      </c>
      <c r="D207" s="7" t="str">
        <f>RawData!D207</f>
        <v>Desk</v>
      </c>
      <c r="E207" s="7">
        <f>RawData!E207</f>
        <v>3</v>
      </c>
      <c r="F207" s="7">
        <f>RawData!F207</f>
        <v>147.38999999999999</v>
      </c>
      <c r="G207" s="7" t="str">
        <f>RawData!G207</f>
        <v>609 Main St</v>
      </c>
      <c r="H207" s="7" t="str">
        <f>RawData!H207</f>
        <v>Debit Card</v>
      </c>
      <c r="I207" s="7" t="str">
        <f>RawData!I207</f>
        <v>Returned</v>
      </c>
      <c r="J207" s="7" t="str">
        <f>RawData!J207</f>
        <v>TRK58357269</v>
      </c>
      <c r="K207" s="7">
        <f>RawData!K207</f>
        <v>3</v>
      </c>
      <c r="L207" s="7" t="str">
        <f>IF(RawData!L207="","No Coupon",RawData!L207)</f>
        <v>No Coupon</v>
      </c>
      <c r="M207" s="7" t="str">
        <f>RawData!M207</f>
        <v>Email</v>
      </c>
      <c r="N207" s="7">
        <f>RawData!N207</f>
        <v>442.17</v>
      </c>
    </row>
    <row r="208" spans="1:14" x14ac:dyDescent="0.3">
      <c r="A208" s="7" t="str">
        <f>RawData!A208</f>
        <v>ORD200206</v>
      </c>
      <c r="B208" s="11">
        <f>RawData!B208</f>
        <v>45398</v>
      </c>
      <c r="C208" s="7" t="str">
        <f>RawData!C208</f>
        <v>C31072</v>
      </c>
      <c r="D208" s="7" t="str">
        <f>RawData!D208</f>
        <v>Laptop</v>
      </c>
      <c r="E208" s="7">
        <f>RawData!E208</f>
        <v>4</v>
      </c>
      <c r="F208" s="7">
        <f>RawData!F208</f>
        <v>229.1</v>
      </c>
      <c r="G208" s="7" t="str">
        <f>RawData!G208</f>
        <v>729 Main St</v>
      </c>
      <c r="H208" s="7" t="str">
        <f>RawData!H208</f>
        <v>Gift Card</v>
      </c>
      <c r="I208" s="7" t="str">
        <f>RawData!I208</f>
        <v>Returned</v>
      </c>
      <c r="J208" s="7" t="str">
        <f>RawData!J208</f>
        <v>TRK77172975</v>
      </c>
      <c r="K208" s="7">
        <f>RawData!K208</f>
        <v>8</v>
      </c>
      <c r="L208" s="7" t="str">
        <f>IF(RawData!L208="","No Coupon",RawData!L208)</f>
        <v>WINTER15</v>
      </c>
      <c r="M208" s="7" t="str">
        <f>RawData!M208</f>
        <v>Email</v>
      </c>
      <c r="N208" s="7">
        <f>RawData!N208</f>
        <v>916.4</v>
      </c>
    </row>
    <row r="209" spans="1:14" x14ac:dyDescent="0.3">
      <c r="A209" s="7" t="str">
        <f>RawData!A209</f>
        <v>ORD200207</v>
      </c>
      <c r="B209" s="11">
        <f>RawData!B209</f>
        <v>45734</v>
      </c>
      <c r="C209" s="7" t="str">
        <f>RawData!C209</f>
        <v>C54595</v>
      </c>
      <c r="D209" s="7" t="str">
        <f>RawData!D209</f>
        <v>Phone</v>
      </c>
      <c r="E209" s="7">
        <f>RawData!E209</f>
        <v>1</v>
      </c>
      <c r="F209" s="7">
        <f>RawData!F209</f>
        <v>121.96</v>
      </c>
      <c r="G209" s="7" t="str">
        <f>RawData!G209</f>
        <v>999 Main St</v>
      </c>
      <c r="H209" s="7" t="str">
        <f>RawData!H209</f>
        <v>Debit Card</v>
      </c>
      <c r="I209" s="7" t="str">
        <f>RawData!I209</f>
        <v>Delivered</v>
      </c>
      <c r="J209" s="7" t="str">
        <f>RawData!J209</f>
        <v>TRK44416659</v>
      </c>
      <c r="K209" s="7">
        <f>RawData!K209</f>
        <v>3</v>
      </c>
      <c r="L209" s="7" t="str">
        <f>IF(RawData!L209="","No Coupon",RawData!L209)</f>
        <v>No Coupon</v>
      </c>
      <c r="M209" s="7" t="str">
        <f>RawData!M209</f>
        <v>Google</v>
      </c>
      <c r="N209" s="7">
        <f>RawData!N209</f>
        <v>121.96</v>
      </c>
    </row>
    <row r="210" spans="1:14" x14ac:dyDescent="0.3">
      <c r="A210" s="7" t="str">
        <f>RawData!A210</f>
        <v>ORD200208</v>
      </c>
      <c r="B210" s="11">
        <f>RawData!B210</f>
        <v>45573</v>
      </c>
      <c r="C210" s="7" t="str">
        <f>RawData!C210</f>
        <v>C87777</v>
      </c>
      <c r="D210" s="7" t="str">
        <f>RawData!D210</f>
        <v>Desk</v>
      </c>
      <c r="E210" s="7">
        <f>RawData!E210</f>
        <v>2</v>
      </c>
      <c r="F210" s="7">
        <f>RawData!F210</f>
        <v>408.32</v>
      </c>
      <c r="G210" s="7" t="str">
        <f>RawData!G210</f>
        <v>597 Main St</v>
      </c>
      <c r="H210" s="7" t="str">
        <f>RawData!H210</f>
        <v>Online</v>
      </c>
      <c r="I210" s="7" t="str">
        <f>RawData!I210</f>
        <v>Shipped</v>
      </c>
      <c r="J210" s="7" t="str">
        <f>RawData!J210</f>
        <v>TRK29003608</v>
      </c>
      <c r="K210" s="7">
        <f>RawData!K210</f>
        <v>3</v>
      </c>
      <c r="L210" s="7" t="str">
        <f>IF(RawData!L210="","No Coupon",RawData!L210)</f>
        <v>FREESHIP</v>
      </c>
      <c r="M210" s="7" t="str">
        <f>RawData!M210</f>
        <v>Facebook</v>
      </c>
      <c r="N210" s="7">
        <f>RawData!N210</f>
        <v>816.64</v>
      </c>
    </row>
    <row r="211" spans="1:14" x14ac:dyDescent="0.3">
      <c r="A211" s="7" t="str">
        <f>RawData!A211</f>
        <v>ORD200209</v>
      </c>
      <c r="B211" s="11">
        <f>RawData!B211</f>
        <v>45167</v>
      </c>
      <c r="C211" s="7" t="str">
        <f>RawData!C211</f>
        <v>C35854</v>
      </c>
      <c r="D211" s="7" t="str">
        <f>RawData!D211</f>
        <v>Tablet</v>
      </c>
      <c r="E211" s="7">
        <f>RawData!E211</f>
        <v>5</v>
      </c>
      <c r="F211" s="7">
        <f>RawData!F211</f>
        <v>187.97</v>
      </c>
      <c r="G211" s="7" t="str">
        <f>RawData!G211</f>
        <v>706 Main St</v>
      </c>
      <c r="H211" s="7" t="str">
        <f>RawData!H211</f>
        <v>Cash</v>
      </c>
      <c r="I211" s="7" t="str">
        <f>RawData!I211</f>
        <v>Returned</v>
      </c>
      <c r="J211" s="7" t="str">
        <f>RawData!J211</f>
        <v>TRK30615168</v>
      </c>
      <c r="K211" s="7">
        <f>RawData!K211</f>
        <v>9</v>
      </c>
      <c r="L211" s="7" t="str">
        <f>IF(RawData!L211="","No Coupon",RawData!L211)</f>
        <v>SAVE10</v>
      </c>
      <c r="M211" s="7" t="str">
        <f>RawData!M211</f>
        <v>Google</v>
      </c>
      <c r="N211" s="7">
        <f>RawData!N211</f>
        <v>939.85</v>
      </c>
    </row>
    <row r="212" spans="1:14" x14ac:dyDescent="0.3">
      <c r="A212" s="7" t="str">
        <f>RawData!A212</f>
        <v>ORD200210</v>
      </c>
      <c r="B212" s="11">
        <f>RawData!B212</f>
        <v>45631</v>
      </c>
      <c r="C212" s="7" t="str">
        <f>RawData!C212</f>
        <v>C93821</v>
      </c>
      <c r="D212" s="7" t="str">
        <f>RawData!D212</f>
        <v>Chair</v>
      </c>
      <c r="E212" s="7">
        <f>RawData!E212</f>
        <v>3</v>
      </c>
      <c r="F212" s="7">
        <f>RawData!F212</f>
        <v>358.48</v>
      </c>
      <c r="G212" s="7" t="str">
        <f>RawData!G212</f>
        <v>513 Main St</v>
      </c>
      <c r="H212" s="7" t="str">
        <f>RawData!H212</f>
        <v>Gift Card</v>
      </c>
      <c r="I212" s="7" t="str">
        <f>RawData!I212</f>
        <v>Delivered</v>
      </c>
      <c r="J212" s="7" t="str">
        <f>RawData!J212</f>
        <v>TRK10658539</v>
      </c>
      <c r="K212" s="7">
        <f>RawData!K212</f>
        <v>7</v>
      </c>
      <c r="L212" s="7" t="str">
        <f>IF(RawData!L212="","No Coupon",RawData!L212)</f>
        <v>FREESHIP</v>
      </c>
      <c r="M212" s="7" t="str">
        <f>RawData!M212</f>
        <v>Facebook</v>
      </c>
      <c r="N212" s="7">
        <f>RawData!N212</f>
        <v>1075.44</v>
      </c>
    </row>
    <row r="213" spans="1:14" x14ac:dyDescent="0.3">
      <c r="A213" s="7" t="str">
        <f>RawData!A213</f>
        <v>ORD200211</v>
      </c>
      <c r="B213" s="11">
        <f>RawData!B213</f>
        <v>45660</v>
      </c>
      <c r="C213" s="7" t="str">
        <f>RawData!C213</f>
        <v>C54390</v>
      </c>
      <c r="D213" s="7" t="str">
        <f>RawData!D213</f>
        <v>Printer</v>
      </c>
      <c r="E213" s="7">
        <f>RawData!E213</f>
        <v>3</v>
      </c>
      <c r="F213" s="7">
        <f>RawData!F213</f>
        <v>193.58</v>
      </c>
      <c r="G213" s="7" t="str">
        <f>RawData!G213</f>
        <v>185 Main St</v>
      </c>
      <c r="H213" s="7" t="str">
        <f>RawData!H213</f>
        <v>Gift Card</v>
      </c>
      <c r="I213" s="7" t="str">
        <f>RawData!I213</f>
        <v>Pending</v>
      </c>
      <c r="J213" s="7" t="str">
        <f>RawData!J213</f>
        <v>TRK83853742</v>
      </c>
      <c r="K213" s="7">
        <f>RawData!K213</f>
        <v>7</v>
      </c>
      <c r="L213" s="7" t="str">
        <f>IF(RawData!L213="","No Coupon",RawData!L213)</f>
        <v>FREESHIP</v>
      </c>
      <c r="M213" s="7" t="str">
        <f>RawData!M213</f>
        <v>Email</v>
      </c>
      <c r="N213" s="7">
        <f>RawData!N213</f>
        <v>580.74</v>
      </c>
    </row>
    <row r="214" spans="1:14" x14ac:dyDescent="0.3">
      <c r="A214" s="7" t="str">
        <f>RawData!A214</f>
        <v>ORD200212</v>
      </c>
      <c r="B214" s="11">
        <f>RawData!B214</f>
        <v>45097</v>
      </c>
      <c r="C214" s="7" t="str">
        <f>RawData!C214</f>
        <v>C53215</v>
      </c>
      <c r="D214" s="7" t="str">
        <f>RawData!D214</f>
        <v>Monitor</v>
      </c>
      <c r="E214" s="7">
        <f>RawData!E214</f>
        <v>1</v>
      </c>
      <c r="F214" s="7">
        <f>RawData!F214</f>
        <v>265.38</v>
      </c>
      <c r="G214" s="7" t="str">
        <f>RawData!G214</f>
        <v>367 Main St</v>
      </c>
      <c r="H214" s="7" t="str">
        <f>RawData!H214</f>
        <v>Credit Card</v>
      </c>
      <c r="I214" s="7" t="str">
        <f>RawData!I214</f>
        <v>Cancelled</v>
      </c>
      <c r="J214" s="7" t="str">
        <f>RawData!J214</f>
        <v>TRK34751835</v>
      </c>
      <c r="K214" s="7">
        <f>RawData!K214</f>
        <v>6</v>
      </c>
      <c r="L214" s="7" t="str">
        <f>IF(RawData!L214="","No Coupon",RawData!L214)</f>
        <v>WINTER15</v>
      </c>
      <c r="M214" s="7" t="str">
        <f>RawData!M214</f>
        <v>Email</v>
      </c>
      <c r="N214" s="7">
        <f>RawData!N214</f>
        <v>265.38</v>
      </c>
    </row>
    <row r="215" spans="1:14" x14ac:dyDescent="0.3">
      <c r="A215" s="7" t="str">
        <f>RawData!A215</f>
        <v>ORD200213</v>
      </c>
      <c r="B215" s="11">
        <f>RawData!B215</f>
        <v>45036</v>
      </c>
      <c r="C215" s="7" t="str">
        <f>RawData!C215</f>
        <v>C71122</v>
      </c>
      <c r="D215" s="7" t="str">
        <f>RawData!D215</f>
        <v>Laptop</v>
      </c>
      <c r="E215" s="7">
        <f>RawData!E215</f>
        <v>1</v>
      </c>
      <c r="F215" s="7">
        <f>RawData!F215</f>
        <v>634.4</v>
      </c>
      <c r="G215" s="7" t="str">
        <f>RawData!G215</f>
        <v>317 Main St</v>
      </c>
      <c r="H215" s="7" t="str">
        <f>RawData!H215</f>
        <v>Cash</v>
      </c>
      <c r="I215" s="7" t="str">
        <f>RawData!I215</f>
        <v>Cancelled</v>
      </c>
      <c r="J215" s="7" t="str">
        <f>RawData!J215</f>
        <v>TRK54757882</v>
      </c>
      <c r="K215" s="7">
        <f>RawData!K215</f>
        <v>6</v>
      </c>
      <c r="L215" s="7" t="str">
        <f>IF(RawData!L215="","No Coupon",RawData!L215)</f>
        <v>SAVE10</v>
      </c>
      <c r="M215" s="7" t="str">
        <f>RawData!M215</f>
        <v>Email</v>
      </c>
      <c r="N215" s="7">
        <f>RawData!N215</f>
        <v>634.4</v>
      </c>
    </row>
    <row r="216" spans="1:14" x14ac:dyDescent="0.3">
      <c r="A216" s="7" t="str">
        <f>RawData!A216</f>
        <v>ORD200214</v>
      </c>
      <c r="B216" s="11">
        <f>RawData!B216</f>
        <v>45525</v>
      </c>
      <c r="C216" s="7" t="str">
        <f>RawData!C216</f>
        <v>C29483</v>
      </c>
      <c r="D216" s="7" t="str">
        <f>RawData!D216</f>
        <v>Desk</v>
      </c>
      <c r="E216" s="7">
        <f>RawData!E216</f>
        <v>4</v>
      </c>
      <c r="F216" s="7">
        <f>RawData!F216</f>
        <v>305.72000000000003</v>
      </c>
      <c r="G216" s="7" t="str">
        <f>RawData!G216</f>
        <v>673 Main St</v>
      </c>
      <c r="H216" s="7" t="str">
        <f>RawData!H216</f>
        <v>Online</v>
      </c>
      <c r="I216" s="7" t="str">
        <f>RawData!I216</f>
        <v>Delivered</v>
      </c>
      <c r="J216" s="7" t="str">
        <f>RawData!J216</f>
        <v>TRK89423603</v>
      </c>
      <c r="K216" s="7">
        <f>RawData!K216</f>
        <v>5</v>
      </c>
      <c r="L216" s="7" t="str">
        <f>IF(RawData!L216="","No Coupon",RawData!L216)</f>
        <v>No Coupon</v>
      </c>
      <c r="M216" s="7" t="str">
        <f>RawData!M216</f>
        <v>Facebook</v>
      </c>
      <c r="N216" s="7">
        <f>RawData!N216</f>
        <v>1222.8800000000001</v>
      </c>
    </row>
    <row r="217" spans="1:14" x14ac:dyDescent="0.3">
      <c r="A217" s="7" t="str">
        <f>RawData!A217</f>
        <v>ORD200215</v>
      </c>
      <c r="B217" s="11">
        <f>RawData!B217</f>
        <v>45148</v>
      </c>
      <c r="C217" s="7" t="str">
        <f>RawData!C217</f>
        <v>C26767</v>
      </c>
      <c r="D217" s="7" t="str">
        <f>RawData!D217</f>
        <v>Printer</v>
      </c>
      <c r="E217" s="7">
        <f>RawData!E217</f>
        <v>1</v>
      </c>
      <c r="F217" s="7">
        <f>RawData!F217</f>
        <v>303.60000000000002</v>
      </c>
      <c r="G217" s="7" t="str">
        <f>RawData!G217</f>
        <v>432 Main St</v>
      </c>
      <c r="H217" s="7" t="str">
        <f>RawData!H217</f>
        <v>Cash</v>
      </c>
      <c r="I217" s="7" t="str">
        <f>RawData!I217</f>
        <v>Shipped</v>
      </c>
      <c r="J217" s="7" t="str">
        <f>RawData!J217</f>
        <v>TRK24585307</v>
      </c>
      <c r="K217" s="7">
        <f>RawData!K217</f>
        <v>5</v>
      </c>
      <c r="L217" s="7" t="str">
        <f>IF(RawData!L217="","No Coupon",RawData!L217)</f>
        <v>FREESHIP</v>
      </c>
      <c r="M217" s="7" t="str">
        <f>RawData!M217</f>
        <v>Facebook</v>
      </c>
      <c r="N217" s="7">
        <f>RawData!N217</f>
        <v>303.60000000000002</v>
      </c>
    </row>
    <row r="218" spans="1:14" x14ac:dyDescent="0.3">
      <c r="A218" s="7" t="str">
        <f>RawData!A218</f>
        <v>ORD200216</v>
      </c>
      <c r="B218" s="11">
        <f>RawData!B218</f>
        <v>45762</v>
      </c>
      <c r="C218" s="7" t="str">
        <f>RawData!C218</f>
        <v>C70492</v>
      </c>
      <c r="D218" s="7" t="str">
        <f>RawData!D218</f>
        <v>Monitor</v>
      </c>
      <c r="E218" s="7">
        <f>RawData!E218</f>
        <v>4</v>
      </c>
      <c r="F218" s="7">
        <f>RawData!F218</f>
        <v>496</v>
      </c>
      <c r="G218" s="7" t="str">
        <f>RawData!G218</f>
        <v>811 Main St</v>
      </c>
      <c r="H218" s="7" t="str">
        <f>RawData!H218</f>
        <v>Online</v>
      </c>
      <c r="I218" s="7" t="str">
        <f>RawData!I218</f>
        <v>Cancelled</v>
      </c>
      <c r="J218" s="7" t="str">
        <f>RawData!J218</f>
        <v>TRK84625405</v>
      </c>
      <c r="K218" s="7">
        <f>RawData!K218</f>
        <v>8</v>
      </c>
      <c r="L218" s="7" t="str">
        <f>IF(RawData!L218="","No Coupon",RawData!L218)</f>
        <v>WINTER15</v>
      </c>
      <c r="M218" s="7" t="str">
        <f>RawData!M218</f>
        <v>Google</v>
      </c>
      <c r="N218" s="7">
        <f>RawData!N218</f>
        <v>1984</v>
      </c>
    </row>
    <row r="219" spans="1:14" x14ac:dyDescent="0.3">
      <c r="A219" s="7" t="str">
        <f>RawData!A219</f>
        <v>ORD200217</v>
      </c>
      <c r="B219" s="11">
        <f>RawData!B219</f>
        <v>45432</v>
      </c>
      <c r="C219" s="7" t="str">
        <f>RawData!C219</f>
        <v>C61549</v>
      </c>
      <c r="D219" s="7" t="str">
        <f>RawData!D219</f>
        <v>Desk</v>
      </c>
      <c r="E219" s="7">
        <f>RawData!E219</f>
        <v>4</v>
      </c>
      <c r="F219" s="7">
        <f>RawData!F219</f>
        <v>321.51</v>
      </c>
      <c r="G219" s="7" t="str">
        <f>RawData!G219</f>
        <v>908 Main St</v>
      </c>
      <c r="H219" s="7" t="str">
        <f>RawData!H219</f>
        <v>Cash</v>
      </c>
      <c r="I219" s="7" t="str">
        <f>RawData!I219</f>
        <v>Returned</v>
      </c>
      <c r="J219" s="7" t="str">
        <f>RawData!J219</f>
        <v>TRK65596914</v>
      </c>
      <c r="K219" s="7">
        <f>RawData!K219</f>
        <v>9</v>
      </c>
      <c r="L219" s="7" t="str">
        <f>IF(RawData!L219="","No Coupon",RawData!L219)</f>
        <v>No Coupon</v>
      </c>
      <c r="M219" s="7" t="str">
        <f>RawData!M219</f>
        <v>Google</v>
      </c>
      <c r="N219" s="7">
        <f>RawData!N219</f>
        <v>1286.04</v>
      </c>
    </row>
    <row r="220" spans="1:14" x14ac:dyDescent="0.3">
      <c r="A220" s="7" t="str">
        <f>RawData!A220</f>
        <v>ORD200218</v>
      </c>
      <c r="B220" s="11">
        <f>RawData!B220</f>
        <v>45044</v>
      </c>
      <c r="C220" s="7" t="str">
        <f>RawData!C220</f>
        <v>C11665</v>
      </c>
      <c r="D220" s="7" t="str">
        <f>RawData!D220</f>
        <v>Tablet</v>
      </c>
      <c r="E220" s="7">
        <f>RawData!E220</f>
        <v>3</v>
      </c>
      <c r="F220" s="7">
        <f>RawData!F220</f>
        <v>112.46</v>
      </c>
      <c r="G220" s="7" t="str">
        <f>RawData!G220</f>
        <v>882 Main St</v>
      </c>
      <c r="H220" s="7" t="str">
        <f>RawData!H220</f>
        <v>Gift Card</v>
      </c>
      <c r="I220" s="7" t="str">
        <f>RawData!I220</f>
        <v>Shipped</v>
      </c>
      <c r="J220" s="7" t="str">
        <f>RawData!J220</f>
        <v>TRK10993930</v>
      </c>
      <c r="K220" s="7">
        <f>RawData!K220</f>
        <v>6</v>
      </c>
      <c r="L220" s="7" t="str">
        <f>IF(RawData!L220="","No Coupon",RawData!L220)</f>
        <v>SAVE10</v>
      </c>
      <c r="M220" s="7" t="str">
        <f>RawData!M220</f>
        <v>Instagram</v>
      </c>
      <c r="N220" s="7">
        <f>RawData!N220</f>
        <v>337.38</v>
      </c>
    </row>
    <row r="221" spans="1:14" x14ac:dyDescent="0.3">
      <c r="A221" s="7" t="str">
        <f>RawData!A221</f>
        <v>ORD200219</v>
      </c>
      <c r="B221" s="11">
        <f>RawData!B221</f>
        <v>45779</v>
      </c>
      <c r="C221" s="7" t="str">
        <f>RawData!C221</f>
        <v>C48946</v>
      </c>
      <c r="D221" s="7" t="str">
        <f>RawData!D221</f>
        <v>Laptop</v>
      </c>
      <c r="E221" s="7">
        <f>RawData!E221</f>
        <v>5</v>
      </c>
      <c r="F221" s="7">
        <f>RawData!F221</f>
        <v>61.97</v>
      </c>
      <c r="G221" s="7" t="str">
        <f>RawData!G221</f>
        <v>457 Main St</v>
      </c>
      <c r="H221" s="7" t="str">
        <f>RawData!H221</f>
        <v>Cash</v>
      </c>
      <c r="I221" s="7" t="str">
        <f>RawData!I221</f>
        <v>Delivered</v>
      </c>
      <c r="J221" s="7" t="str">
        <f>RawData!J221</f>
        <v>TRK99387220</v>
      </c>
      <c r="K221" s="7">
        <f>RawData!K221</f>
        <v>6</v>
      </c>
      <c r="L221" s="7" t="str">
        <f>IF(RawData!L221="","No Coupon",RawData!L221)</f>
        <v>SAVE10</v>
      </c>
      <c r="M221" s="7" t="str">
        <f>RawData!M221</f>
        <v>Email</v>
      </c>
      <c r="N221" s="7">
        <f>RawData!N221</f>
        <v>309.85000000000002</v>
      </c>
    </row>
    <row r="222" spans="1:14" x14ac:dyDescent="0.3">
      <c r="A222" s="7" t="str">
        <f>RawData!A222</f>
        <v>ORD200220</v>
      </c>
      <c r="B222" s="11">
        <f>RawData!B222</f>
        <v>45125</v>
      </c>
      <c r="C222" s="7" t="str">
        <f>RawData!C222</f>
        <v>C79506</v>
      </c>
      <c r="D222" s="7" t="str">
        <f>RawData!D222</f>
        <v>Laptop</v>
      </c>
      <c r="E222" s="7">
        <f>RawData!E222</f>
        <v>2</v>
      </c>
      <c r="F222" s="7">
        <f>RawData!F222</f>
        <v>373.17</v>
      </c>
      <c r="G222" s="7" t="str">
        <f>RawData!G222</f>
        <v>497 Main St</v>
      </c>
      <c r="H222" s="7" t="str">
        <f>RawData!H222</f>
        <v>Credit Card</v>
      </c>
      <c r="I222" s="7" t="str">
        <f>RawData!I222</f>
        <v>Pending</v>
      </c>
      <c r="J222" s="7" t="str">
        <f>RawData!J222</f>
        <v>TRK95188748</v>
      </c>
      <c r="K222" s="7">
        <f>RawData!K222</f>
        <v>6</v>
      </c>
      <c r="L222" s="7" t="str">
        <f>IF(RawData!L222="","No Coupon",RawData!L222)</f>
        <v>SAVE10</v>
      </c>
      <c r="M222" s="7" t="str">
        <f>RawData!M222</f>
        <v>Referral</v>
      </c>
      <c r="N222" s="7">
        <f>RawData!N222</f>
        <v>746.34</v>
      </c>
    </row>
    <row r="223" spans="1:14" x14ac:dyDescent="0.3">
      <c r="A223" s="7" t="str">
        <f>RawData!A223</f>
        <v>ORD200221</v>
      </c>
      <c r="B223" s="11">
        <f>RawData!B223</f>
        <v>45345</v>
      </c>
      <c r="C223" s="7" t="str">
        <f>RawData!C223</f>
        <v>C93473</v>
      </c>
      <c r="D223" s="7" t="str">
        <f>RawData!D223</f>
        <v>Tablet</v>
      </c>
      <c r="E223" s="7">
        <f>RawData!E223</f>
        <v>5</v>
      </c>
      <c r="F223" s="7">
        <f>RawData!F223</f>
        <v>639.37</v>
      </c>
      <c r="G223" s="7" t="str">
        <f>RawData!G223</f>
        <v>552 Main St</v>
      </c>
      <c r="H223" s="7" t="str">
        <f>RawData!H223</f>
        <v>Debit Card</v>
      </c>
      <c r="I223" s="7" t="str">
        <f>RawData!I223</f>
        <v>Pending</v>
      </c>
      <c r="J223" s="7" t="str">
        <f>RawData!J223</f>
        <v>TRK50003989</v>
      </c>
      <c r="K223" s="7">
        <f>RawData!K223</f>
        <v>6</v>
      </c>
      <c r="L223" s="7" t="str">
        <f>IF(RawData!L223="","No Coupon",RawData!L223)</f>
        <v>SAVE10</v>
      </c>
      <c r="M223" s="7" t="str">
        <f>RawData!M223</f>
        <v>Google</v>
      </c>
      <c r="N223" s="7">
        <f>RawData!N223</f>
        <v>3196.85</v>
      </c>
    </row>
    <row r="224" spans="1:14" x14ac:dyDescent="0.3">
      <c r="A224" s="7" t="str">
        <f>RawData!A224</f>
        <v>ORD200222</v>
      </c>
      <c r="B224" s="11">
        <f>RawData!B224</f>
        <v>45050</v>
      </c>
      <c r="C224" s="7" t="str">
        <f>RawData!C224</f>
        <v>C43124</v>
      </c>
      <c r="D224" s="7" t="str">
        <f>RawData!D224</f>
        <v>Chair</v>
      </c>
      <c r="E224" s="7">
        <f>RawData!E224</f>
        <v>4</v>
      </c>
      <c r="F224" s="7">
        <f>RawData!F224</f>
        <v>693.36</v>
      </c>
      <c r="G224" s="7" t="str">
        <f>RawData!G224</f>
        <v>931 Main St</v>
      </c>
      <c r="H224" s="7" t="str">
        <f>RawData!H224</f>
        <v>Online</v>
      </c>
      <c r="I224" s="7" t="str">
        <f>RawData!I224</f>
        <v>Shipped</v>
      </c>
      <c r="J224" s="7" t="str">
        <f>RawData!J224</f>
        <v>TRK17293348</v>
      </c>
      <c r="K224" s="7">
        <f>RawData!K224</f>
        <v>8</v>
      </c>
      <c r="L224" s="7" t="str">
        <f>IF(RawData!L224="","No Coupon",RawData!L224)</f>
        <v>No Coupon</v>
      </c>
      <c r="M224" s="7" t="str">
        <f>RawData!M224</f>
        <v>Instagram</v>
      </c>
      <c r="N224" s="7">
        <f>RawData!N224</f>
        <v>2773.44</v>
      </c>
    </row>
    <row r="225" spans="1:14" x14ac:dyDescent="0.3">
      <c r="A225" s="7" t="str">
        <f>RawData!A225</f>
        <v>ORD200223</v>
      </c>
      <c r="B225" s="11">
        <f>RawData!B225</f>
        <v>45546</v>
      </c>
      <c r="C225" s="7" t="str">
        <f>RawData!C225</f>
        <v>C22783</v>
      </c>
      <c r="D225" s="7" t="str">
        <f>RawData!D225</f>
        <v>Phone</v>
      </c>
      <c r="E225" s="7">
        <f>RawData!E225</f>
        <v>4</v>
      </c>
      <c r="F225" s="7">
        <f>RawData!F225</f>
        <v>692.91</v>
      </c>
      <c r="G225" s="7" t="str">
        <f>RawData!G225</f>
        <v>673 Main St</v>
      </c>
      <c r="H225" s="7" t="str">
        <f>RawData!H225</f>
        <v>Credit Card</v>
      </c>
      <c r="I225" s="7" t="str">
        <f>RawData!I225</f>
        <v>Pending</v>
      </c>
      <c r="J225" s="7" t="str">
        <f>RawData!J225</f>
        <v>TRK55009149</v>
      </c>
      <c r="K225" s="7">
        <f>RawData!K225</f>
        <v>9</v>
      </c>
      <c r="L225" s="7" t="str">
        <f>IF(RawData!L225="","No Coupon",RawData!L225)</f>
        <v>SAVE10</v>
      </c>
      <c r="M225" s="7" t="str">
        <f>RawData!M225</f>
        <v>Instagram</v>
      </c>
      <c r="N225" s="7">
        <f>RawData!N225</f>
        <v>2771.64</v>
      </c>
    </row>
    <row r="226" spans="1:14" x14ac:dyDescent="0.3">
      <c r="A226" s="7" t="str">
        <f>RawData!A226</f>
        <v>ORD200224</v>
      </c>
      <c r="B226" s="11">
        <f>RawData!B226</f>
        <v>45192</v>
      </c>
      <c r="C226" s="7" t="str">
        <f>RawData!C226</f>
        <v>C18567</v>
      </c>
      <c r="D226" s="7" t="str">
        <f>RawData!D226</f>
        <v>Printer</v>
      </c>
      <c r="E226" s="7">
        <f>RawData!E226</f>
        <v>4</v>
      </c>
      <c r="F226" s="7">
        <f>RawData!F226</f>
        <v>91.46</v>
      </c>
      <c r="G226" s="7" t="str">
        <f>RawData!G226</f>
        <v>507 Main St</v>
      </c>
      <c r="H226" s="7" t="str">
        <f>RawData!H226</f>
        <v>Cash</v>
      </c>
      <c r="I226" s="7" t="str">
        <f>RawData!I226</f>
        <v>Cancelled</v>
      </c>
      <c r="J226" s="7" t="str">
        <f>RawData!J226</f>
        <v>TRK17554673</v>
      </c>
      <c r="K226" s="7">
        <f>RawData!K226</f>
        <v>9</v>
      </c>
      <c r="L226" s="7" t="str">
        <f>IF(RawData!L226="","No Coupon",RawData!L226)</f>
        <v>SAVE10</v>
      </c>
      <c r="M226" s="7" t="str">
        <f>RawData!M226</f>
        <v>Referral</v>
      </c>
      <c r="N226" s="7">
        <f>RawData!N226</f>
        <v>365.84</v>
      </c>
    </row>
    <row r="227" spans="1:14" x14ac:dyDescent="0.3">
      <c r="A227" s="7" t="str">
        <f>RawData!A227</f>
        <v>ORD200225</v>
      </c>
      <c r="B227" s="11">
        <f>RawData!B227</f>
        <v>45364</v>
      </c>
      <c r="C227" s="7" t="str">
        <f>RawData!C227</f>
        <v>C99879</v>
      </c>
      <c r="D227" s="7" t="str">
        <f>RawData!D227</f>
        <v>Phone</v>
      </c>
      <c r="E227" s="7">
        <f>RawData!E227</f>
        <v>3</v>
      </c>
      <c r="F227" s="7">
        <f>RawData!F227</f>
        <v>273.95999999999998</v>
      </c>
      <c r="G227" s="7" t="str">
        <f>RawData!G227</f>
        <v>692 Main St</v>
      </c>
      <c r="H227" s="7" t="str">
        <f>RawData!H227</f>
        <v>Debit Card</v>
      </c>
      <c r="I227" s="7" t="str">
        <f>RawData!I227</f>
        <v>Returned</v>
      </c>
      <c r="J227" s="7" t="str">
        <f>RawData!J227</f>
        <v>TRK50246700</v>
      </c>
      <c r="K227" s="7">
        <f>RawData!K227</f>
        <v>8</v>
      </c>
      <c r="L227" s="7" t="str">
        <f>IF(RawData!L227="","No Coupon",RawData!L227)</f>
        <v>SAVE10</v>
      </c>
      <c r="M227" s="7" t="str">
        <f>RawData!M227</f>
        <v>Google</v>
      </c>
      <c r="N227" s="7">
        <f>RawData!N227</f>
        <v>821.88</v>
      </c>
    </row>
    <row r="228" spans="1:14" x14ac:dyDescent="0.3">
      <c r="A228" s="7" t="str">
        <f>RawData!A228</f>
        <v>ORD200226</v>
      </c>
      <c r="B228" s="11">
        <f>RawData!B228</f>
        <v>45835</v>
      </c>
      <c r="C228" s="7" t="str">
        <f>RawData!C228</f>
        <v>C31501</v>
      </c>
      <c r="D228" s="7" t="str">
        <f>RawData!D228</f>
        <v>Desk</v>
      </c>
      <c r="E228" s="7">
        <f>RawData!E228</f>
        <v>3</v>
      </c>
      <c r="F228" s="7">
        <f>RawData!F228</f>
        <v>588.04999999999995</v>
      </c>
      <c r="G228" s="7" t="str">
        <f>RawData!G228</f>
        <v>242 Main St</v>
      </c>
      <c r="H228" s="7" t="str">
        <f>RawData!H228</f>
        <v>Gift Card</v>
      </c>
      <c r="I228" s="7" t="str">
        <f>RawData!I228</f>
        <v>Delivered</v>
      </c>
      <c r="J228" s="7" t="str">
        <f>RawData!J228</f>
        <v>TRK93063929</v>
      </c>
      <c r="K228" s="7">
        <f>RawData!K228</f>
        <v>8</v>
      </c>
      <c r="L228" s="7" t="str">
        <f>IF(RawData!L228="","No Coupon",RawData!L228)</f>
        <v>No Coupon</v>
      </c>
      <c r="M228" s="7" t="str">
        <f>RawData!M228</f>
        <v>Instagram</v>
      </c>
      <c r="N228" s="7">
        <f>RawData!N228</f>
        <v>1764.15</v>
      </c>
    </row>
    <row r="229" spans="1:14" x14ac:dyDescent="0.3">
      <c r="A229" s="7" t="str">
        <f>RawData!A229</f>
        <v>ORD200227</v>
      </c>
      <c r="B229" s="11">
        <f>RawData!B229</f>
        <v>45232</v>
      </c>
      <c r="C229" s="7" t="str">
        <f>RawData!C229</f>
        <v>C93220</v>
      </c>
      <c r="D229" s="7" t="str">
        <f>RawData!D229</f>
        <v>Monitor</v>
      </c>
      <c r="E229" s="7">
        <f>RawData!E229</f>
        <v>2</v>
      </c>
      <c r="F229" s="7">
        <f>RawData!F229</f>
        <v>365.17</v>
      </c>
      <c r="G229" s="7" t="str">
        <f>RawData!G229</f>
        <v>353 Main St</v>
      </c>
      <c r="H229" s="7" t="str">
        <f>RawData!H229</f>
        <v>Online</v>
      </c>
      <c r="I229" s="7" t="str">
        <f>RawData!I229</f>
        <v>Cancelled</v>
      </c>
      <c r="J229" s="7" t="str">
        <f>RawData!J229</f>
        <v>TRK89023251</v>
      </c>
      <c r="K229" s="7">
        <f>RawData!K229</f>
        <v>4</v>
      </c>
      <c r="L229" s="7" t="str">
        <f>IF(RawData!L229="","No Coupon",RawData!L229)</f>
        <v>FREESHIP</v>
      </c>
      <c r="M229" s="7" t="str">
        <f>RawData!M229</f>
        <v>Facebook</v>
      </c>
      <c r="N229" s="7">
        <f>RawData!N229</f>
        <v>730.34</v>
      </c>
    </row>
    <row r="230" spans="1:14" x14ac:dyDescent="0.3">
      <c r="A230" s="7" t="str">
        <f>RawData!A230</f>
        <v>ORD200228</v>
      </c>
      <c r="B230" s="11">
        <f>RawData!B230</f>
        <v>45063</v>
      </c>
      <c r="C230" s="7" t="str">
        <f>RawData!C230</f>
        <v>C57867</v>
      </c>
      <c r="D230" s="7" t="str">
        <f>RawData!D230</f>
        <v>Chair</v>
      </c>
      <c r="E230" s="7">
        <f>RawData!E230</f>
        <v>4</v>
      </c>
      <c r="F230" s="7">
        <f>RawData!F230</f>
        <v>385.92</v>
      </c>
      <c r="G230" s="7" t="str">
        <f>RawData!G230</f>
        <v>579 Main St</v>
      </c>
      <c r="H230" s="7" t="str">
        <f>RawData!H230</f>
        <v>Credit Card</v>
      </c>
      <c r="I230" s="7" t="str">
        <f>RawData!I230</f>
        <v>Cancelled</v>
      </c>
      <c r="J230" s="7" t="str">
        <f>RawData!J230</f>
        <v>TRK92055007</v>
      </c>
      <c r="K230" s="7">
        <f>RawData!K230</f>
        <v>8</v>
      </c>
      <c r="L230" s="7" t="str">
        <f>IF(RawData!L230="","No Coupon",RawData!L230)</f>
        <v>No Coupon</v>
      </c>
      <c r="M230" s="7" t="str">
        <f>RawData!M230</f>
        <v>Instagram</v>
      </c>
      <c r="N230" s="7">
        <f>RawData!N230</f>
        <v>1543.68</v>
      </c>
    </row>
    <row r="231" spans="1:14" x14ac:dyDescent="0.3">
      <c r="A231" s="7" t="str">
        <f>RawData!A231</f>
        <v>ORD200229</v>
      </c>
      <c r="B231" s="11">
        <f>RawData!B231</f>
        <v>45744</v>
      </c>
      <c r="C231" s="7" t="str">
        <f>RawData!C231</f>
        <v>C62622</v>
      </c>
      <c r="D231" s="7" t="str">
        <f>RawData!D231</f>
        <v>Tablet</v>
      </c>
      <c r="E231" s="7">
        <f>RawData!E231</f>
        <v>1</v>
      </c>
      <c r="F231" s="7">
        <f>RawData!F231</f>
        <v>562.61</v>
      </c>
      <c r="G231" s="7" t="str">
        <f>RawData!G231</f>
        <v>762 Main St</v>
      </c>
      <c r="H231" s="7" t="str">
        <f>RawData!H231</f>
        <v>Credit Card</v>
      </c>
      <c r="I231" s="7" t="str">
        <f>RawData!I231</f>
        <v>Delivered</v>
      </c>
      <c r="J231" s="7" t="str">
        <f>RawData!J231</f>
        <v>TRK70997648</v>
      </c>
      <c r="K231" s="7">
        <f>RawData!K231</f>
        <v>3</v>
      </c>
      <c r="L231" s="7" t="str">
        <f>IF(RawData!L231="","No Coupon",RawData!L231)</f>
        <v>WINTER15</v>
      </c>
      <c r="M231" s="7" t="str">
        <f>RawData!M231</f>
        <v>Facebook</v>
      </c>
      <c r="N231" s="7">
        <f>RawData!N231</f>
        <v>562.61</v>
      </c>
    </row>
    <row r="232" spans="1:14" x14ac:dyDescent="0.3">
      <c r="A232" s="7" t="str">
        <f>RawData!A232</f>
        <v>ORD200230</v>
      </c>
      <c r="B232" s="11">
        <f>RawData!B232</f>
        <v>45276</v>
      </c>
      <c r="C232" s="7" t="str">
        <f>RawData!C232</f>
        <v>C94595</v>
      </c>
      <c r="D232" s="7" t="str">
        <f>RawData!D232</f>
        <v>Desk</v>
      </c>
      <c r="E232" s="7">
        <f>RawData!E232</f>
        <v>4</v>
      </c>
      <c r="F232" s="7">
        <f>RawData!F232</f>
        <v>61.91</v>
      </c>
      <c r="G232" s="7" t="str">
        <f>RawData!G232</f>
        <v>948 Main St</v>
      </c>
      <c r="H232" s="7" t="str">
        <f>RawData!H232</f>
        <v>Gift Card</v>
      </c>
      <c r="I232" s="7" t="str">
        <f>RawData!I232</f>
        <v>Delivered</v>
      </c>
      <c r="J232" s="7" t="str">
        <f>RawData!J232</f>
        <v>TRK24497305</v>
      </c>
      <c r="K232" s="7">
        <f>RawData!K232</f>
        <v>6</v>
      </c>
      <c r="L232" s="7" t="str">
        <f>IF(RawData!L232="","No Coupon",RawData!L232)</f>
        <v>WINTER15</v>
      </c>
      <c r="M232" s="7" t="str">
        <f>RawData!M232</f>
        <v>Email</v>
      </c>
      <c r="N232" s="7">
        <f>RawData!N232</f>
        <v>247.64</v>
      </c>
    </row>
    <row r="233" spans="1:14" x14ac:dyDescent="0.3">
      <c r="A233" s="7" t="str">
        <f>RawData!A233</f>
        <v>ORD200231</v>
      </c>
      <c r="B233" s="11">
        <f>RawData!B233</f>
        <v>45235</v>
      </c>
      <c r="C233" s="7" t="str">
        <f>RawData!C233</f>
        <v>C30955</v>
      </c>
      <c r="D233" s="7" t="str">
        <f>RawData!D233</f>
        <v>Phone</v>
      </c>
      <c r="E233" s="7">
        <f>RawData!E233</f>
        <v>4</v>
      </c>
      <c r="F233" s="7">
        <f>RawData!F233</f>
        <v>41.9</v>
      </c>
      <c r="G233" s="7" t="str">
        <f>RawData!G233</f>
        <v>327 Main St</v>
      </c>
      <c r="H233" s="7" t="str">
        <f>RawData!H233</f>
        <v>Gift Card</v>
      </c>
      <c r="I233" s="7" t="str">
        <f>RawData!I233</f>
        <v>Pending</v>
      </c>
      <c r="J233" s="7" t="str">
        <f>RawData!J233</f>
        <v>TRK46898848</v>
      </c>
      <c r="K233" s="7">
        <f>RawData!K233</f>
        <v>9</v>
      </c>
      <c r="L233" s="7" t="str">
        <f>IF(RawData!L233="","No Coupon",RawData!L233)</f>
        <v>FREESHIP</v>
      </c>
      <c r="M233" s="7" t="str">
        <f>RawData!M233</f>
        <v>Instagram</v>
      </c>
      <c r="N233" s="7">
        <f>RawData!N233</f>
        <v>167.6</v>
      </c>
    </row>
    <row r="234" spans="1:14" x14ac:dyDescent="0.3">
      <c r="A234" s="7" t="str">
        <f>RawData!A234</f>
        <v>ORD200232</v>
      </c>
      <c r="B234" s="11">
        <f>RawData!B234</f>
        <v>45065</v>
      </c>
      <c r="C234" s="7" t="str">
        <f>RawData!C234</f>
        <v>C20731</v>
      </c>
      <c r="D234" s="7" t="str">
        <f>RawData!D234</f>
        <v>Printer</v>
      </c>
      <c r="E234" s="7">
        <f>RawData!E234</f>
        <v>4</v>
      </c>
      <c r="F234" s="7">
        <f>RawData!F234</f>
        <v>444.44</v>
      </c>
      <c r="G234" s="7" t="str">
        <f>RawData!G234</f>
        <v>610 Main St</v>
      </c>
      <c r="H234" s="7" t="str">
        <f>RawData!H234</f>
        <v>Debit Card</v>
      </c>
      <c r="I234" s="7" t="str">
        <f>RawData!I234</f>
        <v>Cancelled</v>
      </c>
      <c r="J234" s="7" t="str">
        <f>RawData!J234</f>
        <v>TRK75568437</v>
      </c>
      <c r="K234" s="7">
        <f>RawData!K234</f>
        <v>8</v>
      </c>
      <c r="L234" s="7" t="str">
        <f>IF(RawData!L234="","No Coupon",RawData!L234)</f>
        <v>WINTER15</v>
      </c>
      <c r="M234" s="7" t="str">
        <f>RawData!M234</f>
        <v>Google</v>
      </c>
      <c r="N234" s="7">
        <f>RawData!N234</f>
        <v>1777.76</v>
      </c>
    </row>
    <row r="235" spans="1:14" x14ac:dyDescent="0.3">
      <c r="A235" s="7" t="str">
        <f>RawData!A235</f>
        <v>ORD200233</v>
      </c>
      <c r="B235" s="11">
        <f>RawData!B235</f>
        <v>45528</v>
      </c>
      <c r="C235" s="7" t="str">
        <f>RawData!C235</f>
        <v>C30168</v>
      </c>
      <c r="D235" s="7" t="str">
        <f>RawData!D235</f>
        <v>Phone</v>
      </c>
      <c r="E235" s="7">
        <f>RawData!E235</f>
        <v>3</v>
      </c>
      <c r="F235" s="7">
        <f>RawData!F235</f>
        <v>311.33</v>
      </c>
      <c r="G235" s="7" t="str">
        <f>RawData!G235</f>
        <v>146 Main St</v>
      </c>
      <c r="H235" s="7" t="str">
        <f>RawData!H235</f>
        <v>Cash</v>
      </c>
      <c r="I235" s="7" t="str">
        <f>RawData!I235</f>
        <v>Cancelled</v>
      </c>
      <c r="J235" s="7" t="str">
        <f>RawData!J235</f>
        <v>TRK73699939</v>
      </c>
      <c r="K235" s="7">
        <f>RawData!K235</f>
        <v>3</v>
      </c>
      <c r="L235" s="7" t="str">
        <f>IF(RawData!L235="","No Coupon",RawData!L235)</f>
        <v>WINTER15</v>
      </c>
      <c r="M235" s="7" t="str">
        <f>RawData!M235</f>
        <v>Instagram</v>
      </c>
      <c r="N235" s="7">
        <f>RawData!N235</f>
        <v>933.99</v>
      </c>
    </row>
    <row r="236" spans="1:14" x14ac:dyDescent="0.3">
      <c r="A236" s="7" t="str">
        <f>RawData!A236</f>
        <v>ORD200234</v>
      </c>
      <c r="B236" s="11">
        <f>RawData!B236</f>
        <v>45622</v>
      </c>
      <c r="C236" s="7" t="str">
        <f>RawData!C236</f>
        <v>C79842</v>
      </c>
      <c r="D236" s="7" t="str">
        <f>RawData!D236</f>
        <v>Printer</v>
      </c>
      <c r="E236" s="7">
        <f>RawData!E236</f>
        <v>4</v>
      </c>
      <c r="F236" s="7">
        <f>RawData!F236</f>
        <v>236.41</v>
      </c>
      <c r="G236" s="7" t="str">
        <f>RawData!G236</f>
        <v>337 Main St</v>
      </c>
      <c r="H236" s="7" t="str">
        <f>RawData!H236</f>
        <v>Debit Card</v>
      </c>
      <c r="I236" s="7" t="str">
        <f>RawData!I236</f>
        <v>Pending</v>
      </c>
      <c r="J236" s="7" t="str">
        <f>RawData!J236</f>
        <v>TRK26957950</v>
      </c>
      <c r="K236" s="7">
        <f>RawData!K236</f>
        <v>7</v>
      </c>
      <c r="L236" s="7" t="str">
        <f>IF(RawData!L236="","No Coupon",RawData!L236)</f>
        <v>SAVE10</v>
      </c>
      <c r="M236" s="7" t="str">
        <f>RawData!M236</f>
        <v>Google</v>
      </c>
      <c r="N236" s="7">
        <f>RawData!N236</f>
        <v>945.64</v>
      </c>
    </row>
    <row r="237" spans="1:14" x14ac:dyDescent="0.3">
      <c r="A237" s="7" t="str">
        <f>RawData!A237</f>
        <v>ORD200235</v>
      </c>
      <c r="B237" s="11">
        <f>RawData!B237</f>
        <v>44977</v>
      </c>
      <c r="C237" s="7" t="str">
        <f>RawData!C237</f>
        <v>C32854</v>
      </c>
      <c r="D237" s="7" t="str">
        <f>RawData!D237</f>
        <v>Desk</v>
      </c>
      <c r="E237" s="7">
        <f>RawData!E237</f>
        <v>1</v>
      </c>
      <c r="F237" s="7">
        <f>RawData!F237</f>
        <v>65.45</v>
      </c>
      <c r="G237" s="7" t="str">
        <f>RawData!G237</f>
        <v>815 Main St</v>
      </c>
      <c r="H237" s="7" t="str">
        <f>RawData!H237</f>
        <v>Cash</v>
      </c>
      <c r="I237" s="7" t="str">
        <f>RawData!I237</f>
        <v>Pending</v>
      </c>
      <c r="J237" s="7" t="str">
        <f>RawData!J237</f>
        <v>TRK30009218</v>
      </c>
      <c r="K237" s="7">
        <f>RawData!K237</f>
        <v>2</v>
      </c>
      <c r="L237" s="7" t="str">
        <f>IF(RawData!L237="","No Coupon",RawData!L237)</f>
        <v>WINTER15</v>
      </c>
      <c r="M237" s="7" t="str">
        <f>RawData!M237</f>
        <v>Google</v>
      </c>
      <c r="N237" s="7">
        <f>RawData!N237</f>
        <v>65.45</v>
      </c>
    </row>
    <row r="238" spans="1:14" x14ac:dyDescent="0.3">
      <c r="A238" s="7" t="str">
        <f>RawData!A238</f>
        <v>ORD200236</v>
      </c>
      <c r="B238" s="11">
        <f>RawData!B238</f>
        <v>44927</v>
      </c>
      <c r="C238" s="7" t="str">
        <f>RawData!C238</f>
        <v>C14847</v>
      </c>
      <c r="D238" s="7" t="str">
        <f>RawData!D238</f>
        <v>Monitor</v>
      </c>
      <c r="E238" s="7">
        <f>RawData!E238</f>
        <v>1</v>
      </c>
      <c r="F238" s="7">
        <f>RawData!F238</f>
        <v>318.81</v>
      </c>
      <c r="G238" s="7" t="str">
        <f>RawData!G238</f>
        <v>562 Main St</v>
      </c>
      <c r="H238" s="7" t="str">
        <f>RawData!H238</f>
        <v>Debit Card</v>
      </c>
      <c r="I238" s="7" t="str">
        <f>RawData!I238</f>
        <v>Pending</v>
      </c>
      <c r="J238" s="7" t="str">
        <f>RawData!J238</f>
        <v>TRK39663243</v>
      </c>
      <c r="K238" s="7">
        <f>RawData!K238</f>
        <v>3</v>
      </c>
      <c r="L238" s="7" t="str">
        <f>IF(RawData!L238="","No Coupon",RawData!L238)</f>
        <v>WINTER15</v>
      </c>
      <c r="M238" s="7" t="str">
        <f>RawData!M238</f>
        <v>Email</v>
      </c>
      <c r="N238" s="7">
        <f>RawData!N238</f>
        <v>318.81</v>
      </c>
    </row>
    <row r="239" spans="1:14" x14ac:dyDescent="0.3">
      <c r="A239" s="7" t="str">
        <f>RawData!A239</f>
        <v>ORD200237</v>
      </c>
      <c r="B239" s="11">
        <f>RawData!B239</f>
        <v>45365</v>
      </c>
      <c r="C239" s="7" t="str">
        <f>RawData!C239</f>
        <v>C88645</v>
      </c>
      <c r="D239" s="7" t="str">
        <f>RawData!D239</f>
        <v>Monitor</v>
      </c>
      <c r="E239" s="7">
        <f>RawData!E239</f>
        <v>3</v>
      </c>
      <c r="F239" s="7">
        <f>RawData!F239</f>
        <v>583.72</v>
      </c>
      <c r="G239" s="7" t="str">
        <f>RawData!G239</f>
        <v>783 Main St</v>
      </c>
      <c r="H239" s="7" t="str">
        <f>RawData!H239</f>
        <v>Credit Card</v>
      </c>
      <c r="I239" s="7" t="str">
        <f>RawData!I239</f>
        <v>Shipped</v>
      </c>
      <c r="J239" s="7" t="str">
        <f>RawData!J239</f>
        <v>TRK74097570</v>
      </c>
      <c r="K239" s="7">
        <f>RawData!K239</f>
        <v>5</v>
      </c>
      <c r="L239" s="7" t="str">
        <f>IF(RawData!L239="","No Coupon",RawData!L239)</f>
        <v>FREESHIP</v>
      </c>
      <c r="M239" s="7" t="str">
        <f>RawData!M239</f>
        <v>Facebook</v>
      </c>
      <c r="N239" s="7">
        <f>RawData!N239</f>
        <v>1751.16</v>
      </c>
    </row>
    <row r="240" spans="1:14" x14ac:dyDescent="0.3">
      <c r="A240" s="7" t="str">
        <f>RawData!A240</f>
        <v>ORD200238</v>
      </c>
      <c r="B240" s="11">
        <f>RawData!B240</f>
        <v>45639</v>
      </c>
      <c r="C240" s="7" t="str">
        <f>RawData!C240</f>
        <v>C66149</v>
      </c>
      <c r="D240" s="7" t="str">
        <f>RawData!D240</f>
        <v>Desk</v>
      </c>
      <c r="E240" s="7">
        <f>RawData!E240</f>
        <v>4</v>
      </c>
      <c r="F240" s="7">
        <f>RawData!F240</f>
        <v>384.32</v>
      </c>
      <c r="G240" s="7" t="str">
        <f>RawData!G240</f>
        <v>770 Main St</v>
      </c>
      <c r="H240" s="7" t="str">
        <f>RawData!H240</f>
        <v>Credit Card</v>
      </c>
      <c r="I240" s="7" t="str">
        <f>RawData!I240</f>
        <v>Pending</v>
      </c>
      <c r="J240" s="7" t="str">
        <f>RawData!J240</f>
        <v>TRK76307307</v>
      </c>
      <c r="K240" s="7">
        <f>RawData!K240</f>
        <v>6</v>
      </c>
      <c r="L240" s="7" t="str">
        <f>IF(RawData!L240="","No Coupon",RawData!L240)</f>
        <v>WINTER15</v>
      </c>
      <c r="M240" s="7" t="str">
        <f>RawData!M240</f>
        <v>Google</v>
      </c>
      <c r="N240" s="7">
        <f>RawData!N240</f>
        <v>1537.28</v>
      </c>
    </row>
    <row r="241" spans="1:14" x14ac:dyDescent="0.3">
      <c r="A241" s="7" t="str">
        <f>RawData!A241</f>
        <v>ORD200239</v>
      </c>
      <c r="B241" s="11">
        <f>RawData!B241</f>
        <v>45637</v>
      </c>
      <c r="C241" s="7" t="str">
        <f>RawData!C241</f>
        <v>C20256</v>
      </c>
      <c r="D241" s="7" t="str">
        <f>RawData!D241</f>
        <v>Tablet</v>
      </c>
      <c r="E241" s="7">
        <f>RawData!E241</f>
        <v>3</v>
      </c>
      <c r="F241" s="7">
        <f>RawData!F241</f>
        <v>538.74</v>
      </c>
      <c r="G241" s="7" t="str">
        <f>RawData!G241</f>
        <v>456 Main St</v>
      </c>
      <c r="H241" s="7" t="str">
        <f>RawData!H241</f>
        <v>Online</v>
      </c>
      <c r="I241" s="7" t="str">
        <f>RawData!I241</f>
        <v>Shipped</v>
      </c>
      <c r="J241" s="7" t="str">
        <f>RawData!J241</f>
        <v>TRK71127943</v>
      </c>
      <c r="K241" s="7">
        <f>RawData!K241</f>
        <v>6</v>
      </c>
      <c r="L241" s="7" t="str">
        <f>IF(RawData!L241="","No Coupon",RawData!L241)</f>
        <v>FREESHIP</v>
      </c>
      <c r="M241" s="7" t="str">
        <f>RawData!M241</f>
        <v>Email</v>
      </c>
      <c r="N241" s="7">
        <f>RawData!N241</f>
        <v>1616.22</v>
      </c>
    </row>
    <row r="242" spans="1:14" x14ac:dyDescent="0.3">
      <c r="A242" s="7" t="str">
        <f>RawData!A242</f>
        <v>ORD200240</v>
      </c>
      <c r="B242" s="11">
        <f>RawData!B242</f>
        <v>45119</v>
      </c>
      <c r="C242" s="7" t="str">
        <f>RawData!C242</f>
        <v>C14983</v>
      </c>
      <c r="D242" s="7" t="str">
        <f>RawData!D242</f>
        <v>Tablet</v>
      </c>
      <c r="E242" s="7">
        <f>RawData!E242</f>
        <v>1</v>
      </c>
      <c r="F242" s="7">
        <f>RawData!F242</f>
        <v>17.239999999999998</v>
      </c>
      <c r="G242" s="7" t="str">
        <f>RawData!G242</f>
        <v>255 Main St</v>
      </c>
      <c r="H242" s="7" t="str">
        <f>RawData!H242</f>
        <v>Online</v>
      </c>
      <c r="I242" s="7" t="str">
        <f>RawData!I242</f>
        <v>Pending</v>
      </c>
      <c r="J242" s="7" t="str">
        <f>RawData!J242</f>
        <v>TRK93444157</v>
      </c>
      <c r="K242" s="7">
        <f>RawData!K242</f>
        <v>2</v>
      </c>
      <c r="L242" s="7" t="str">
        <f>IF(RawData!L242="","No Coupon",RawData!L242)</f>
        <v>FREESHIP</v>
      </c>
      <c r="M242" s="7" t="str">
        <f>RawData!M242</f>
        <v>Instagram</v>
      </c>
      <c r="N242" s="7">
        <f>RawData!N242</f>
        <v>17.239999999999998</v>
      </c>
    </row>
    <row r="243" spans="1:14" x14ac:dyDescent="0.3">
      <c r="A243" s="7" t="str">
        <f>RawData!A243</f>
        <v>ORD200241</v>
      </c>
      <c r="B243" s="11">
        <f>RawData!B243</f>
        <v>45062</v>
      </c>
      <c r="C243" s="7" t="str">
        <f>RawData!C243</f>
        <v>C20817</v>
      </c>
      <c r="D243" s="7" t="str">
        <f>RawData!D243</f>
        <v>Chair</v>
      </c>
      <c r="E243" s="7">
        <f>RawData!E243</f>
        <v>5</v>
      </c>
      <c r="F243" s="7">
        <f>RawData!F243</f>
        <v>615.66999999999996</v>
      </c>
      <c r="G243" s="7" t="str">
        <f>RawData!G243</f>
        <v>407 Main St</v>
      </c>
      <c r="H243" s="7" t="str">
        <f>RawData!H243</f>
        <v>Online</v>
      </c>
      <c r="I243" s="7" t="str">
        <f>RawData!I243</f>
        <v>Pending</v>
      </c>
      <c r="J243" s="7" t="str">
        <f>RawData!J243</f>
        <v>TRK44164590</v>
      </c>
      <c r="K243" s="7">
        <f>RawData!K243</f>
        <v>6</v>
      </c>
      <c r="L243" s="7" t="str">
        <f>IF(RawData!L243="","No Coupon",RawData!L243)</f>
        <v>SAVE10</v>
      </c>
      <c r="M243" s="7" t="str">
        <f>RawData!M243</f>
        <v>Email</v>
      </c>
      <c r="N243" s="7">
        <f>RawData!N243</f>
        <v>3078.35</v>
      </c>
    </row>
    <row r="244" spans="1:14" x14ac:dyDescent="0.3">
      <c r="A244" s="7" t="str">
        <f>RawData!A244</f>
        <v>ORD200242</v>
      </c>
      <c r="B244" s="11">
        <f>RawData!B244</f>
        <v>45055</v>
      </c>
      <c r="C244" s="7" t="str">
        <f>RawData!C244</f>
        <v>C94921</v>
      </c>
      <c r="D244" s="7" t="str">
        <f>RawData!D244</f>
        <v>Printer</v>
      </c>
      <c r="E244" s="7">
        <f>RawData!E244</f>
        <v>2</v>
      </c>
      <c r="F244" s="7">
        <f>RawData!F244</f>
        <v>219.1</v>
      </c>
      <c r="G244" s="7" t="str">
        <f>RawData!G244</f>
        <v>134 Main St</v>
      </c>
      <c r="H244" s="7" t="str">
        <f>RawData!H244</f>
        <v>Online</v>
      </c>
      <c r="I244" s="7" t="str">
        <f>RawData!I244</f>
        <v>Pending</v>
      </c>
      <c r="J244" s="7" t="str">
        <f>RawData!J244</f>
        <v>TRK97794327</v>
      </c>
      <c r="K244" s="7">
        <f>RawData!K244</f>
        <v>4</v>
      </c>
      <c r="L244" s="7" t="str">
        <f>IF(RawData!L244="","No Coupon",RawData!L244)</f>
        <v>SAVE10</v>
      </c>
      <c r="M244" s="7" t="str">
        <f>RawData!M244</f>
        <v>Referral</v>
      </c>
      <c r="N244" s="7">
        <f>RawData!N244</f>
        <v>438.2</v>
      </c>
    </row>
    <row r="245" spans="1:14" x14ac:dyDescent="0.3">
      <c r="A245" s="7" t="str">
        <f>RawData!A245</f>
        <v>ORD200243</v>
      </c>
      <c r="B245" s="11">
        <f>RawData!B245</f>
        <v>45786</v>
      </c>
      <c r="C245" s="7" t="str">
        <f>RawData!C245</f>
        <v>C54725</v>
      </c>
      <c r="D245" s="7" t="str">
        <f>RawData!D245</f>
        <v>Chair</v>
      </c>
      <c r="E245" s="7">
        <f>RawData!E245</f>
        <v>2</v>
      </c>
      <c r="F245" s="7">
        <f>RawData!F245</f>
        <v>144.66</v>
      </c>
      <c r="G245" s="7" t="str">
        <f>RawData!G245</f>
        <v>506 Main St</v>
      </c>
      <c r="H245" s="7" t="str">
        <f>RawData!H245</f>
        <v>Online</v>
      </c>
      <c r="I245" s="7" t="str">
        <f>RawData!I245</f>
        <v>Cancelled</v>
      </c>
      <c r="J245" s="7" t="str">
        <f>RawData!J245</f>
        <v>TRK30601940</v>
      </c>
      <c r="K245" s="7">
        <f>RawData!K245</f>
        <v>7</v>
      </c>
      <c r="L245" s="7" t="str">
        <f>IF(RawData!L245="","No Coupon",RawData!L245)</f>
        <v>FREESHIP</v>
      </c>
      <c r="M245" s="7" t="str">
        <f>RawData!M245</f>
        <v>Google</v>
      </c>
      <c r="N245" s="7">
        <f>RawData!N245</f>
        <v>289.32</v>
      </c>
    </row>
    <row r="246" spans="1:14" x14ac:dyDescent="0.3">
      <c r="A246" s="7" t="str">
        <f>RawData!A246</f>
        <v>ORD200244</v>
      </c>
      <c r="B246" s="11">
        <f>RawData!B246</f>
        <v>44973</v>
      </c>
      <c r="C246" s="7" t="str">
        <f>RawData!C246</f>
        <v>C98096</v>
      </c>
      <c r="D246" s="7" t="str">
        <f>RawData!D246</f>
        <v>Desk</v>
      </c>
      <c r="E246" s="7">
        <f>RawData!E246</f>
        <v>2</v>
      </c>
      <c r="F246" s="7">
        <f>RawData!F246</f>
        <v>317.77</v>
      </c>
      <c r="G246" s="7" t="str">
        <f>RawData!G246</f>
        <v>838 Main St</v>
      </c>
      <c r="H246" s="7" t="str">
        <f>RawData!H246</f>
        <v>Debit Card</v>
      </c>
      <c r="I246" s="7" t="str">
        <f>RawData!I246</f>
        <v>Cancelled</v>
      </c>
      <c r="J246" s="7" t="str">
        <f>RawData!J246</f>
        <v>TRK51518631</v>
      </c>
      <c r="K246" s="7">
        <f>RawData!K246</f>
        <v>4</v>
      </c>
      <c r="L246" s="7" t="str">
        <f>IF(RawData!L246="","No Coupon",RawData!L246)</f>
        <v>WINTER15</v>
      </c>
      <c r="M246" s="7" t="str">
        <f>RawData!M246</f>
        <v>Facebook</v>
      </c>
      <c r="N246" s="7">
        <f>RawData!N246</f>
        <v>635.54</v>
      </c>
    </row>
    <row r="247" spans="1:14" x14ac:dyDescent="0.3">
      <c r="A247" s="7" t="str">
        <f>RawData!A247</f>
        <v>ORD200245</v>
      </c>
      <c r="B247" s="11">
        <f>RawData!B247</f>
        <v>45767</v>
      </c>
      <c r="C247" s="7" t="str">
        <f>RawData!C247</f>
        <v>C12667</v>
      </c>
      <c r="D247" s="7" t="str">
        <f>RawData!D247</f>
        <v>Laptop</v>
      </c>
      <c r="E247" s="7">
        <f>RawData!E247</f>
        <v>1</v>
      </c>
      <c r="F247" s="7">
        <f>RawData!F247</f>
        <v>223.3</v>
      </c>
      <c r="G247" s="7" t="str">
        <f>RawData!G247</f>
        <v>306 Main St</v>
      </c>
      <c r="H247" s="7" t="str">
        <f>RawData!H247</f>
        <v>Online</v>
      </c>
      <c r="I247" s="7" t="str">
        <f>RawData!I247</f>
        <v>Returned</v>
      </c>
      <c r="J247" s="7" t="str">
        <f>RawData!J247</f>
        <v>TRK25390491</v>
      </c>
      <c r="K247" s="7">
        <f>RawData!K247</f>
        <v>1</v>
      </c>
      <c r="L247" s="7" t="str">
        <f>IF(RawData!L247="","No Coupon",RawData!L247)</f>
        <v>No Coupon</v>
      </c>
      <c r="M247" s="7" t="str">
        <f>RawData!M247</f>
        <v>Facebook</v>
      </c>
      <c r="N247" s="7">
        <f>RawData!N247</f>
        <v>223.3</v>
      </c>
    </row>
    <row r="248" spans="1:14" x14ac:dyDescent="0.3">
      <c r="A248" s="7" t="str">
        <f>RawData!A248</f>
        <v>ORD200246</v>
      </c>
      <c r="B248" s="11">
        <f>RawData!B248</f>
        <v>45534</v>
      </c>
      <c r="C248" s="7" t="str">
        <f>RawData!C248</f>
        <v>C55354</v>
      </c>
      <c r="D248" s="7" t="str">
        <f>RawData!D248</f>
        <v>Desk</v>
      </c>
      <c r="E248" s="7">
        <f>RawData!E248</f>
        <v>2</v>
      </c>
      <c r="F248" s="7">
        <f>RawData!F248</f>
        <v>342.11</v>
      </c>
      <c r="G248" s="7" t="str">
        <f>RawData!G248</f>
        <v>164 Main St</v>
      </c>
      <c r="H248" s="7" t="str">
        <f>RawData!H248</f>
        <v>Gift Card</v>
      </c>
      <c r="I248" s="7" t="str">
        <f>RawData!I248</f>
        <v>Shipped</v>
      </c>
      <c r="J248" s="7" t="str">
        <f>RawData!J248</f>
        <v>TRK15439493</v>
      </c>
      <c r="K248" s="7">
        <f>RawData!K248</f>
        <v>2</v>
      </c>
      <c r="L248" s="7" t="str">
        <f>IF(RawData!L248="","No Coupon",RawData!L248)</f>
        <v>WINTER15</v>
      </c>
      <c r="M248" s="7" t="str">
        <f>RawData!M248</f>
        <v>Instagram</v>
      </c>
      <c r="N248" s="7">
        <f>RawData!N248</f>
        <v>684.22</v>
      </c>
    </row>
    <row r="249" spans="1:14" x14ac:dyDescent="0.3">
      <c r="A249" s="7" t="str">
        <f>RawData!A249</f>
        <v>ORD200247</v>
      </c>
      <c r="B249" s="11">
        <f>RawData!B249</f>
        <v>45127</v>
      </c>
      <c r="C249" s="7" t="str">
        <f>RawData!C249</f>
        <v>C14600</v>
      </c>
      <c r="D249" s="7" t="str">
        <f>RawData!D249</f>
        <v>Printer</v>
      </c>
      <c r="E249" s="7">
        <f>RawData!E249</f>
        <v>2</v>
      </c>
      <c r="F249" s="7">
        <f>RawData!F249</f>
        <v>220.9</v>
      </c>
      <c r="G249" s="7" t="str">
        <f>RawData!G249</f>
        <v>785 Main St</v>
      </c>
      <c r="H249" s="7" t="str">
        <f>RawData!H249</f>
        <v>Gift Card</v>
      </c>
      <c r="I249" s="7" t="str">
        <f>RawData!I249</f>
        <v>Shipped</v>
      </c>
      <c r="J249" s="7" t="str">
        <f>RawData!J249</f>
        <v>TRK84984764</v>
      </c>
      <c r="K249" s="7">
        <f>RawData!K249</f>
        <v>4</v>
      </c>
      <c r="L249" s="7" t="str">
        <f>IF(RawData!L249="","No Coupon",RawData!L249)</f>
        <v>No Coupon</v>
      </c>
      <c r="M249" s="7" t="str">
        <f>RawData!M249</f>
        <v>Email</v>
      </c>
      <c r="N249" s="7">
        <f>RawData!N249</f>
        <v>441.8</v>
      </c>
    </row>
    <row r="250" spans="1:14" x14ac:dyDescent="0.3">
      <c r="A250" s="7" t="str">
        <f>RawData!A250</f>
        <v>ORD200248</v>
      </c>
      <c r="B250" s="11">
        <f>RawData!B250</f>
        <v>45109</v>
      </c>
      <c r="C250" s="7" t="str">
        <f>RawData!C250</f>
        <v>C97187</v>
      </c>
      <c r="D250" s="7" t="str">
        <f>RawData!D250</f>
        <v>Laptop</v>
      </c>
      <c r="E250" s="7">
        <f>RawData!E250</f>
        <v>1</v>
      </c>
      <c r="F250" s="7">
        <f>RawData!F250</f>
        <v>670.54</v>
      </c>
      <c r="G250" s="7" t="str">
        <f>RawData!G250</f>
        <v>471 Main St</v>
      </c>
      <c r="H250" s="7" t="str">
        <f>RawData!H250</f>
        <v>Cash</v>
      </c>
      <c r="I250" s="7" t="str">
        <f>RawData!I250</f>
        <v>Shipped</v>
      </c>
      <c r="J250" s="7" t="str">
        <f>RawData!J250</f>
        <v>TRK62283713</v>
      </c>
      <c r="K250" s="7">
        <f>RawData!K250</f>
        <v>6</v>
      </c>
      <c r="L250" s="7" t="str">
        <f>IF(RawData!L250="","No Coupon",RawData!L250)</f>
        <v>FREESHIP</v>
      </c>
      <c r="M250" s="7" t="str">
        <f>RawData!M250</f>
        <v>Referral</v>
      </c>
      <c r="N250" s="7">
        <f>RawData!N250</f>
        <v>670.54</v>
      </c>
    </row>
    <row r="251" spans="1:14" x14ac:dyDescent="0.3">
      <c r="A251" s="7" t="str">
        <f>RawData!A251</f>
        <v>ORD200249</v>
      </c>
      <c r="B251" s="11">
        <f>RawData!B251</f>
        <v>45329</v>
      </c>
      <c r="C251" s="7" t="str">
        <f>RawData!C251</f>
        <v>C39106</v>
      </c>
      <c r="D251" s="7" t="str">
        <f>RawData!D251</f>
        <v>Printer</v>
      </c>
      <c r="E251" s="7">
        <f>RawData!E251</f>
        <v>1</v>
      </c>
      <c r="F251" s="7">
        <f>RawData!F251</f>
        <v>546.19000000000005</v>
      </c>
      <c r="G251" s="7" t="str">
        <f>RawData!G251</f>
        <v>245 Main St</v>
      </c>
      <c r="H251" s="7" t="str">
        <f>RawData!H251</f>
        <v>Cash</v>
      </c>
      <c r="I251" s="7" t="str">
        <f>RawData!I251</f>
        <v>Pending</v>
      </c>
      <c r="J251" s="7" t="str">
        <f>RawData!J251</f>
        <v>TRK35464433</v>
      </c>
      <c r="K251" s="7">
        <f>RawData!K251</f>
        <v>5</v>
      </c>
      <c r="L251" s="7" t="str">
        <f>IF(RawData!L251="","No Coupon",RawData!L251)</f>
        <v>FREESHIP</v>
      </c>
      <c r="M251" s="7" t="str">
        <f>RawData!M251</f>
        <v>Referral</v>
      </c>
      <c r="N251" s="7">
        <f>RawData!N251</f>
        <v>546.19000000000005</v>
      </c>
    </row>
    <row r="252" spans="1:14" x14ac:dyDescent="0.3">
      <c r="A252" s="7" t="str">
        <f>RawData!A252</f>
        <v>ORD200250</v>
      </c>
      <c r="B252" s="11">
        <f>RawData!B252</f>
        <v>45021</v>
      </c>
      <c r="C252" s="7" t="str">
        <f>RawData!C252</f>
        <v>C93379</v>
      </c>
      <c r="D252" s="7" t="str">
        <f>RawData!D252</f>
        <v>Desk</v>
      </c>
      <c r="E252" s="7">
        <f>RawData!E252</f>
        <v>3</v>
      </c>
      <c r="F252" s="7">
        <f>RawData!F252</f>
        <v>42.95</v>
      </c>
      <c r="G252" s="7" t="str">
        <f>RawData!G252</f>
        <v>318 Main St</v>
      </c>
      <c r="H252" s="7" t="str">
        <f>RawData!H252</f>
        <v>Gift Card</v>
      </c>
      <c r="I252" s="7" t="str">
        <f>RawData!I252</f>
        <v>Returned</v>
      </c>
      <c r="J252" s="7" t="str">
        <f>RawData!J252</f>
        <v>TRK67954150</v>
      </c>
      <c r="K252" s="7">
        <f>RawData!K252</f>
        <v>8</v>
      </c>
      <c r="L252" s="7" t="str">
        <f>IF(RawData!L252="","No Coupon",RawData!L252)</f>
        <v>SAVE10</v>
      </c>
      <c r="M252" s="7" t="str">
        <f>RawData!M252</f>
        <v>Email</v>
      </c>
      <c r="N252" s="7">
        <f>RawData!N252</f>
        <v>128.85</v>
      </c>
    </row>
    <row r="253" spans="1:14" x14ac:dyDescent="0.3">
      <c r="A253" s="7" t="str">
        <f>RawData!A253</f>
        <v>ORD200251</v>
      </c>
      <c r="B253" s="11">
        <f>RawData!B253</f>
        <v>45792</v>
      </c>
      <c r="C253" s="7" t="str">
        <f>RawData!C253</f>
        <v>C93175</v>
      </c>
      <c r="D253" s="7" t="str">
        <f>RawData!D253</f>
        <v>Monitor</v>
      </c>
      <c r="E253" s="7">
        <f>RawData!E253</f>
        <v>4</v>
      </c>
      <c r="F253" s="7">
        <f>RawData!F253</f>
        <v>14.69</v>
      </c>
      <c r="G253" s="7" t="str">
        <f>RawData!G253</f>
        <v>814 Main St</v>
      </c>
      <c r="H253" s="7" t="str">
        <f>RawData!H253</f>
        <v>Cash</v>
      </c>
      <c r="I253" s="7" t="str">
        <f>RawData!I253</f>
        <v>Cancelled</v>
      </c>
      <c r="J253" s="7" t="str">
        <f>RawData!J253</f>
        <v>TRK32995144</v>
      </c>
      <c r="K253" s="7">
        <f>RawData!K253</f>
        <v>9</v>
      </c>
      <c r="L253" s="7" t="str">
        <f>IF(RawData!L253="","No Coupon",RawData!L253)</f>
        <v>No Coupon</v>
      </c>
      <c r="M253" s="7" t="str">
        <f>RawData!M253</f>
        <v>Email</v>
      </c>
      <c r="N253" s="7">
        <f>RawData!N253</f>
        <v>58.76</v>
      </c>
    </row>
    <row r="254" spans="1:14" x14ac:dyDescent="0.3">
      <c r="A254" s="7" t="str">
        <f>RawData!A254</f>
        <v>ORD200252</v>
      </c>
      <c r="B254" s="11">
        <f>RawData!B254</f>
        <v>45555</v>
      </c>
      <c r="C254" s="7" t="str">
        <f>RawData!C254</f>
        <v>C19648</v>
      </c>
      <c r="D254" s="7" t="str">
        <f>RawData!D254</f>
        <v>Phone</v>
      </c>
      <c r="E254" s="7">
        <f>RawData!E254</f>
        <v>4</v>
      </c>
      <c r="F254" s="7">
        <f>RawData!F254</f>
        <v>668.36</v>
      </c>
      <c r="G254" s="7" t="str">
        <f>RawData!G254</f>
        <v>821 Main St</v>
      </c>
      <c r="H254" s="7" t="str">
        <f>RawData!H254</f>
        <v>Gift Card</v>
      </c>
      <c r="I254" s="7" t="str">
        <f>RawData!I254</f>
        <v>Cancelled</v>
      </c>
      <c r="J254" s="7" t="str">
        <f>RawData!J254</f>
        <v>TRK51297879</v>
      </c>
      <c r="K254" s="7">
        <f>RawData!K254</f>
        <v>5</v>
      </c>
      <c r="L254" s="7" t="str">
        <f>IF(RawData!L254="","No Coupon",RawData!L254)</f>
        <v>FREESHIP</v>
      </c>
      <c r="M254" s="7" t="str">
        <f>RawData!M254</f>
        <v>Facebook</v>
      </c>
      <c r="N254" s="7">
        <f>RawData!N254</f>
        <v>2673.44</v>
      </c>
    </row>
    <row r="255" spans="1:14" x14ac:dyDescent="0.3">
      <c r="A255" s="7" t="str">
        <f>RawData!A255</f>
        <v>ORD200253</v>
      </c>
      <c r="B255" s="11">
        <f>RawData!B255</f>
        <v>45374</v>
      </c>
      <c r="C255" s="7" t="str">
        <f>RawData!C255</f>
        <v>C14891</v>
      </c>
      <c r="D255" s="7" t="str">
        <f>RawData!D255</f>
        <v>Chair</v>
      </c>
      <c r="E255" s="7">
        <f>RawData!E255</f>
        <v>4</v>
      </c>
      <c r="F255" s="7">
        <f>RawData!F255</f>
        <v>413.74</v>
      </c>
      <c r="G255" s="7" t="str">
        <f>RawData!G255</f>
        <v>743 Main St</v>
      </c>
      <c r="H255" s="7" t="str">
        <f>RawData!H255</f>
        <v>Gift Card</v>
      </c>
      <c r="I255" s="7" t="str">
        <f>RawData!I255</f>
        <v>Returned</v>
      </c>
      <c r="J255" s="7" t="str">
        <f>RawData!J255</f>
        <v>TRK79471534</v>
      </c>
      <c r="K255" s="7">
        <f>RawData!K255</f>
        <v>7</v>
      </c>
      <c r="L255" s="7" t="str">
        <f>IF(RawData!L255="","No Coupon",RawData!L255)</f>
        <v>FREESHIP</v>
      </c>
      <c r="M255" s="7" t="str">
        <f>RawData!M255</f>
        <v>Instagram</v>
      </c>
      <c r="N255" s="7">
        <f>RawData!N255</f>
        <v>1654.96</v>
      </c>
    </row>
    <row r="256" spans="1:14" x14ac:dyDescent="0.3">
      <c r="A256" s="7" t="str">
        <f>RawData!A256</f>
        <v>ORD200254</v>
      </c>
      <c r="B256" s="11">
        <f>RawData!B256</f>
        <v>45286</v>
      </c>
      <c r="C256" s="7" t="str">
        <f>RawData!C256</f>
        <v>C10866</v>
      </c>
      <c r="D256" s="7" t="str">
        <f>RawData!D256</f>
        <v>Monitor</v>
      </c>
      <c r="E256" s="7">
        <f>RawData!E256</f>
        <v>3</v>
      </c>
      <c r="F256" s="7">
        <f>RawData!F256</f>
        <v>263.19</v>
      </c>
      <c r="G256" s="7" t="str">
        <f>RawData!G256</f>
        <v>770 Main St</v>
      </c>
      <c r="H256" s="7" t="str">
        <f>RawData!H256</f>
        <v>Online</v>
      </c>
      <c r="I256" s="7" t="str">
        <f>RawData!I256</f>
        <v>Delivered</v>
      </c>
      <c r="J256" s="7" t="str">
        <f>RawData!J256</f>
        <v>TRK34809583</v>
      </c>
      <c r="K256" s="7">
        <f>RawData!K256</f>
        <v>5</v>
      </c>
      <c r="L256" s="7" t="str">
        <f>IF(RawData!L256="","No Coupon",RawData!L256)</f>
        <v>No Coupon</v>
      </c>
      <c r="M256" s="7" t="str">
        <f>RawData!M256</f>
        <v>Instagram</v>
      </c>
      <c r="N256" s="7">
        <f>RawData!N256</f>
        <v>789.57</v>
      </c>
    </row>
    <row r="257" spans="1:14" x14ac:dyDescent="0.3">
      <c r="A257" s="7" t="str">
        <f>RawData!A257</f>
        <v>ORD200255</v>
      </c>
      <c r="B257" s="11">
        <f>RawData!B257</f>
        <v>45425</v>
      </c>
      <c r="C257" s="7" t="str">
        <f>RawData!C257</f>
        <v>C47283</v>
      </c>
      <c r="D257" s="7" t="str">
        <f>RawData!D257</f>
        <v>Monitor</v>
      </c>
      <c r="E257" s="7">
        <f>RawData!E257</f>
        <v>1</v>
      </c>
      <c r="F257" s="7">
        <f>RawData!F257</f>
        <v>263.95999999999998</v>
      </c>
      <c r="G257" s="7" t="str">
        <f>RawData!G257</f>
        <v>806 Main St</v>
      </c>
      <c r="H257" s="7" t="str">
        <f>RawData!H257</f>
        <v>Gift Card</v>
      </c>
      <c r="I257" s="7" t="str">
        <f>RawData!I257</f>
        <v>Returned</v>
      </c>
      <c r="J257" s="7" t="str">
        <f>RawData!J257</f>
        <v>TRK56235117</v>
      </c>
      <c r="K257" s="7">
        <f>RawData!K257</f>
        <v>2</v>
      </c>
      <c r="L257" s="7" t="str">
        <f>IF(RawData!L257="","No Coupon",RawData!L257)</f>
        <v>SAVE10</v>
      </c>
      <c r="M257" s="7" t="str">
        <f>RawData!M257</f>
        <v>Google</v>
      </c>
      <c r="N257" s="7">
        <f>RawData!N257</f>
        <v>263.95999999999998</v>
      </c>
    </row>
    <row r="258" spans="1:14" x14ac:dyDescent="0.3">
      <c r="A258" s="7" t="str">
        <f>RawData!A258</f>
        <v>ORD200256</v>
      </c>
      <c r="B258" s="11">
        <f>RawData!B258</f>
        <v>45838</v>
      </c>
      <c r="C258" s="7" t="str">
        <f>RawData!C258</f>
        <v>C94323</v>
      </c>
      <c r="D258" s="7" t="str">
        <f>RawData!D258</f>
        <v>Chair</v>
      </c>
      <c r="E258" s="7">
        <f>RawData!E258</f>
        <v>5</v>
      </c>
      <c r="F258" s="7">
        <f>RawData!F258</f>
        <v>75.81</v>
      </c>
      <c r="G258" s="7" t="str">
        <f>RawData!G258</f>
        <v>463 Main St</v>
      </c>
      <c r="H258" s="7" t="str">
        <f>RawData!H258</f>
        <v>Gift Card</v>
      </c>
      <c r="I258" s="7" t="str">
        <f>RawData!I258</f>
        <v>Returned</v>
      </c>
      <c r="J258" s="7" t="str">
        <f>RawData!J258</f>
        <v>TRK22663277</v>
      </c>
      <c r="K258" s="7">
        <f>RawData!K258</f>
        <v>10</v>
      </c>
      <c r="L258" s="7" t="str">
        <f>IF(RawData!L258="","No Coupon",RawData!L258)</f>
        <v>WINTER15</v>
      </c>
      <c r="M258" s="7" t="str">
        <f>RawData!M258</f>
        <v>Instagram</v>
      </c>
      <c r="N258" s="7">
        <f>RawData!N258</f>
        <v>379.05</v>
      </c>
    </row>
    <row r="259" spans="1:14" x14ac:dyDescent="0.3">
      <c r="A259" s="7" t="str">
        <f>RawData!A259</f>
        <v>ORD200257</v>
      </c>
      <c r="B259" s="11">
        <f>RawData!B259</f>
        <v>45405</v>
      </c>
      <c r="C259" s="7" t="str">
        <f>RawData!C259</f>
        <v>C89732</v>
      </c>
      <c r="D259" s="7" t="str">
        <f>RawData!D259</f>
        <v>Phone</v>
      </c>
      <c r="E259" s="7">
        <f>RawData!E259</f>
        <v>1</v>
      </c>
      <c r="F259" s="7">
        <f>RawData!F259</f>
        <v>406.22</v>
      </c>
      <c r="G259" s="7" t="str">
        <f>RawData!G259</f>
        <v>712 Main St</v>
      </c>
      <c r="H259" s="7" t="str">
        <f>RawData!H259</f>
        <v>Credit Card</v>
      </c>
      <c r="I259" s="7" t="str">
        <f>RawData!I259</f>
        <v>Cancelled</v>
      </c>
      <c r="J259" s="7" t="str">
        <f>RawData!J259</f>
        <v>TRK41059233</v>
      </c>
      <c r="K259" s="7">
        <f>RawData!K259</f>
        <v>5</v>
      </c>
      <c r="L259" s="7" t="str">
        <f>IF(RawData!L259="","No Coupon",RawData!L259)</f>
        <v>SAVE10</v>
      </c>
      <c r="M259" s="7" t="str">
        <f>RawData!M259</f>
        <v>Referral</v>
      </c>
      <c r="N259" s="7">
        <f>RawData!N259</f>
        <v>406.22</v>
      </c>
    </row>
    <row r="260" spans="1:14" x14ac:dyDescent="0.3">
      <c r="A260" s="7" t="str">
        <f>RawData!A260</f>
        <v>ORD200258</v>
      </c>
      <c r="B260" s="11">
        <f>RawData!B260</f>
        <v>45348</v>
      </c>
      <c r="C260" s="7" t="str">
        <f>RawData!C260</f>
        <v>C87764</v>
      </c>
      <c r="D260" s="7" t="str">
        <f>RawData!D260</f>
        <v>Tablet</v>
      </c>
      <c r="E260" s="7">
        <f>RawData!E260</f>
        <v>2</v>
      </c>
      <c r="F260" s="7">
        <f>RawData!F260</f>
        <v>103.41</v>
      </c>
      <c r="G260" s="7" t="str">
        <f>RawData!G260</f>
        <v>294 Main St</v>
      </c>
      <c r="H260" s="7" t="str">
        <f>RawData!H260</f>
        <v>Online</v>
      </c>
      <c r="I260" s="7" t="str">
        <f>RawData!I260</f>
        <v>Shipped</v>
      </c>
      <c r="J260" s="7" t="str">
        <f>RawData!J260</f>
        <v>TRK94082469</v>
      </c>
      <c r="K260" s="7">
        <f>RawData!K260</f>
        <v>2</v>
      </c>
      <c r="L260" s="7" t="str">
        <f>IF(RawData!L260="","No Coupon",RawData!L260)</f>
        <v>FREESHIP</v>
      </c>
      <c r="M260" s="7" t="str">
        <f>RawData!M260</f>
        <v>Referral</v>
      </c>
      <c r="N260" s="7">
        <f>RawData!N260</f>
        <v>206.82</v>
      </c>
    </row>
    <row r="261" spans="1:14" x14ac:dyDescent="0.3">
      <c r="A261" s="7" t="str">
        <f>RawData!A261</f>
        <v>ORD200259</v>
      </c>
      <c r="B261" s="11">
        <f>RawData!B261</f>
        <v>45088</v>
      </c>
      <c r="C261" s="7" t="str">
        <f>RawData!C261</f>
        <v>C20977</v>
      </c>
      <c r="D261" s="7" t="str">
        <f>RawData!D261</f>
        <v>Chair</v>
      </c>
      <c r="E261" s="7">
        <f>RawData!E261</f>
        <v>4</v>
      </c>
      <c r="F261" s="7">
        <f>RawData!F261</f>
        <v>435.12</v>
      </c>
      <c r="G261" s="7" t="str">
        <f>RawData!G261</f>
        <v>636 Main St</v>
      </c>
      <c r="H261" s="7" t="str">
        <f>RawData!H261</f>
        <v>Credit Card</v>
      </c>
      <c r="I261" s="7" t="str">
        <f>RawData!I261</f>
        <v>Delivered</v>
      </c>
      <c r="J261" s="7" t="str">
        <f>RawData!J261</f>
        <v>TRK54991561</v>
      </c>
      <c r="K261" s="7">
        <f>RawData!K261</f>
        <v>9</v>
      </c>
      <c r="L261" s="7" t="str">
        <f>IF(RawData!L261="","No Coupon",RawData!L261)</f>
        <v>SAVE10</v>
      </c>
      <c r="M261" s="7" t="str">
        <f>RawData!M261</f>
        <v>Instagram</v>
      </c>
      <c r="N261" s="7">
        <f>RawData!N261</f>
        <v>1740.48</v>
      </c>
    </row>
    <row r="262" spans="1:14" x14ac:dyDescent="0.3">
      <c r="A262" s="7" t="str">
        <f>RawData!A262</f>
        <v>ORD200260</v>
      </c>
      <c r="B262" s="11">
        <f>RawData!B262</f>
        <v>45063</v>
      </c>
      <c r="C262" s="7" t="str">
        <f>RawData!C262</f>
        <v>C12245</v>
      </c>
      <c r="D262" s="7" t="str">
        <f>RawData!D262</f>
        <v>Monitor</v>
      </c>
      <c r="E262" s="7">
        <f>RawData!E262</f>
        <v>2</v>
      </c>
      <c r="F262" s="7">
        <f>RawData!F262</f>
        <v>407.79</v>
      </c>
      <c r="G262" s="7" t="str">
        <f>RawData!G262</f>
        <v>153 Main St</v>
      </c>
      <c r="H262" s="7" t="str">
        <f>RawData!H262</f>
        <v>Debit Card</v>
      </c>
      <c r="I262" s="7" t="str">
        <f>RawData!I262</f>
        <v>Shipped</v>
      </c>
      <c r="J262" s="7" t="str">
        <f>RawData!J262</f>
        <v>TRK22000463</v>
      </c>
      <c r="K262" s="7">
        <f>RawData!K262</f>
        <v>3</v>
      </c>
      <c r="L262" s="7" t="str">
        <f>IF(RawData!L262="","No Coupon",RawData!L262)</f>
        <v>No Coupon</v>
      </c>
      <c r="M262" s="7" t="str">
        <f>RawData!M262</f>
        <v>Google</v>
      </c>
      <c r="N262" s="7">
        <f>RawData!N262</f>
        <v>815.58</v>
      </c>
    </row>
    <row r="263" spans="1:14" x14ac:dyDescent="0.3">
      <c r="A263" s="7" t="str">
        <f>RawData!A263</f>
        <v>ORD200261</v>
      </c>
      <c r="B263" s="11">
        <f>RawData!B263</f>
        <v>45805</v>
      </c>
      <c r="C263" s="7" t="str">
        <f>RawData!C263</f>
        <v>C68976</v>
      </c>
      <c r="D263" s="7" t="str">
        <f>RawData!D263</f>
        <v>Phone</v>
      </c>
      <c r="E263" s="7">
        <f>RawData!E263</f>
        <v>5</v>
      </c>
      <c r="F263" s="7">
        <f>RawData!F263</f>
        <v>173.65</v>
      </c>
      <c r="G263" s="7" t="str">
        <f>RawData!G263</f>
        <v>460 Main St</v>
      </c>
      <c r="H263" s="7" t="str">
        <f>RawData!H263</f>
        <v>Gift Card</v>
      </c>
      <c r="I263" s="7" t="str">
        <f>RawData!I263</f>
        <v>Delivered</v>
      </c>
      <c r="J263" s="7" t="str">
        <f>RawData!J263</f>
        <v>TRK25491356</v>
      </c>
      <c r="K263" s="7">
        <f>RawData!K263</f>
        <v>9</v>
      </c>
      <c r="L263" s="7" t="str">
        <f>IF(RawData!L263="","No Coupon",RawData!L263)</f>
        <v>SAVE10</v>
      </c>
      <c r="M263" s="7" t="str">
        <f>RawData!M263</f>
        <v>Email</v>
      </c>
      <c r="N263" s="7">
        <f>RawData!N263</f>
        <v>868.25</v>
      </c>
    </row>
    <row r="264" spans="1:14" x14ac:dyDescent="0.3">
      <c r="A264" s="7" t="str">
        <f>RawData!A264</f>
        <v>ORD200262</v>
      </c>
      <c r="B264" s="11">
        <f>RawData!B264</f>
        <v>44936</v>
      </c>
      <c r="C264" s="7" t="str">
        <f>RawData!C264</f>
        <v>C69476</v>
      </c>
      <c r="D264" s="7" t="str">
        <f>RawData!D264</f>
        <v>Phone</v>
      </c>
      <c r="E264" s="7">
        <f>RawData!E264</f>
        <v>4</v>
      </c>
      <c r="F264" s="7">
        <f>RawData!F264</f>
        <v>249.07</v>
      </c>
      <c r="G264" s="7" t="str">
        <f>RawData!G264</f>
        <v>642 Main St</v>
      </c>
      <c r="H264" s="7" t="str">
        <f>RawData!H264</f>
        <v>Credit Card</v>
      </c>
      <c r="I264" s="7" t="str">
        <f>RawData!I264</f>
        <v>Returned</v>
      </c>
      <c r="J264" s="7" t="str">
        <f>RawData!J264</f>
        <v>TRK65869386</v>
      </c>
      <c r="K264" s="7">
        <f>RawData!K264</f>
        <v>5</v>
      </c>
      <c r="L264" s="7" t="str">
        <f>IF(RawData!L264="","No Coupon",RawData!L264)</f>
        <v>WINTER15</v>
      </c>
      <c r="M264" s="7" t="str">
        <f>RawData!M264</f>
        <v>Referral</v>
      </c>
      <c r="N264" s="7">
        <f>RawData!N264</f>
        <v>996.28</v>
      </c>
    </row>
    <row r="265" spans="1:14" x14ac:dyDescent="0.3">
      <c r="A265" s="7" t="str">
        <f>RawData!A265</f>
        <v>ORD200263</v>
      </c>
      <c r="B265" s="11">
        <f>RawData!B265</f>
        <v>45010</v>
      </c>
      <c r="C265" s="7" t="str">
        <f>RawData!C265</f>
        <v>C71040</v>
      </c>
      <c r="D265" s="7" t="str">
        <f>RawData!D265</f>
        <v>Phone</v>
      </c>
      <c r="E265" s="7">
        <f>RawData!E265</f>
        <v>4</v>
      </c>
      <c r="F265" s="7">
        <f>RawData!F265</f>
        <v>434.85</v>
      </c>
      <c r="G265" s="7" t="str">
        <f>RawData!G265</f>
        <v>250 Main St</v>
      </c>
      <c r="H265" s="7" t="str">
        <f>RawData!H265</f>
        <v>Credit Card</v>
      </c>
      <c r="I265" s="7" t="str">
        <f>RawData!I265</f>
        <v>Pending</v>
      </c>
      <c r="J265" s="7" t="str">
        <f>RawData!J265</f>
        <v>TRK41397604</v>
      </c>
      <c r="K265" s="7">
        <f>RawData!K265</f>
        <v>4</v>
      </c>
      <c r="L265" s="7" t="str">
        <f>IF(RawData!L265="","No Coupon",RawData!L265)</f>
        <v>WINTER15</v>
      </c>
      <c r="M265" s="7" t="str">
        <f>RawData!M265</f>
        <v>Google</v>
      </c>
      <c r="N265" s="7">
        <f>RawData!N265</f>
        <v>1739.4</v>
      </c>
    </row>
    <row r="266" spans="1:14" x14ac:dyDescent="0.3">
      <c r="A266" s="7" t="str">
        <f>RawData!A266</f>
        <v>ORD200264</v>
      </c>
      <c r="B266" s="11">
        <f>RawData!B266</f>
        <v>45507</v>
      </c>
      <c r="C266" s="7" t="str">
        <f>RawData!C266</f>
        <v>C71035</v>
      </c>
      <c r="D266" s="7" t="str">
        <f>RawData!D266</f>
        <v>Tablet</v>
      </c>
      <c r="E266" s="7">
        <f>RawData!E266</f>
        <v>1</v>
      </c>
      <c r="F266" s="7">
        <f>RawData!F266</f>
        <v>436.77</v>
      </c>
      <c r="G266" s="7" t="str">
        <f>RawData!G266</f>
        <v>977 Main St</v>
      </c>
      <c r="H266" s="7" t="str">
        <f>RawData!H266</f>
        <v>Cash</v>
      </c>
      <c r="I266" s="7" t="str">
        <f>RawData!I266</f>
        <v>Returned</v>
      </c>
      <c r="J266" s="7" t="str">
        <f>RawData!J266</f>
        <v>TRK19599578</v>
      </c>
      <c r="K266" s="7">
        <f>RawData!K266</f>
        <v>5</v>
      </c>
      <c r="L266" s="7" t="str">
        <f>IF(RawData!L266="","No Coupon",RawData!L266)</f>
        <v>FREESHIP</v>
      </c>
      <c r="M266" s="7" t="str">
        <f>RawData!M266</f>
        <v>Google</v>
      </c>
      <c r="N266" s="7">
        <f>RawData!N266</f>
        <v>436.77</v>
      </c>
    </row>
    <row r="267" spans="1:14" x14ac:dyDescent="0.3">
      <c r="A267" s="7" t="str">
        <f>RawData!A267</f>
        <v>ORD200265</v>
      </c>
      <c r="B267" s="11">
        <f>RawData!B267</f>
        <v>45282</v>
      </c>
      <c r="C267" s="7" t="str">
        <f>RawData!C267</f>
        <v>C20752</v>
      </c>
      <c r="D267" s="7" t="str">
        <f>RawData!D267</f>
        <v>Printer</v>
      </c>
      <c r="E267" s="7">
        <f>RawData!E267</f>
        <v>1</v>
      </c>
      <c r="F267" s="7">
        <f>RawData!F267</f>
        <v>572.13</v>
      </c>
      <c r="G267" s="7" t="str">
        <f>RawData!G267</f>
        <v>150 Main St</v>
      </c>
      <c r="H267" s="7" t="str">
        <f>RawData!H267</f>
        <v>Debit Card</v>
      </c>
      <c r="I267" s="7" t="str">
        <f>RawData!I267</f>
        <v>Cancelled</v>
      </c>
      <c r="J267" s="7" t="str">
        <f>RawData!J267</f>
        <v>TRK22298450</v>
      </c>
      <c r="K267" s="7">
        <f>RawData!K267</f>
        <v>4</v>
      </c>
      <c r="L267" s="7" t="str">
        <f>IF(RawData!L267="","No Coupon",RawData!L267)</f>
        <v>SAVE10</v>
      </c>
      <c r="M267" s="7" t="str">
        <f>RawData!M267</f>
        <v>Google</v>
      </c>
      <c r="N267" s="7">
        <f>RawData!N267</f>
        <v>572.13</v>
      </c>
    </row>
    <row r="268" spans="1:14" x14ac:dyDescent="0.3">
      <c r="A268" s="7" t="str">
        <f>RawData!A268</f>
        <v>ORD200266</v>
      </c>
      <c r="B268" s="11">
        <f>RawData!B268</f>
        <v>45451</v>
      </c>
      <c r="C268" s="7" t="str">
        <f>RawData!C268</f>
        <v>C38840</v>
      </c>
      <c r="D268" s="7" t="str">
        <f>RawData!D268</f>
        <v>Chair</v>
      </c>
      <c r="E268" s="7">
        <f>RawData!E268</f>
        <v>4</v>
      </c>
      <c r="F268" s="7">
        <f>RawData!F268</f>
        <v>583.07000000000005</v>
      </c>
      <c r="G268" s="7" t="str">
        <f>RawData!G268</f>
        <v>589 Main St</v>
      </c>
      <c r="H268" s="7" t="str">
        <f>RawData!H268</f>
        <v>Credit Card</v>
      </c>
      <c r="I268" s="7" t="str">
        <f>RawData!I268</f>
        <v>Cancelled</v>
      </c>
      <c r="J268" s="7" t="str">
        <f>RawData!J268</f>
        <v>TRK48484633</v>
      </c>
      <c r="K268" s="7">
        <f>RawData!K268</f>
        <v>6</v>
      </c>
      <c r="L268" s="7" t="str">
        <f>IF(RawData!L268="","No Coupon",RawData!L268)</f>
        <v>FREESHIP</v>
      </c>
      <c r="M268" s="7" t="str">
        <f>RawData!M268</f>
        <v>Referral</v>
      </c>
      <c r="N268" s="7">
        <f>RawData!N268</f>
        <v>2332.2800000000002</v>
      </c>
    </row>
    <row r="269" spans="1:14" x14ac:dyDescent="0.3">
      <c r="A269" s="7" t="str">
        <f>RawData!A269</f>
        <v>ORD200267</v>
      </c>
      <c r="B269" s="11">
        <f>RawData!B269</f>
        <v>45764</v>
      </c>
      <c r="C269" s="7" t="str">
        <f>RawData!C269</f>
        <v>C84480</v>
      </c>
      <c r="D269" s="7" t="str">
        <f>RawData!D269</f>
        <v>Chair</v>
      </c>
      <c r="E269" s="7">
        <f>RawData!E269</f>
        <v>5</v>
      </c>
      <c r="F269" s="7">
        <f>RawData!F269</f>
        <v>468.51</v>
      </c>
      <c r="G269" s="7" t="str">
        <f>RawData!G269</f>
        <v>803 Main St</v>
      </c>
      <c r="H269" s="7" t="str">
        <f>RawData!H269</f>
        <v>Debit Card</v>
      </c>
      <c r="I269" s="7" t="str">
        <f>RawData!I269</f>
        <v>Delivered</v>
      </c>
      <c r="J269" s="7" t="str">
        <f>RawData!J269</f>
        <v>TRK62361867</v>
      </c>
      <c r="K269" s="7">
        <f>RawData!K269</f>
        <v>9</v>
      </c>
      <c r="L269" s="7" t="str">
        <f>IF(RawData!L269="","No Coupon",RawData!L269)</f>
        <v>No Coupon</v>
      </c>
      <c r="M269" s="7" t="str">
        <f>RawData!M269</f>
        <v>Facebook</v>
      </c>
      <c r="N269" s="7">
        <f>RawData!N269</f>
        <v>2342.5500000000002</v>
      </c>
    </row>
    <row r="270" spans="1:14" x14ac:dyDescent="0.3">
      <c r="A270" s="7" t="str">
        <f>RawData!A270</f>
        <v>ORD200268</v>
      </c>
      <c r="B270" s="11">
        <f>RawData!B270</f>
        <v>45149</v>
      </c>
      <c r="C270" s="7" t="str">
        <f>RawData!C270</f>
        <v>C37032</v>
      </c>
      <c r="D270" s="7" t="str">
        <f>RawData!D270</f>
        <v>Phone</v>
      </c>
      <c r="E270" s="7">
        <f>RawData!E270</f>
        <v>2</v>
      </c>
      <c r="F270" s="7">
        <f>RawData!F270</f>
        <v>423.88</v>
      </c>
      <c r="G270" s="7" t="str">
        <f>RawData!G270</f>
        <v>655 Main St</v>
      </c>
      <c r="H270" s="7" t="str">
        <f>RawData!H270</f>
        <v>Debit Card</v>
      </c>
      <c r="I270" s="7" t="str">
        <f>RawData!I270</f>
        <v>Delivered</v>
      </c>
      <c r="J270" s="7" t="str">
        <f>RawData!J270</f>
        <v>TRK48639226</v>
      </c>
      <c r="K270" s="7">
        <f>RawData!K270</f>
        <v>7</v>
      </c>
      <c r="L270" s="7" t="str">
        <f>IF(RawData!L270="","No Coupon",RawData!L270)</f>
        <v>SAVE10</v>
      </c>
      <c r="M270" s="7" t="str">
        <f>RawData!M270</f>
        <v>Referral</v>
      </c>
      <c r="N270" s="7">
        <f>RawData!N270</f>
        <v>847.76</v>
      </c>
    </row>
    <row r="271" spans="1:14" x14ac:dyDescent="0.3">
      <c r="A271" s="7" t="str">
        <f>RawData!A271</f>
        <v>ORD200269</v>
      </c>
      <c r="B271" s="11">
        <f>RawData!B271</f>
        <v>45255</v>
      </c>
      <c r="C271" s="7" t="str">
        <f>RawData!C271</f>
        <v>C48942</v>
      </c>
      <c r="D271" s="7" t="str">
        <f>RawData!D271</f>
        <v>Tablet</v>
      </c>
      <c r="E271" s="7">
        <f>RawData!E271</f>
        <v>4</v>
      </c>
      <c r="F271" s="7">
        <f>RawData!F271</f>
        <v>663.67</v>
      </c>
      <c r="G271" s="7" t="str">
        <f>RawData!G271</f>
        <v>129 Main St</v>
      </c>
      <c r="H271" s="7" t="str">
        <f>RawData!H271</f>
        <v>Credit Card</v>
      </c>
      <c r="I271" s="7" t="str">
        <f>RawData!I271</f>
        <v>Pending</v>
      </c>
      <c r="J271" s="7" t="str">
        <f>RawData!J271</f>
        <v>TRK29355120</v>
      </c>
      <c r="K271" s="7">
        <f>RawData!K271</f>
        <v>7</v>
      </c>
      <c r="L271" s="7" t="str">
        <f>IF(RawData!L271="","No Coupon",RawData!L271)</f>
        <v>FREESHIP</v>
      </c>
      <c r="M271" s="7" t="str">
        <f>RawData!M271</f>
        <v>Google</v>
      </c>
      <c r="N271" s="7">
        <f>RawData!N271</f>
        <v>2654.68</v>
      </c>
    </row>
    <row r="272" spans="1:14" x14ac:dyDescent="0.3">
      <c r="A272" s="7" t="str">
        <f>RawData!A272</f>
        <v>ORD200270</v>
      </c>
      <c r="B272" s="11">
        <f>RawData!B272</f>
        <v>45081</v>
      </c>
      <c r="C272" s="7" t="str">
        <f>RawData!C272</f>
        <v>C13540</v>
      </c>
      <c r="D272" s="7" t="str">
        <f>RawData!D272</f>
        <v>Printer</v>
      </c>
      <c r="E272" s="7">
        <f>RawData!E272</f>
        <v>4</v>
      </c>
      <c r="F272" s="7">
        <f>RawData!F272</f>
        <v>309.91000000000003</v>
      </c>
      <c r="G272" s="7" t="str">
        <f>RawData!G272</f>
        <v>127 Main St</v>
      </c>
      <c r="H272" s="7" t="str">
        <f>RawData!H272</f>
        <v>Debit Card</v>
      </c>
      <c r="I272" s="7" t="str">
        <f>RawData!I272</f>
        <v>Shipped</v>
      </c>
      <c r="J272" s="7" t="str">
        <f>RawData!J272</f>
        <v>TRK81087373</v>
      </c>
      <c r="K272" s="7">
        <f>RawData!K272</f>
        <v>5</v>
      </c>
      <c r="L272" s="7" t="str">
        <f>IF(RawData!L272="","No Coupon",RawData!L272)</f>
        <v>WINTER15</v>
      </c>
      <c r="M272" s="7" t="str">
        <f>RawData!M272</f>
        <v>Google</v>
      </c>
      <c r="N272" s="7">
        <f>RawData!N272</f>
        <v>1239.6400000000001</v>
      </c>
    </row>
    <row r="273" spans="1:14" x14ac:dyDescent="0.3">
      <c r="A273" s="7" t="str">
        <f>RawData!A273</f>
        <v>ORD200271</v>
      </c>
      <c r="B273" s="11">
        <f>RawData!B273</f>
        <v>45013</v>
      </c>
      <c r="C273" s="7" t="str">
        <f>RawData!C273</f>
        <v>C59572</v>
      </c>
      <c r="D273" s="7" t="str">
        <f>RawData!D273</f>
        <v>Monitor</v>
      </c>
      <c r="E273" s="7">
        <f>RawData!E273</f>
        <v>1</v>
      </c>
      <c r="F273" s="7">
        <f>RawData!F273</f>
        <v>542.07000000000005</v>
      </c>
      <c r="G273" s="7" t="str">
        <f>RawData!G273</f>
        <v>791 Main St</v>
      </c>
      <c r="H273" s="7" t="str">
        <f>RawData!H273</f>
        <v>Cash</v>
      </c>
      <c r="I273" s="7" t="str">
        <f>RawData!I273</f>
        <v>Shipped</v>
      </c>
      <c r="J273" s="7" t="str">
        <f>RawData!J273</f>
        <v>TRK16792991</v>
      </c>
      <c r="K273" s="7">
        <f>RawData!K273</f>
        <v>6</v>
      </c>
      <c r="L273" s="7" t="str">
        <f>IF(RawData!L273="","No Coupon",RawData!L273)</f>
        <v>WINTER15</v>
      </c>
      <c r="M273" s="7" t="str">
        <f>RawData!M273</f>
        <v>Referral</v>
      </c>
      <c r="N273" s="7">
        <f>RawData!N273</f>
        <v>542.07000000000005</v>
      </c>
    </row>
    <row r="274" spans="1:14" x14ac:dyDescent="0.3">
      <c r="A274" s="7" t="str">
        <f>RawData!A274</f>
        <v>ORD200272</v>
      </c>
      <c r="B274" s="11">
        <f>RawData!B274</f>
        <v>45188</v>
      </c>
      <c r="C274" s="7" t="str">
        <f>RawData!C274</f>
        <v>C29758</v>
      </c>
      <c r="D274" s="7" t="str">
        <f>RawData!D274</f>
        <v>Chair</v>
      </c>
      <c r="E274" s="7">
        <f>RawData!E274</f>
        <v>2</v>
      </c>
      <c r="F274" s="7">
        <f>RawData!F274</f>
        <v>399.32</v>
      </c>
      <c r="G274" s="7" t="str">
        <f>RawData!G274</f>
        <v>119 Main St</v>
      </c>
      <c r="H274" s="7" t="str">
        <f>RawData!H274</f>
        <v>Online</v>
      </c>
      <c r="I274" s="7" t="str">
        <f>RawData!I274</f>
        <v>Pending</v>
      </c>
      <c r="J274" s="7" t="str">
        <f>RawData!J274</f>
        <v>TRK12990043</v>
      </c>
      <c r="K274" s="7">
        <f>RawData!K274</f>
        <v>6</v>
      </c>
      <c r="L274" s="7" t="str">
        <f>IF(RawData!L274="","No Coupon",RawData!L274)</f>
        <v>WINTER15</v>
      </c>
      <c r="M274" s="7" t="str">
        <f>RawData!M274</f>
        <v>Instagram</v>
      </c>
      <c r="N274" s="7">
        <f>RawData!N274</f>
        <v>798.64</v>
      </c>
    </row>
    <row r="275" spans="1:14" x14ac:dyDescent="0.3">
      <c r="A275" s="7" t="str">
        <f>RawData!A275</f>
        <v>ORD200273</v>
      </c>
      <c r="B275" s="11">
        <f>RawData!B275</f>
        <v>45592</v>
      </c>
      <c r="C275" s="7" t="str">
        <f>RawData!C275</f>
        <v>C11849</v>
      </c>
      <c r="D275" s="7" t="str">
        <f>RawData!D275</f>
        <v>Tablet</v>
      </c>
      <c r="E275" s="7">
        <f>RawData!E275</f>
        <v>2</v>
      </c>
      <c r="F275" s="7">
        <f>RawData!F275</f>
        <v>238.25</v>
      </c>
      <c r="G275" s="7" t="str">
        <f>RawData!G275</f>
        <v>974 Main St</v>
      </c>
      <c r="H275" s="7" t="str">
        <f>RawData!H275</f>
        <v>Online</v>
      </c>
      <c r="I275" s="7" t="str">
        <f>RawData!I275</f>
        <v>Cancelled</v>
      </c>
      <c r="J275" s="7" t="str">
        <f>RawData!J275</f>
        <v>TRK91195261</v>
      </c>
      <c r="K275" s="7">
        <f>RawData!K275</f>
        <v>7</v>
      </c>
      <c r="L275" s="7" t="str">
        <f>IF(RawData!L275="","No Coupon",RawData!L275)</f>
        <v>FREESHIP</v>
      </c>
      <c r="M275" s="7" t="str">
        <f>RawData!M275</f>
        <v>Email</v>
      </c>
      <c r="N275" s="7">
        <f>RawData!N275</f>
        <v>476.5</v>
      </c>
    </row>
    <row r="276" spans="1:14" x14ac:dyDescent="0.3">
      <c r="A276" s="7" t="str">
        <f>RawData!A276</f>
        <v>ORD200274</v>
      </c>
      <c r="B276" s="11">
        <f>RawData!B276</f>
        <v>44961</v>
      </c>
      <c r="C276" s="7" t="str">
        <f>RawData!C276</f>
        <v>C50967</v>
      </c>
      <c r="D276" s="7" t="str">
        <f>RawData!D276</f>
        <v>Phone</v>
      </c>
      <c r="E276" s="7">
        <f>RawData!E276</f>
        <v>2</v>
      </c>
      <c r="F276" s="7">
        <f>RawData!F276</f>
        <v>182.4</v>
      </c>
      <c r="G276" s="7" t="str">
        <f>RawData!G276</f>
        <v>884 Main St</v>
      </c>
      <c r="H276" s="7" t="str">
        <f>RawData!H276</f>
        <v>Gift Card</v>
      </c>
      <c r="I276" s="7" t="str">
        <f>RawData!I276</f>
        <v>Cancelled</v>
      </c>
      <c r="J276" s="7" t="str">
        <f>RawData!J276</f>
        <v>TRK65300814</v>
      </c>
      <c r="K276" s="7">
        <f>RawData!K276</f>
        <v>5</v>
      </c>
      <c r="L276" s="7" t="str">
        <f>IF(RawData!L276="","No Coupon",RawData!L276)</f>
        <v>SAVE10</v>
      </c>
      <c r="M276" s="7" t="str">
        <f>RawData!M276</f>
        <v>Referral</v>
      </c>
      <c r="N276" s="7">
        <f>RawData!N276</f>
        <v>364.8</v>
      </c>
    </row>
    <row r="277" spans="1:14" x14ac:dyDescent="0.3">
      <c r="A277" s="7" t="str">
        <f>RawData!A277</f>
        <v>ORD200275</v>
      </c>
      <c r="B277" s="11">
        <f>RawData!B277</f>
        <v>45234</v>
      </c>
      <c r="C277" s="7" t="str">
        <f>RawData!C277</f>
        <v>C80735</v>
      </c>
      <c r="D277" s="7" t="str">
        <f>RawData!D277</f>
        <v>Chair</v>
      </c>
      <c r="E277" s="7">
        <f>RawData!E277</f>
        <v>2</v>
      </c>
      <c r="F277" s="7">
        <f>RawData!F277</f>
        <v>65.069999999999993</v>
      </c>
      <c r="G277" s="7" t="str">
        <f>RawData!G277</f>
        <v>360 Main St</v>
      </c>
      <c r="H277" s="7" t="str">
        <f>RawData!H277</f>
        <v>Credit Card</v>
      </c>
      <c r="I277" s="7" t="str">
        <f>RawData!I277</f>
        <v>Cancelled</v>
      </c>
      <c r="J277" s="7" t="str">
        <f>RawData!J277</f>
        <v>TRK99880231</v>
      </c>
      <c r="K277" s="7">
        <f>RawData!K277</f>
        <v>4</v>
      </c>
      <c r="L277" s="7" t="str">
        <f>IF(RawData!L277="","No Coupon",RawData!L277)</f>
        <v>SAVE10</v>
      </c>
      <c r="M277" s="7" t="str">
        <f>RawData!M277</f>
        <v>Google</v>
      </c>
      <c r="N277" s="7">
        <f>RawData!N277</f>
        <v>130.13999999999999</v>
      </c>
    </row>
    <row r="278" spans="1:14" x14ac:dyDescent="0.3">
      <c r="A278" s="7" t="str">
        <f>RawData!A278</f>
        <v>ORD200276</v>
      </c>
      <c r="B278" s="11">
        <f>RawData!B278</f>
        <v>45745</v>
      </c>
      <c r="C278" s="7" t="str">
        <f>RawData!C278</f>
        <v>C99050</v>
      </c>
      <c r="D278" s="7" t="str">
        <f>RawData!D278</f>
        <v>Printer</v>
      </c>
      <c r="E278" s="7">
        <f>RawData!E278</f>
        <v>2</v>
      </c>
      <c r="F278" s="7">
        <f>RawData!F278</f>
        <v>600.57000000000005</v>
      </c>
      <c r="G278" s="7" t="str">
        <f>RawData!G278</f>
        <v>654 Main St</v>
      </c>
      <c r="H278" s="7" t="str">
        <f>RawData!H278</f>
        <v>Debit Card</v>
      </c>
      <c r="I278" s="7" t="str">
        <f>RawData!I278</f>
        <v>Returned</v>
      </c>
      <c r="J278" s="7" t="str">
        <f>RawData!J278</f>
        <v>TRK56927089</v>
      </c>
      <c r="K278" s="7">
        <f>RawData!K278</f>
        <v>3</v>
      </c>
      <c r="L278" s="7" t="str">
        <f>IF(RawData!L278="","No Coupon",RawData!L278)</f>
        <v>WINTER15</v>
      </c>
      <c r="M278" s="7" t="str">
        <f>RawData!M278</f>
        <v>Instagram</v>
      </c>
      <c r="N278" s="7">
        <f>RawData!N278</f>
        <v>1201.1400000000001</v>
      </c>
    </row>
    <row r="279" spans="1:14" x14ac:dyDescent="0.3">
      <c r="A279" s="7" t="str">
        <f>RawData!A279</f>
        <v>ORD200277</v>
      </c>
      <c r="B279" s="11">
        <f>RawData!B279</f>
        <v>45544</v>
      </c>
      <c r="C279" s="7" t="str">
        <f>RawData!C279</f>
        <v>C11210</v>
      </c>
      <c r="D279" s="7" t="str">
        <f>RawData!D279</f>
        <v>Chair</v>
      </c>
      <c r="E279" s="7">
        <f>RawData!E279</f>
        <v>5</v>
      </c>
      <c r="F279" s="7">
        <f>RawData!F279</f>
        <v>90.92</v>
      </c>
      <c r="G279" s="7" t="str">
        <f>RawData!G279</f>
        <v>910 Main St</v>
      </c>
      <c r="H279" s="7" t="str">
        <f>RawData!H279</f>
        <v>Credit Card</v>
      </c>
      <c r="I279" s="7" t="str">
        <f>RawData!I279</f>
        <v>Delivered</v>
      </c>
      <c r="J279" s="7" t="str">
        <f>RawData!J279</f>
        <v>TRK44929965</v>
      </c>
      <c r="K279" s="7">
        <f>RawData!K279</f>
        <v>9</v>
      </c>
      <c r="L279" s="7" t="str">
        <f>IF(RawData!L279="","No Coupon",RawData!L279)</f>
        <v>SAVE10</v>
      </c>
      <c r="M279" s="7" t="str">
        <f>RawData!M279</f>
        <v>Facebook</v>
      </c>
      <c r="N279" s="7">
        <f>RawData!N279</f>
        <v>454.6</v>
      </c>
    </row>
    <row r="280" spans="1:14" x14ac:dyDescent="0.3">
      <c r="A280" s="7" t="str">
        <f>RawData!A280</f>
        <v>ORD200278</v>
      </c>
      <c r="B280" s="11">
        <f>RawData!B280</f>
        <v>45614</v>
      </c>
      <c r="C280" s="7" t="str">
        <f>RawData!C280</f>
        <v>C46015</v>
      </c>
      <c r="D280" s="7" t="str">
        <f>RawData!D280</f>
        <v>Laptop</v>
      </c>
      <c r="E280" s="7">
        <f>RawData!E280</f>
        <v>5</v>
      </c>
      <c r="F280" s="7">
        <f>RawData!F280</f>
        <v>362.46</v>
      </c>
      <c r="G280" s="7" t="str">
        <f>RawData!G280</f>
        <v>299 Main St</v>
      </c>
      <c r="H280" s="7" t="str">
        <f>RawData!H280</f>
        <v>Cash</v>
      </c>
      <c r="I280" s="7" t="str">
        <f>RawData!I280</f>
        <v>Delivered</v>
      </c>
      <c r="J280" s="7" t="str">
        <f>RawData!J280</f>
        <v>TRK46598430</v>
      </c>
      <c r="K280" s="7">
        <f>RawData!K280</f>
        <v>6</v>
      </c>
      <c r="L280" s="7" t="str">
        <f>IF(RawData!L280="","No Coupon",RawData!L280)</f>
        <v>FREESHIP</v>
      </c>
      <c r="M280" s="7" t="str">
        <f>RawData!M280</f>
        <v>Instagram</v>
      </c>
      <c r="N280" s="7">
        <f>RawData!N280</f>
        <v>1812.3</v>
      </c>
    </row>
    <row r="281" spans="1:14" x14ac:dyDescent="0.3">
      <c r="A281" s="7" t="str">
        <f>RawData!A281</f>
        <v>ORD200279</v>
      </c>
      <c r="B281" s="11">
        <f>RawData!B281</f>
        <v>45219</v>
      </c>
      <c r="C281" s="7" t="str">
        <f>RawData!C281</f>
        <v>C69167</v>
      </c>
      <c r="D281" s="7" t="str">
        <f>RawData!D281</f>
        <v>Chair</v>
      </c>
      <c r="E281" s="7">
        <f>RawData!E281</f>
        <v>3</v>
      </c>
      <c r="F281" s="7">
        <f>RawData!F281</f>
        <v>55.01</v>
      </c>
      <c r="G281" s="7" t="str">
        <f>RawData!G281</f>
        <v>263 Main St</v>
      </c>
      <c r="H281" s="7" t="str">
        <f>RawData!H281</f>
        <v>Online</v>
      </c>
      <c r="I281" s="7" t="str">
        <f>RawData!I281</f>
        <v>Pending</v>
      </c>
      <c r="J281" s="7" t="str">
        <f>RawData!J281</f>
        <v>TRK12425655</v>
      </c>
      <c r="K281" s="7">
        <f>RawData!K281</f>
        <v>7</v>
      </c>
      <c r="L281" s="7" t="str">
        <f>IF(RawData!L281="","No Coupon",RawData!L281)</f>
        <v>WINTER15</v>
      </c>
      <c r="M281" s="7" t="str">
        <f>RawData!M281</f>
        <v>Email</v>
      </c>
      <c r="N281" s="7">
        <f>RawData!N281</f>
        <v>165.03</v>
      </c>
    </row>
    <row r="282" spans="1:14" x14ac:dyDescent="0.3">
      <c r="A282" s="7" t="str">
        <f>RawData!A282</f>
        <v>ORD200280</v>
      </c>
      <c r="B282" s="11">
        <f>RawData!B282</f>
        <v>45012</v>
      </c>
      <c r="C282" s="7" t="str">
        <f>RawData!C282</f>
        <v>C55388</v>
      </c>
      <c r="D282" s="7" t="str">
        <f>RawData!D282</f>
        <v>Tablet</v>
      </c>
      <c r="E282" s="7">
        <f>RawData!E282</f>
        <v>3</v>
      </c>
      <c r="F282" s="7">
        <f>RawData!F282</f>
        <v>404.62</v>
      </c>
      <c r="G282" s="7" t="str">
        <f>RawData!G282</f>
        <v>740 Main St</v>
      </c>
      <c r="H282" s="7" t="str">
        <f>RawData!H282</f>
        <v>Gift Card</v>
      </c>
      <c r="I282" s="7" t="str">
        <f>RawData!I282</f>
        <v>Delivered</v>
      </c>
      <c r="J282" s="7" t="str">
        <f>RawData!J282</f>
        <v>TRK75741001</v>
      </c>
      <c r="K282" s="7">
        <f>RawData!K282</f>
        <v>6</v>
      </c>
      <c r="L282" s="7" t="str">
        <f>IF(RawData!L282="","No Coupon",RawData!L282)</f>
        <v>FREESHIP</v>
      </c>
      <c r="M282" s="7" t="str">
        <f>RawData!M282</f>
        <v>Instagram</v>
      </c>
      <c r="N282" s="7">
        <f>RawData!N282</f>
        <v>1213.8599999999999</v>
      </c>
    </row>
    <row r="283" spans="1:14" x14ac:dyDescent="0.3">
      <c r="A283" s="7" t="str">
        <f>RawData!A283</f>
        <v>ORD200281</v>
      </c>
      <c r="B283" s="11">
        <f>RawData!B283</f>
        <v>45134</v>
      </c>
      <c r="C283" s="7" t="str">
        <f>RawData!C283</f>
        <v>C87181</v>
      </c>
      <c r="D283" s="7" t="str">
        <f>RawData!D283</f>
        <v>Desk</v>
      </c>
      <c r="E283" s="7">
        <f>RawData!E283</f>
        <v>4</v>
      </c>
      <c r="F283" s="7">
        <f>RawData!F283</f>
        <v>654.79</v>
      </c>
      <c r="G283" s="7" t="str">
        <f>RawData!G283</f>
        <v>195 Main St</v>
      </c>
      <c r="H283" s="7" t="str">
        <f>RawData!H283</f>
        <v>Cash</v>
      </c>
      <c r="I283" s="7" t="str">
        <f>RawData!I283</f>
        <v>Pending</v>
      </c>
      <c r="J283" s="7" t="str">
        <f>RawData!J283</f>
        <v>TRK60093390</v>
      </c>
      <c r="K283" s="7">
        <f>RawData!K283</f>
        <v>9</v>
      </c>
      <c r="L283" s="7" t="str">
        <f>IF(RawData!L283="","No Coupon",RawData!L283)</f>
        <v>No Coupon</v>
      </c>
      <c r="M283" s="7" t="str">
        <f>RawData!M283</f>
        <v>Referral</v>
      </c>
      <c r="N283" s="7">
        <f>RawData!N283</f>
        <v>2619.16</v>
      </c>
    </row>
    <row r="284" spans="1:14" x14ac:dyDescent="0.3">
      <c r="A284" s="7" t="str">
        <f>RawData!A284</f>
        <v>ORD200282</v>
      </c>
      <c r="B284" s="11">
        <f>RawData!B284</f>
        <v>45769</v>
      </c>
      <c r="C284" s="7" t="str">
        <f>RawData!C284</f>
        <v>C30411</v>
      </c>
      <c r="D284" s="7" t="str">
        <f>RawData!D284</f>
        <v>Printer</v>
      </c>
      <c r="E284" s="7">
        <f>RawData!E284</f>
        <v>4</v>
      </c>
      <c r="F284" s="7">
        <f>RawData!F284</f>
        <v>637.79</v>
      </c>
      <c r="G284" s="7" t="str">
        <f>RawData!G284</f>
        <v>375 Main St</v>
      </c>
      <c r="H284" s="7" t="str">
        <f>RawData!H284</f>
        <v>Gift Card</v>
      </c>
      <c r="I284" s="7" t="str">
        <f>RawData!I284</f>
        <v>Cancelled</v>
      </c>
      <c r="J284" s="7" t="str">
        <f>RawData!J284</f>
        <v>TRK71810536</v>
      </c>
      <c r="K284" s="7">
        <f>RawData!K284</f>
        <v>9</v>
      </c>
      <c r="L284" s="7" t="str">
        <f>IF(RawData!L284="","No Coupon",RawData!L284)</f>
        <v>FREESHIP</v>
      </c>
      <c r="M284" s="7" t="str">
        <f>RawData!M284</f>
        <v>Google</v>
      </c>
      <c r="N284" s="7">
        <f>RawData!N284</f>
        <v>2551.16</v>
      </c>
    </row>
    <row r="285" spans="1:14" x14ac:dyDescent="0.3">
      <c r="A285" s="7" t="str">
        <f>RawData!A285</f>
        <v>ORD200283</v>
      </c>
      <c r="B285" s="11">
        <f>RawData!B285</f>
        <v>45716</v>
      </c>
      <c r="C285" s="7" t="str">
        <f>RawData!C285</f>
        <v>C39638</v>
      </c>
      <c r="D285" s="7" t="str">
        <f>RawData!D285</f>
        <v>Laptop</v>
      </c>
      <c r="E285" s="7">
        <f>RawData!E285</f>
        <v>4</v>
      </c>
      <c r="F285" s="7">
        <f>RawData!F285</f>
        <v>540.33000000000004</v>
      </c>
      <c r="G285" s="7" t="str">
        <f>RawData!G285</f>
        <v>990 Main St</v>
      </c>
      <c r="H285" s="7" t="str">
        <f>RawData!H285</f>
        <v>Cash</v>
      </c>
      <c r="I285" s="7" t="str">
        <f>RawData!I285</f>
        <v>Shipped</v>
      </c>
      <c r="J285" s="7" t="str">
        <f>RawData!J285</f>
        <v>TRK69745608</v>
      </c>
      <c r="K285" s="7">
        <f>RawData!K285</f>
        <v>6</v>
      </c>
      <c r="L285" s="7" t="str">
        <f>IF(RawData!L285="","No Coupon",RawData!L285)</f>
        <v>No Coupon</v>
      </c>
      <c r="M285" s="7" t="str">
        <f>RawData!M285</f>
        <v>Google</v>
      </c>
      <c r="N285" s="7">
        <f>RawData!N285</f>
        <v>2161.3200000000002</v>
      </c>
    </row>
    <row r="286" spans="1:14" x14ac:dyDescent="0.3">
      <c r="A286" s="7" t="str">
        <f>RawData!A286</f>
        <v>ORD200284</v>
      </c>
      <c r="B286" s="11">
        <f>RawData!B286</f>
        <v>44973</v>
      </c>
      <c r="C286" s="7" t="str">
        <f>RawData!C286</f>
        <v>C27203</v>
      </c>
      <c r="D286" s="7" t="str">
        <f>RawData!D286</f>
        <v>Laptop</v>
      </c>
      <c r="E286" s="7">
        <f>RawData!E286</f>
        <v>5</v>
      </c>
      <c r="F286" s="7">
        <f>RawData!F286</f>
        <v>208.17</v>
      </c>
      <c r="G286" s="7" t="str">
        <f>RawData!G286</f>
        <v>516 Main St</v>
      </c>
      <c r="H286" s="7" t="str">
        <f>RawData!H286</f>
        <v>Credit Card</v>
      </c>
      <c r="I286" s="7" t="str">
        <f>RawData!I286</f>
        <v>Returned</v>
      </c>
      <c r="J286" s="7" t="str">
        <f>RawData!J286</f>
        <v>TRK22023906</v>
      </c>
      <c r="K286" s="7">
        <f>RawData!K286</f>
        <v>6</v>
      </c>
      <c r="L286" s="7" t="str">
        <f>IF(RawData!L286="","No Coupon",RawData!L286)</f>
        <v>SAVE10</v>
      </c>
      <c r="M286" s="7" t="str">
        <f>RawData!M286</f>
        <v>Facebook</v>
      </c>
      <c r="N286" s="7">
        <f>RawData!N286</f>
        <v>1040.8499999999999</v>
      </c>
    </row>
    <row r="287" spans="1:14" x14ac:dyDescent="0.3">
      <c r="A287" s="7" t="str">
        <f>RawData!A287</f>
        <v>ORD200285</v>
      </c>
      <c r="B287" s="11">
        <f>RawData!B287</f>
        <v>45818</v>
      </c>
      <c r="C287" s="7" t="str">
        <f>RawData!C287</f>
        <v>C67583</v>
      </c>
      <c r="D287" s="7" t="str">
        <f>RawData!D287</f>
        <v>Phone</v>
      </c>
      <c r="E287" s="7">
        <f>RawData!E287</f>
        <v>1</v>
      </c>
      <c r="F287" s="7">
        <f>RawData!F287</f>
        <v>338.31</v>
      </c>
      <c r="G287" s="7" t="str">
        <f>RawData!G287</f>
        <v>974 Main St</v>
      </c>
      <c r="H287" s="7" t="str">
        <f>RawData!H287</f>
        <v>Online</v>
      </c>
      <c r="I287" s="7" t="str">
        <f>RawData!I287</f>
        <v>Delivered</v>
      </c>
      <c r="J287" s="7" t="str">
        <f>RawData!J287</f>
        <v>TRK93281700</v>
      </c>
      <c r="K287" s="7">
        <f>RawData!K287</f>
        <v>3</v>
      </c>
      <c r="L287" s="7" t="str">
        <f>IF(RawData!L287="","No Coupon",RawData!L287)</f>
        <v>No Coupon</v>
      </c>
      <c r="M287" s="7" t="str">
        <f>RawData!M287</f>
        <v>Google</v>
      </c>
      <c r="N287" s="7">
        <f>RawData!N287</f>
        <v>338.31</v>
      </c>
    </row>
    <row r="288" spans="1:14" x14ac:dyDescent="0.3">
      <c r="A288" s="7" t="str">
        <f>RawData!A288</f>
        <v>ORD200286</v>
      </c>
      <c r="B288" s="11">
        <f>RawData!B288</f>
        <v>45754</v>
      </c>
      <c r="C288" s="7" t="str">
        <f>RawData!C288</f>
        <v>C70554</v>
      </c>
      <c r="D288" s="7" t="str">
        <f>RawData!D288</f>
        <v>Monitor</v>
      </c>
      <c r="E288" s="7">
        <f>RawData!E288</f>
        <v>3</v>
      </c>
      <c r="F288" s="7">
        <f>RawData!F288</f>
        <v>139.44999999999999</v>
      </c>
      <c r="G288" s="7" t="str">
        <f>RawData!G288</f>
        <v>187 Main St</v>
      </c>
      <c r="H288" s="7" t="str">
        <f>RawData!H288</f>
        <v>Gift Card</v>
      </c>
      <c r="I288" s="7" t="str">
        <f>RawData!I288</f>
        <v>Returned</v>
      </c>
      <c r="J288" s="7" t="str">
        <f>RawData!J288</f>
        <v>TRK61086952</v>
      </c>
      <c r="K288" s="7">
        <f>RawData!K288</f>
        <v>8</v>
      </c>
      <c r="L288" s="7" t="str">
        <f>IF(RawData!L288="","No Coupon",RawData!L288)</f>
        <v>WINTER15</v>
      </c>
      <c r="M288" s="7" t="str">
        <f>RawData!M288</f>
        <v>Google</v>
      </c>
      <c r="N288" s="7">
        <f>RawData!N288</f>
        <v>418.35</v>
      </c>
    </row>
    <row r="289" spans="1:14" x14ac:dyDescent="0.3">
      <c r="A289" s="7" t="str">
        <f>RawData!A289</f>
        <v>ORD200287</v>
      </c>
      <c r="B289" s="11">
        <f>RawData!B289</f>
        <v>45254</v>
      </c>
      <c r="C289" s="7" t="str">
        <f>RawData!C289</f>
        <v>C70437</v>
      </c>
      <c r="D289" s="7" t="str">
        <f>RawData!D289</f>
        <v>Chair</v>
      </c>
      <c r="E289" s="7">
        <f>RawData!E289</f>
        <v>4</v>
      </c>
      <c r="F289" s="7">
        <f>RawData!F289</f>
        <v>655.17999999999995</v>
      </c>
      <c r="G289" s="7" t="str">
        <f>RawData!G289</f>
        <v>630 Main St</v>
      </c>
      <c r="H289" s="7" t="str">
        <f>RawData!H289</f>
        <v>Online</v>
      </c>
      <c r="I289" s="7" t="str">
        <f>RawData!I289</f>
        <v>Shipped</v>
      </c>
      <c r="J289" s="7" t="str">
        <f>RawData!J289</f>
        <v>TRK26628830</v>
      </c>
      <c r="K289" s="7">
        <f>RawData!K289</f>
        <v>5</v>
      </c>
      <c r="L289" s="7" t="str">
        <f>IF(RawData!L289="","No Coupon",RawData!L289)</f>
        <v>No Coupon</v>
      </c>
      <c r="M289" s="7" t="str">
        <f>RawData!M289</f>
        <v>Facebook</v>
      </c>
      <c r="N289" s="7">
        <f>RawData!N289</f>
        <v>2620.7199999999998</v>
      </c>
    </row>
    <row r="290" spans="1:14" x14ac:dyDescent="0.3">
      <c r="A290" s="7" t="str">
        <f>RawData!A290</f>
        <v>ORD200288</v>
      </c>
      <c r="B290" s="11">
        <f>RawData!B290</f>
        <v>44997</v>
      </c>
      <c r="C290" s="7" t="str">
        <f>RawData!C290</f>
        <v>C97643</v>
      </c>
      <c r="D290" s="7" t="str">
        <f>RawData!D290</f>
        <v>Laptop</v>
      </c>
      <c r="E290" s="7">
        <f>RawData!E290</f>
        <v>4</v>
      </c>
      <c r="F290" s="7">
        <f>RawData!F290</f>
        <v>512.75</v>
      </c>
      <c r="G290" s="7" t="str">
        <f>RawData!G290</f>
        <v>537 Main St</v>
      </c>
      <c r="H290" s="7" t="str">
        <f>RawData!H290</f>
        <v>Debit Card</v>
      </c>
      <c r="I290" s="7" t="str">
        <f>RawData!I290</f>
        <v>Returned</v>
      </c>
      <c r="J290" s="7" t="str">
        <f>RawData!J290</f>
        <v>TRK60831391</v>
      </c>
      <c r="K290" s="7">
        <f>RawData!K290</f>
        <v>8</v>
      </c>
      <c r="L290" s="7" t="str">
        <f>IF(RawData!L290="","No Coupon",RawData!L290)</f>
        <v>WINTER15</v>
      </c>
      <c r="M290" s="7" t="str">
        <f>RawData!M290</f>
        <v>Google</v>
      </c>
      <c r="N290" s="7">
        <f>RawData!N290</f>
        <v>2051</v>
      </c>
    </row>
    <row r="291" spans="1:14" x14ac:dyDescent="0.3">
      <c r="A291" s="7" t="str">
        <f>RawData!A291</f>
        <v>ORD200289</v>
      </c>
      <c r="B291" s="11">
        <f>RawData!B291</f>
        <v>45133</v>
      </c>
      <c r="C291" s="7" t="str">
        <f>RawData!C291</f>
        <v>C17136</v>
      </c>
      <c r="D291" s="7" t="str">
        <f>RawData!D291</f>
        <v>Chair</v>
      </c>
      <c r="E291" s="7">
        <f>RawData!E291</f>
        <v>4</v>
      </c>
      <c r="F291" s="7">
        <f>RawData!F291</f>
        <v>160.49</v>
      </c>
      <c r="G291" s="7" t="str">
        <f>RawData!G291</f>
        <v>333 Main St</v>
      </c>
      <c r="H291" s="7" t="str">
        <f>RawData!H291</f>
        <v>Credit Card</v>
      </c>
      <c r="I291" s="7" t="str">
        <f>RawData!I291</f>
        <v>Shipped</v>
      </c>
      <c r="J291" s="7" t="str">
        <f>RawData!J291</f>
        <v>TRK55362541</v>
      </c>
      <c r="K291" s="7">
        <f>RawData!K291</f>
        <v>8</v>
      </c>
      <c r="L291" s="7" t="str">
        <f>IF(RawData!L291="","No Coupon",RawData!L291)</f>
        <v>WINTER15</v>
      </c>
      <c r="M291" s="7" t="str">
        <f>RawData!M291</f>
        <v>Referral</v>
      </c>
      <c r="N291" s="7">
        <f>RawData!N291</f>
        <v>641.96</v>
      </c>
    </row>
    <row r="292" spans="1:14" x14ac:dyDescent="0.3">
      <c r="A292" s="7" t="str">
        <f>RawData!A292</f>
        <v>ORD200290</v>
      </c>
      <c r="B292" s="11">
        <f>RawData!B292</f>
        <v>45051</v>
      </c>
      <c r="C292" s="7" t="str">
        <f>RawData!C292</f>
        <v>C24901</v>
      </c>
      <c r="D292" s="7" t="str">
        <f>RawData!D292</f>
        <v>Chair</v>
      </c>
      <c r="E292" s="7">
        <f>RawData!E292</f>
        <v>3</v>
      </c>
      <c r="F292" s="7">
        <f>RawData!F292</f>
        <v>99.9</v>
      </c>
      <c r="G292" s="7" t="str">
        <f>RawData!G292</f>
        <v>258 Main St</v>
      </c>
      <c r="H292" s="7" t="str">
        <f>RawData!H292</f>
        <v>Cash</v>
      </c>
      <c r="I292" s="7" t="str">
        <f>RawData!I292</f>
        <v>Delivered</v>
      </c>
      <c r="J292" s="7" t="str">
        <f>RawData!J292</f>
        <v>TRK14029489</v>
      </c>
      <c r="K292" s="7">
        <f>RawData!K292</f>
        <v>8</v>
      </c>
      <c r="L292" s="7" t="str">
        <f>IF(RawData!L292="","No Coupon",RawData!L292)</f>
        <v>FREESHIP</v>
      </c>
      <c r="M292" s="7" t="str">
        <f>RawData!M292</f>
        <v>Facebook</v>
      </c>
      <c r="N292" s="7">
        <f>RawData!N292</f>
        <v>299.7</v>
      </c>
    </row>
    <row r="293" spans="1:14" x14ac:dyDescent="0.3">
      <c r="A293" s="7" t="str">
        <f>RawData!A293</f>
        <v>ORD200291</v>
      </c>
      <c r="B293" s="11">
        <f>RawData!B293</f>
        <v>45424</v>
      </c>
      <c r="C293" s="7" t="str">
        <f>RawData!C293</f>
        <v>C61521</v>
      </c>
      <c r="D293" s="7" t="str">
        <f>RawData!D293</f>
        <v>Phone</v>
      </c>
      <c r="E293" s="7">
        <f>RawData!E293</f>
        <v>2</v>
      </c>
      <c r="F293" s="7">
        <f>RawData!F293</f>
        <v>345.01</v>
      </c>
      <c r="G293" s="7" t="str">
        <f>RawData!G293</f>
        <v>670 Main St</v>
      </c>
      <c r="H293" s="7" t="str">
        <f>RawData!H293</f>
        <v>Credit Card</v>
      </c>
      <c r="I293" s="7" t="str">
        <f>RawData!I293</f>
        <v>Delivered</v>
      </c>
      <c r="J293" s="7" t="str">
        <f>RawData!J293</f>
        <v>TRK93676567</v>
      </c>
      <c r="K293" s="7">
        <f>RawData!K293</f>
        <v>6</v>
      </c>
      <c r="L293" s="7" t="str">
        <f>IF(RawData!L293="","No Coupon",RawData!L293)</f>
        <v>FREESHIP</v>
      </c>
      <c r="M293" s="7" t="str">
        <f>RawData!M293</f>
        <v>Google</v>
      </c>
      <c r="N293" s="7">
        <f>RawData!N293</f>
        <v>690.02</v>
      </c>
    </row>
    <row r="294" spans="1:14" x14ac:dyDescent="0.3">
      <c r="A294" s="7" t="str">
        <f>RawData!A294</f>
        <v>ORD200292</v>
      </c>
      <c r="B294" s="11">
        <f>RawData!B294</f>
        <v>45672</v>
      </c>
      <c r="C294" s="7" t="str">
        <f>RawData!C294</f>
        <v>C39639</v>
      </c>
      <c r="D294" s="7" t="str">
        <f>RawData!D294</f>
        <v>Monitor</v>
      </c>
      <c r="E294" s="7">
        <f>RawData!E294</f>
        <v>1</v>
      </c>
      <c r="F294" s="7">
        <f>RawData!F294</f>
        <v>65.95</v>
      </c>
      <c r="G294" s="7" t="str">
        <f>RawData!G294</f>
        <v>185 Main St</v>
      </c>
      <c r="H294" s="7" t="str">
        <f>RawData!H294</f>
        <v>Credit Card</v>
      </c>
      <c r="I294" s="7" t="str">
        <f>RawData!I294</f>
        <v>Delivered</v>
      </c>
      <c r="J294" s="7" t="str">
        <f>RawData!J294</f>
        <v>TRK31042152</v>
      </c>
      <c r="K294" s="7">
        <f>RawData!K294</f>
        <v>5</v>
      </c>
      <c r="L294" s="7" t="str">
        <f>IF(RawData!L294="","No Coupon",RawData!L294)</f>
        <v>No Coupon</v>
      </c>
      <c r="M294" s="7" t="str">
        <f>RawData!M294</f>
        <v>Facebook</v>
      </c>
      <c r="N294" s="7">
        <f>RawData!N294</f>
        <v>65.95</v>
      </c>
    </row>
    <row r="295" spans="1:14" x14ac:dyDescent="0.3">
      <c r="A295" s="7" t="str">
        <f>RawData!A295</f>
        <v>ORD200293</v>
      </c>
      <c r="B295" s="11">
        <f>RawData!B295</f>
        <v>44973</v>
      </c>
      <c r="C295" s="7" t="str">
        <f>RawData!C295</f>
        <v>C33220</v>
      </c>
      <c r="D295" s="7" t="str">
        <f>RawData!D295</f>
        <v>Tablet</v>
      </c>
      <c r="E295" s="7">
        <f>RawData!E295</f>
        <v>4</v>
      </c>
      <c r="F295" s="7">
        <f>RawData!F295</f>
        <v>463.04</v>
      </c>
      <c r="G295" s="7" t="str">
        <f>RawData!G295</f>
        <v>564 Main St</v>
      </c>
      <c r="H295" s="7" t="str">
        <f>RawData!H295</f>
        <v>Gift Card</v>
      </c>
      <c r="I295" s="7" t="str">
        <f>RawData!I295</f>
        <v>Returned</v>
      </c>
      <c r="J295" s="7" t="str">
        <f>RawData!J295</f>
        <v>TRK40450219</v>
      </c>
      <c r="K295" s="7">
        <f>RawData!K295</f>
        <v>9</v>
      </c>
      <c r="L295" s="7" t="str">
        <f>IF(RawData!L295="","No Coupon",RawData!L295)</f>
        <v>No Coupon</v>
      </c>
      <c r="M295" s="7" t="str">
        <f>RawData!M295</f>
        <v>Instagram</v>
      </c>
      <c r="N295" s="7">
        <f>RawData!N295</f>
        <v>1852.16</v>
      </c>
    </row>
    <row r="296" spans="1:14" x14ac:dyDescent="0.3">
      <c r="A296" s="7" t="str">
        <f>RawData!A296</f>
        <v>ORD200294</v>
      </c>
      <c r="B296" s="11">
        <f>RawData!B296</f>
        <v>45748</v>
      </c>
      <c r="C296" s="7" t="str">
        <f>RawData!C296</f>
        <v>C65414</v>
      </c>
      <c r="D296" s="7" t="str">
        <f>RawData!D296</f>
        <v>Phone</v>
      </c>
      <c r="E296" s="7">
        <f>RawData!E296</f>
        <v>2</v>
      </c>
      <c r="F296" s="7">
        <f>RawData!F296</f>
        <v>297.70999999999998</v>
      </c>
      <c r="G296" s="7" t="str">
        <f>RawData!G296</f>
        <v>208 Main St</v>
      </c>
      <c r="H296" s="7" t="str">
        <f>RawData!H296</f>
        <v>Online</v>
      </c>
      <c r="I296" s="7" t="str">
        <f>RawData!I296</f>
        <v>Shipped</v>
      </c>
      <c r="J296" s="7" t="str">
        <f>RawData!J296</f>
        <v>TRK67562517</v>
      </c>
      <c r="K296" s="7">
        <f>RawData!K296</f>
        <v>7</v>
      </c>
      <c r="L296" s="7" t="str">
        <f>IF(RawData!L296="","No Coupon",RawData!L296)</f>
        <v>SAVE10</v>
      </c>
      <c r="M296" s="7" t="str">
        <f>RawData!M296</f>
        <v>Referral</v>
      </c>
      <c r="N296" s="7">
        <f>RawData!N296</f>
        <v>595.41999999999996</v>
      </c>
    </row>
    <row r="297" spans="1:14" x14ac:dyDescent="0.3">
      <c r="A297" s="7" t="str">
        <f>RawData!A297</f>
        <v>ORD200295</v>
      </c>
      <c r="B297" s="11">
        <f>RawData!B297</f>
        <v>44951</v>
      </c>
      <c r="C297" s="7" t="str">
        <f>RawData!C297</f>
        <v>C49009</v>
      </c>
      <c r="D297" s="7" t="str">
        <f>RawData!D297</f>
        <v>Printer</v>
      </c>
      <c r="E297" s="7">
        <f>RawData!E297</f>
        <v>5</v>
      </c>
      <c r="F297" s="7">
        <f>RawData!F297</f>
        <v>107.48</v>
      </c>
      <c r="G297" s="7" t="str">
        <f>RawData!G297</f>
        <v>278 Main St</v>
      </c>
      <c r="H297" s="7" t="str">
        <f>RawData!H297</f>
        <v>Debit Card</v>
      </c>
      <c r="I297" s="7" t="str">
        <f>RawData!I297</f>
        <v>Cancelled</v>
      </c>
      <c r="J297" s="7" t="str">
        <f>RawData!J297</f>
        <v>TRK46285799</v>
      </c>
      <c r="K297" s="7">
        <f>RawData!K297</f>
        <v>9</v>
      </c>
      <c r="L297" s="7" t="str">
        <f>IF(RawData!L297="","No Coupon",RawData!L297)</f>
        <v>FREESHIP</v>
      </c>
      <c r="M297" s="7" t="str">
        <f>RawData!M297</f>
        <v>Email</v>
      </c>
      <c r="N297" s="7">
        <f>RawData!N297</f>
        <v>537.4</v>
      </c>
    </row>
    <row r="298" spans="1:14" x14ac:dyDescent="0.3">
      <c r="A298" s="7" t="str">
        <f>RawData!A298</f>
        <v>ORD200296</v>
      </c>
      <c r="B298" s="11">
        <f>RawData!B298</f>
        <v>45462</v>
      </c>
      <c r="C298" s="7" t="str">
        <f>RawData!C298</f>
        <v>C48453</v>
      </c>
      <c r="D298" s="7" t="str">
        <f>RawData!D298</f>
        <v>Desk</v>
      </c>
      <c r="E298" s="7">
        <f>RawData!E298</f>
        <v>5</v>
      </c>
      <c r="F298" s="7">
        <f>RawData!F298</f>
        <v>638.79999999999995</v>
      </c>
      <c r="G298" s="7" t="str">
        <f>RawData!G298</f>
        <v>434 Main St</v>
      </c>
      <c r="H298" s="7" t="str">
        <f>RawData!H298</f>
        <v>Debit Card</v>
      </c>
      <c r="I298" s="7" t="str">
        <f>RawData!I298</f>
        <v>Cancelled</v>
      </c>
      <c r="J298" s="7" t="str">
        <f>RawData!J298</f>
        <v>TRK52110494</v>
      </c>
      <c r="K298" s="7">
        <f>RawData!K298</f>
        <v>10</v>
      </c>
      <c r="L298" s="7" t="str">
        <f>IF(RawData!L298="","No Coupon",RawData!L298)</f>
        <v>WINTER15</v>
      </c>
      <c r="M298" s="7" t="str">
        <f>RawData!M298</f>
        <v>Referral</v>
      </c>
      <c r="N298" s="7">
        <f>RawData!N298</f>
        <v>3194</v>
      </c>
    </row>
    <row r="299" spans="1:14" x14ac:dyDescent="0.3">
      <c r="A299" s="7" t="str">
        <f>RawData!A299</f>
        <v>ORD200297</v>
      </c>
      <c r="B299" s="11">
        <f>RawData!B299</f>
        <v>44979</v>
      </c>
      <c r="C299" s="7" t="str">
        <f>RawData!C299</f>
        <v>C68078</v>
      </c>
      <c r="D299" s="7" t="str">
        <f>RawData!D299</f>
        <v>Desk</v>
      </c>
      <c r="E299" s="7">
        <f>RawData!E299</f>
        <v>2</v>
      </c>
      <c r="F299" s="7">
        <f>RawData!F299</f>
        <v>493.88</v>
      </c>
      <c r="G299" s="7" t="str">
        <f>RawData!G299</f>
        <v>252 Main St</v>
      </c>
      <c r="H299" s="7" t="str">
        <f>RawData!H299</f>
        <v>Credit Card</v>
      </c>
      <c r="I299" s="7" t="str">
        <f>RawData!I299</f>
        <v>Returned</v>
      </c>
      <c r="J299" s="7" t="str">
        <f>RawData!J299</f>
        <v>TRK64862812</v>
      </c>
      <c r="K299" s="7">
        <f>RawData!K299</f>
        <v>7</v>
      </c>
      <c r="L299" s="7" t="str">
        <f>IF(RawData!L299="","No Coupon",RawData!L299)</f>
        <v>SAVE10</v>
      </c>
      <c r="M299" s="7" t="str">
        <f>RawData!M299</f>
        <v>Instagram</v>
      </c>
      <c r="N299" s="7">
        <f>RawData!N299</f>
        <v>987.76</v>
      </c>
    </row>
    <row r="300" spans="1:14" x14ac:dyDescent="0.3">
      <c r="A300" s="7" t="str">
        <f>RawData!A300</f>
        <v>ORD200298</v>
      </c>
      <c r="B300" s="11">
        <f>RawData!B300</f>
        <v>45279</v>
      </c>
      <c r="C300" s="7" t="str">
        <f>RawData!C300</f>
        <v>C19402</v>
      </c>
      <c r="D300" s="7" t="str">
        <f>RawData!D300</f>
        <v>Printer</v>
      </c>
      <c r="E300" s="7">
        <f>RawData!E300</f>
        <v>4</v>
      </c>
      <c r="F300" s="7">
        <f>RawData!F300</f>
        <v>301.17</v>
      </c>
      <c r="G300" s="7" t="str">
        <f>RawData!G300</f>
        <v>267 Main St</v>
      </c>
      <c r="H300" s="7" t="str">
        <f>RawData!H300</f>
        <v>Online</v>
      </c>
      <c r="I300" s="7" t="str">
        <f>RawData!I300</f>
        <v>Cancelled</v>
      </c>
      <c r="J300" s="7" t="str">
        <f>RawData!J300</f>
        <v>TRK97825212</v>
      </c>
      <c r="K300" s="7">
        <f>RawData!K300</f>
        <v>6</v>
      </c>
      <c r="L300" s="7" t="str">
        <f>IF(RawData!L300="","No Coupon",RawData!L300)</f>
        <v>No Coupon</v>
      </c>
      <c r="M300" s="7" t="str">
        <f>RawData!M300</f>
        <v>Email</v>
      </c>
      <c r="N300" s="7">
        <f>RawData!N300</f>
        <v>1204.68</v>
      </c>
    </row>
    <row r="301" spans="1:14" x14ac:dyDescent="0.3">
      <c r="A301" s="7" t="str">
        <f>RawData!A301</f>
        <v>ORD200299</v>
      </c>
      <c r="B301" s="11">
        <f>RawData!B301</f>
        <v>45311</v>
      </c>
      <c r="C301" s="7" t="str">
        <f>RawData!C301</f>
        <v>C30711</v>
      </c>
      <c r="D301" s="7" t="str">
        <f>RawData!D301</f>
        <v>Monitor</v>
      </c>
      <c r="E301" s="7">
        <f>RawData!E301</f>
        <v>1</v>
      </c>
      <c r="F301" s="7">
        <f>RawData!F301</f>
        <v>278.66000000000003</v>
      </c>
      <c r="G301" s="7" t="str">
        <f>RawData!G301</f>
        <v>856 Main St</v>
      </c>
      <c r="H301" s="7" t="str">
        <f>RawData!H301</f>
        <v>Gift Card</v>
      </c>
      <c r="I301" s="7" t="str">
        <f>RawData!I301</f>
        <v>Cancelled</v>
      </c>
      <c r="J301" s="7" t="str">
        <f>RawData!J301</f>
        <v>TRK42696593</v>
      </c>
      <c r="K301" s="7">
        <f>RawData!K301</f>
        <v>2</v>
      </c>
      <c r="L301" s="7" t="str">
        <f>IF(RawData!L301="","No Coupon",RawData!L301)</f>
        <v>FREESHIP</v>
      </c>
      <c r="M301" s="7" t="str">
        <f>RawData!M301</f>
        <v>Instagram</v>
      </c>
      <c r="N301" s="7">
        <f>RawData!N301</f>
        <v>278.66000000000003</v>
      </c>
    </row>
    <row r="302" spans="1:14" x14ac:dyDescent="0.3">
      <c r="A302" s="7" t="str">
        <f>RawData!A302</f>
        <v>ORD200300</v>
      </c>
      <c r="B302" s="11">
        <f>RawData!B302</f>
        <v>45537</v>
      </c>
      <c r="C302" s="7" t="str">
        <f>RawData!C302</f>
        <v>C39000</v>
      </c>
      <c r="D302" s="7" t="str">
        <f>RawData!D302</f>
        <v>Phone</v>
      </c>
      <c r="E302" s="7">
        <f>RawData!E302</f>
        <v>1</v>
      </c>
      <c r="F302" s="7">
        <f>RawData!F302</f>
        <v>287.45999999999998</v>
      </c>
      <c r="G302" s="7" t="str">
        <f>RawData!G302</f>
        <v>894 Main St</v>
      </c>
      <c r="H302" s="7" t="str">
        <f>RawData!H302</f>
        <v>Debit Card</v>
      </c>
      <c r="I302" s="7" t="str">
        <f>RawData!I302</f>
        <v>Returned</v>
      </c>
      <c r="J302" s="7" t="str">
        <f>RawData!J302</f>
        <v>TRK33753945</v>
      </c>
      <c r="K302" s="7">
        <f>RawData!K302</f>
        <v>3</v>
      </c>
      <c r="L302" s="7" t="str">
        <f>IF(RawData!L302="","No Coupon",RawData!L302)</f>
        <v>FREESHIP</v>
      </c>
      <c r="M302" s="7" t="str">
        <f>RawData!M302</f>
        <v>Facebook</v>
      </c>
      <c r="N302" s="7">
        <f>RawData!N302</f>
        <v>287.45999999999998</v>
      </c>
    </row>
    <row r="303" spans="1:14" x14ac:dyDescent="0.3">
      <c r="A303" s="7" t="str">
        <f>RawData!A303</f>
        <v>ORD200301</v>
      </c>
      <c r="B303" s="11">
        <f>RawData!B303</f>
        <v>45057</v>
      </c>
      <c r="C303" s="7" t="str">
        <f>RawData!C303</f>
        <v>C31105</v>
      </c>
      <c r="D303" s="7" t="str">
        <f>RawData!D303</f>
        <v>Chair</v>
      </c>
      <c r="E303" s="7">
        <f>RawData!E303</f>
        <v>1</v>
      </c>
      <c r="F303" s="7">
        <f>RawData!F303</f>
        <v>583.99</v>
      </c>
      <c r="G303" s="7" t="str">
        <f>RawData!G303</f>
        <v>726 Main St</v>
      </c>
      <c r="H303" s="7" t="str">
        <f>RawData!H303</f>
        <v>Cash</v>
      </c>
      <c r="I303" s="7" t="str">
        <f>RawData!I303</f>
        <v>Cancelled</v>
      </c>
      <c r="J303" s="7" t="str">
        <f>RawData!J303</f>
        <v>TRK40149095</v>
      </c>
      <c r="K303" s="7">
        <f>RawData!K303</f>
        <v>2</v>
      </c>
      <c r="L303" s="7" t="str">
        <f>IF(RawData!L303="","No Coupon",RawData!L303)</f>
        <v>SAVE10</v>
      </c>
      <c r="M303" s="7" t="str">
        <f>RawData!M303</f>
        <v>Email</v>
      </c>
      <c r="N303" s="7">
        <f>RawData!N303</f>
        <v>583.99</v>
      </c>
    </row>
    <row r="304" spans="1:14" x14ac:dyDescent="0.3">
      <c r="A304" s="7" t="str">
        <f>RawData!A304</f>
        <v>ORD200302</v>
      </c>
      <c r="B304" s="11">
        <f>RawData!B304</f>
        <v>45062</v>
      </c>
      <c r="C304" s="7" t="str">
        <f>RawData!C304</f>
        <v>C29432</v>
      </c>
      <c r="D304" s="7" t="str">
        <f>RawData!D304</f>
        <v>Chair</v>
      </c>
      <c r="E304" s="7">
        <f>RawData!E304</f>
        <v>3</v>
      </c>
      <c r="F304" s="7">
        <f>RawData!F304</f>
        <v>468.74</v>
      </c>
      <c r="G304" s="7" t="str">
        <f>RawData!G304</f>
        <v>121 Main St</v>
      </c>
      <c r="H304" s="7" t="str">
        <f>RawData!H304</f>
        <v>Cash</v>
      </c>
      <c r="I304" s="7" t="str">
        <f>RawData!I304</f>
        <v>Pending</v>
      </c>
      <c r="J304" s="7" t="str">
        <f>RawData!J304</f>
        <v>TRK44142517</v>
      </c>
      <c r="K304" s="7">
        <f>RawData!K304</f>
        <v>4</v>
      </c>
      <c r="L304" s="7" t="str">
        <f>IF(RawData!L304="","No Coupon",RawData!L304)</f>
        <v>FREESHIP</v>
      </c>
      <c r="M304" s="7" t="str">
        <f>RawData!M304</f>
        <v>Instagram</v>
      </c>
      <c r="N304" s="7">
        <f>RawData!N304</f>
        <v>1406.22</v>
      </c>
    </row>
    <row r="305" spans="1:14" x14ac:dyDescent="0.3">
      <c r="A305" s="7" t="str">
        <f>RawData!A305</f>
        <v>ORD200303</v>
      </c>
      <c r="B305" s="11">
        <f>RawData!B305</f>
        <v>45633</v>
      </c>
      <c r="C305" s="7" t="str">
        <f>RawData!C305</f>
        <v>C48531</v>
      </c>
      <c r="D305" s="7" t="str">
        <f>RawData!D305</f>
        <v>Tablet</v>
      </c>
      <c r="E305" s="7">
        <f>RawData!E305</f>
        <v>1</v>
      </c>
      <c r="F305" s="7">
        <f>RawData!F305</f>
        <v>30.54</v>
      </c>
      <c r="G305" s="7" t="str">
        <f>RawData!G305</f>
        <v>368 Main St</v>
      </c>
      <c r="H305" s="7" t="str">
        <f>RawData!H305</f>
        <v>Debit Card</v>
      </c>
      <c r="I305" s="7" t="str">
        <f>RawData!I305</f>
        <v>Returned</v>
      </c>
      <c r="J305" s="7" t="str">
        <f>RawData!J305</f>
        <v>TRK95462192</v>
      </c>
      <c r="K305" s="7">
        <f>RawData!K305</f>
        <v>1</v>
      </c>
      <c r="L305" s="7" t="str">
        <f>IF(RawData!L305="","No Coupon",RawData!L305)</f>
        <v>No Coupon</v>
      </c>
      <c r="M305" s="7" t="str">
        <f>RawData!M305</f>
        <v>Google</v>
      </c>
      <c r="N305" s="7">
        <f>RawData!N305</f>
        <v>30.54</v>
      </c>
    </row>
    <row r="306" spans="1:14" x14ac:dyDescent="0.3">
      <c r="A306" s="7" t="str">
        <f>RawData!A306</f>
        <v>ORD200304</v>
      </c>
      <c r="B306" s="11">
        <f>RawData!B306</f>
        <v>45583</v>
      </c>
      <c r="C306" s="7" t="str">
        <f>RawData!C306</f>
        <v>C86762</v>
      </c>
      <c r="D306" s="7" t="str">
        <f>RawData!D306</f>
        <v>Monitor</v>
      </c>
      <c r="E306" s="7">
        <f>RawData!E306</f>
        <v>5</v>
      </c>
      <c r="F306" s="7">
        <f>RawData!F306</f>
        <v>408.73</v>
      </c>
      <c r="G306" s="7" t="str">
        <f>RawData!G306</f>
        <v>326 Main St</v>
      </c>
      <c r="H306" s="7" t="str">
        <f>RawData!H306</f>
        <v>Gift Card</v>
      </c>
      <c r="I306" s="7" t="str">
        <f>RawData!I306</f>
        <v>Delivered</v>
      </c>
      <c r="J306" s="7" t="str">
        <f>RawData!J306</f>
        <v>TRK75686292</v>
      </c>
      <c r="K306" s="7">
        <f>RawData!K306</f>
        <v>10</v>
      </c>
      <c r="L306" s="7" t="str">
        <f>IF(RawData!L306="","No Coupon",RawData!L306)</f>
        <v>FREESHIP</v>
      </c>
      <c r="M306" s="7" t="str">
        <f>RawData!M306</f>
        <v>Instagram</v>
      </c>
      <c r="N306" s="7">
        <f>RawData!N306</f>
        <v>2043.65</v>
      </c>
    </row>
    <row r="307" spans="1:14" x14ac:dyDescent="0.3">
      <c r="A307" s="7" t="str">
        <f>RawData!A307</f>
        <v>ORD200305</v>
      </c>
      <c r="B307" s="11">
        <f>RawData!B307</f>
        <v>45255</v>
      </c>
      <c r="C307" s="7" t="str">
        <f>RawData!C307</f>
        <v>C63822</v>
      </c>
      <c r="D307" s="7" t="str">
        <f>RawData!D307</f>
        <v>Laptop</v>
      </c>
      <c r="E307" s="7">
        <f>RawData!E307</f>
        <v>4</v>
      </c>
      <c r="F307" s="7">
        <f>RawData!F307</f>
        <v>126.89</v>
      </c>
      <c r="G307" s="7" t="str">
        <f>RawData!G307</f>
        <v>235 Main St</v>
      </c>
      <c r="H307" s="7" t="str">
        <f>RawData!H307</f>
        <v>Cash</v>
      </c>
      <c r="I307" s="7" t="str">
        <f>RawData!I307</f>
        <v>Pending</v>
      </c>
      <c r="J307" s="7" t="str">
        <f>RawData!J307</f>
        <v>TRK59353216</v>
      </c>
      <c r="K307" s="7">
        <f>RawData!K307</f>
        <v>9</v>
      </c>
      <c r="L307" s="7" t="str">
        <f>IF(RawData!L307="","No Coupon",RawData!L307)</f>
        <v>FREESHIP</v>
      </c>
      <c r="M307" s="7" t="str">
        <f>RawData!M307</f>
        <v>Instagram</v>
      </c>
      <c r="N307" s="7">
        <f>RawData!N307</f>
        <v>507.56</v>
      </c>
    </row>
    <row r="308" spans="1:14" x14ac:dyDescent="0.3">
      <c r="A308" s="7" t="str">
        <f>RawData!A308</f>
        <v>ORD200306</v>
      </c>
      <c r="B308" s="11">
        <f>RawData!B308</f>
        <v>45450</v>
      </c>
      <c r="C308" s="7" t="str">
        <f>RawData!C308</f>
        <v>C70495</v>
      </c>
      <c r="D308" s="7" t="str">
        <f>RawData!D308</f>
        <v>Printer</v>
      </c>
      <c r="E308" s="7">
        <f>RawData!E308</f>
        <v>2</v>
      </c>
      <c r="F308" s="7">
        <f>RawData!F308</f>
        <v>57.07</v>
      </c>
      <c r="G308" s="7" t="str">
        <f>RawData!G308</f>
        <v>238 Main St</v>
      </c>
      <c r="H308" s="7" t="str">
        <f>RawData!H308</f>
        <v>Debit Card</v>
      </c>
      <c r="I308" s="7" t="str">
        <f>RawData!I308</f>
        <v>Returned</v>
      </c>
      <c r="J308" s="7" t="str">
        <f>RawData!J308</f>
        <v>TRK65511225</v>
      </c>
      <c r="K308" s="7">
        <f>RawData!K308</f>
        <v>3</v>
      </c>
      <c r="L308" s="7" t="str">
        <f>IF(RawData!L308="","No Coupon",RawData!L308)</f>
        <v>SAVE10</v>
      </c>
      <c r="M308" s="7" t="str">
        <f>RawData!M308</f>
        <v>Instagram</v>
      </c>
      <c r="N308" s="7">
        <f>RawData!N308</f>
        <v>114.14</v>
      </c>
    </row>
    <row r="309" spans="1:14" x14ac:dyDescent="0.3">
      <c r="A309" s="7" t="str">
        <f>RawData!A309</f>
        <v>ORD200307</v>
      </c>
      <c r="B309" s="11">
        <f>RawData!B309</f>
        <v>45108</v>
      </c>
      <c r="C309" s="7" t="str">
        <f>RawData!C309</f>
        <v>C92407</v>
      </c>
      <c r="D309" s="7" t="str">
        <f>RawData!D309</f>
        <v>Laptop</v>
      </c>
      <c r="E309" s="7">
        <f>RawData!E309</f>
        <v>3</v>
      </c>
      <c r="F309" s="7">
        <f>RawData!F309</f>
        <v>557.41</v>
      </c>
      <c r="G309" s="7" t="str">
        <f>RawData!G309</f>
        <v>135 Main St</v>
      </c>
      <c r="H309" s="7" t="str">
        <f>RawData!H309</f>
        <v>Online</v>
      </c>
      <c r="I309" s="7" t="str">
        <f>RawData!I309</f>
        <v>Delivered</v>
      </c>
      <c r="J309" s="7" t="str">
        <f>RawData!J309</f>
        <v>TRK11755610</v>
      </c>
      <c r="K309" s="7">
        <f>RawData!K309</f>
        <v>4</v>
      </c>
      <c r="L309" s="7" t="str">
        <f>IF(RawData!L309="","No Coupon",RawData!L309)</f>
        <v>No Coupon</v>
      </c>
      <c r="M309" s="7" t="str">
        <f>RawData!M309</f>
        <v>Email</v>
      </c>
      <c r="N309" s="7">
        <f>RawData!N309</f>
        <v>1672.23</v>
      </c>
    </row>
    <row r="310" spans="1:14" x14ac:dyDescent="0.3">
      <c r="A310" s="7" t="str">
        <f>RawData!A310</f>
        <v>ORD200308</v>
      </c>
      <c r="B310" s="11">
        <f>RawData!B310</f>
        <v>45271</v>
      </c>
      <c r="C310" s="7" t="str">
        <f>RawData!C310</f>
        <v>C75888</v>
      </c>
      <c r="D310" s="7" t="str">
        <f>RawData!D310</f>
        <v>Printer</v>
      </c>
      <c r="E310" s="7">
        <f>RawData!E310</f>
        <v>3</v>
      </c>
      <c r="F310" s="7">
        <f>RawData!F310</f>
        <v>448.9</v>
      </c>
      <c r="G310" s="7" t="str">
        <f>RawData!G310</f>
        <v>790 Main St</v>
      </c>
      <c r="H310" s="7" t="str">
        <f>RawData!H310</f>
        <v>Debit Card</v>
      </c>
      <c r="I310" s="7" t="str">
        <f>RawData!I310</f>
        <v>Returned</v>
      </c>
      <c r="J310" s="7" t="str">
        <f>RawData!J310</f>
        <v>TRK98467398</v>
      </c>
      <c r="K310" s="7">
        <f>RawData!K310</f>
        <v>7</v>
      </c>
      <c r="L310" s="7" t="str">
        <f>IF(RawData!L310="","No Coupon",RawData!L310)</f>
        <v>SAVE10</v>
      </c>
      <c r="M310" s="7" t="str">
        <f>RawData!M310</f>
        <v>Instagram</v>
      </c>
      <c r="N310" s="7">
        <f>RawData!N310</f>
        <v>1346.7</v>
      </c>
    </row>
    <row r="311" spans="1:14" x14ac:dyDescent="0.3">
      <c r="A311" s="7" t="str">
        <f>RawData!A311</f>
        <v>ORD200309</v>
      </c>
      <c r="B311" s="11">
        <f>RawData!B311</f>
        <v>45202</v>
      </c>
      <c r="C311" s="7" t="str">
        <f>RawData!C311</f>
        <v>C63153</v>
      </c>
      <c r="D311" s="7" t="str">
        <f>RawData!D311</f>
        <v>Chair</v>
      </c>
      <c r="E311" s="7">
        <f>RawData!E311</f>
        <v>4</v>
      </c>
      <c r="F311" s="7">
        <f>RawData!F311</f>
        <v>549.76</v>
      </c>
      <c r="G311" s="7" t="str">
        <f>RawData!G311</f>
        <v>625 Main St</v>
      </c>
      <c r="H311" s="7" t="str">
        <f>RawData!H311</f>
        <v>Debit Card</v>
      </c>
      <c r="I311" s="7" t="str">
        <f>RawData!I311</f>
        <v>Delivered</v>
      </c>
      <c r="J311" s="7" t="str">
        <f>RawData!J311</f>
        <v>TRK38033305</v>
      </c>
      <c r="K311" s="7">
        <f>RawData!K311</f>
        <v>4</v>
      </c>
      <c r="L311" s="7" t="str">
        <f>IF(RawData!L311="","No Coupon",RawData!L311)</f>
        <v>FREESHIP</v>
      </c>
      <c r="M311" s="7" t="str">
        <f>RawData!M311</f>
        <v>Facebook</v>
      </c>
      <c r="N311" s="7">
        <f>RawData!N311</f>
        <v>2199.04</v>
      </c>
    </row>
    <row r="312" spans="1:14" x14ac:dyDescent="0.3">
      <c r="A312" s="7" t="str">
        <f>RawData!A312</f>
        <v>ORD200310</v>
      </c>
      <c r="B312" s="11">
        <f>RawData!B312</f>
        <v>45346</v>
      </c>
      <c r="C312" s="7" t="str">
        <f>RawData!C312</f>
        <v>C85863</v>
      </c>
      <c r="D312" s="7" t="str">
        <f>RawData!D312</f>
        <v>Printer</v>
      </c>
      <c r="E312" s="7">
        <f>RawData!E312</f>
        <v>3</v>
      </c>
      <c r="F312" s="7">
        <f>RawData!F312</f>
        <v>132.47999999999999</v>
      </c>
      <c r="G312" s="7" t="str">
        <f>RawData!G312</f>
        <v>968 Main St</v>
      </c>
      <c r="H312" s="7" t="str">
        <f>RawData!H312</f>
        <v>Online</v>
      </c>
      <c r="I312" s="7" t="str">
        <f>RawData!I312</f>
        <v>Shipped</v>
      </c>
      <c r="J312" s="7" t="str">
        <f>RawData!J312</f>
        <v>TRK16094218</v>
      </c>
      <c r="K312" s="7">
        <f>RawData!K312</f>
        <v>4</v>
      </c>
      <c r="L312" s="7" t="str">
        <f>IF(RawData!L312="","No Coupon",RawData!L312)</f>
        <v>No Coupon</v>
      </c>
      <c r="M312" s="7" t="str">
        <f>RawData!M312</f>
        <v>Referral</v>
      </c>
      <c r="N312" s="7">
        <f>RawData!N312</f>
        <v>397.44</v>
      </c>
    </row>
    <row r="313" spans="1:14" x14ac:dyDescent="0.3">
      <c r="A313" s="7" t="str">
        <f>RawData!A313</f>
        <v>ORD200311</v>
      </c>
      <c r="B313" s="11">
        <f>RawData!B313</f>
        <v>45794</v>
      </c>
      <c r="C313" s="7" t="str">
        <f>RawData!C313</f>
        <v>C71698</v>
      </c>
      <c r="D313" s="7" t="str">
        <f>RawData!D313</f>
        <v>Desk</v>
      </c>
      <c r="E313" s="7">
        <f>RawData!E313</f>
        <v>5</v>
      </c>
      <c r="F313" s="7">
        <f>RawData!F313</f>
        <v>489.37</v>
      </c>
      <c r="G313" s="7" t="str">
        <f>RawData!G313</f>
        <v>274 Main St</v>
      </c>
      <c r="H313" s="7" t="str">
        <f>RawData!H313</f>
        <v>Online</v>
      </c>
      <c r="I313" s="7" t="str">
        <f>RawData!I313</f>
        <v>Returned</v>
      </c>
      <c r="J313" s="7" t="str">
        <f>RawData!J313</f>
        <v>TRK34786818</v>
      </c>
      <c r="K313" s="7">
        <f>RawData!K313</f>
        <v>8</v>
      </c>
      <c r="L313" s="7" t="str">
        <f>IF(RawData!L313="","No Coupon",RawData!L313)</f>
        <v>No Coupon</v>
      </c>
      <c r="M313" s="7" t="str">
        <f>RawData!M313</f>
        <v>Instagram</v>
      </c>
      <c r="N313" s="7">
        <f>RawData!N313</f>
        <v>2446.85</v>
      </c>
    </row>
    <row r="314" spans="1:14" x14ac:dyDescent="0.3">
      <c r="A314" s="7" t="str">
        <f>RawData!A314</f>
        <v>ORD200312</v>
      </c>
      <c r="B314" s="11">
        <f>RawData!B314</f>
        <v>45801</v>
      </c>
      <c r="C314" s="7" t="str">
        <f>RawData!C314</f>
        <v>C35397</v>
      </c>
      <c r="D314" s="7" t="str">
        <f>RawData!D314</f>
        <v>Printer</v>
      </c>
      <c r="E314" s="7">
        <f>RawData!E314</f>
        <v>5</v>
      </c>
      <c r="F314" s="7">
        <f>RawData!F314</f>
        <v>66.31</v>
      </c>
      <c r="G314" s="7" t="str">
        <f>RawData!G314</f>
        <v>579 Main St</v>
      </c>
      <c r="H314" s="7" t="str">
        <f>RawData!H314</f>
        <v>Gift Card</v>
      </c>
      <c r="I314" s="7" t="str">
        <f>RawData!I314</f>
        <v>Pending</v>
      </c>
      <c r="J314" s="7" t="str">
        <f>RawData!J314</f>
        <v>TRK64742535</v>
      </c>
      <c r="K314" s="7">
        <f>RawData!K314</f>
        <v>7</v>
      </c>
      <c r="L314" s="7" t="str">
        <f>IF(RawData!L314="","No Coupon",RawData!L314)</f>
        <v>FREESHIP</v>
      </c>
      <c r="M314" s="7" t="str">
        <f>RawData!M314</f>
        <v>Referral</v>
      </c>
      <c r="N314" s="7">
        <f>RawData!N314</f>
        <v>331.55</v>
      </c>
    </row>
    <row r="315" spans="1:14" x14ac:dyDescent="0.3">
      <c r="A315" s="7" t="str">
        <f>RawData!A315</f>
        <v>ORD200313</v>
      </c>
      <c r="B315" s="11">
        <f>RawData!B315</f>
        <v>45116</v>
      </c>
      <c r="C315" s="7" t="str">
        <f>RawData!C315</f>
        <v>C67687</v>
      </c>
      <c r="D315" s="7" t="str">
        <f>RawData!D315</f>
        <v>Chair</v>
      </c>
      <c r="E315" s="7">
        <f>RawData!E315</f>
        <v>2</v>
      </c>
      <c r="F315" s="7">
        <f>RawData!F315</f>
        <v>434.3</v>
      </c>
      <c r="G315" s="7" t="str">
        <f>RawData!G315</f>
        <v>978 Main St</v>
      </c>
      <c r="H315" s="7" t="str">
        <f>RawData!H315</f>
        <v>Cash</v>
      </c>
      <c r="I315" s="7" t="str">
        <f>RawData!I315</f>
        <v>Delivered</v>
      </c>
      <c r="J315" s="7" t="str">
        <f>RawData!J315</f>
        <v>TRK22838735</v>
      </c>
      <c r="K315" s="7">
        <f>RawData!K315</f>
        <v>7</v>
      </c>
      <c r="L315" s="7" t="str">
        <f>IF(RawData!L315="","No Coupon",RawData!L315)</f>
        <v>SAVE10</v>
      </c>
      <c r="M315" s="7" t="str">
        <f>RawData!M315</f>
        <v>Instagram</v>
      </c>
      <c r="N315" s="7">
        <f>RawData!N315</f>
        <v>868.6</v>
      </c>
    </row>
    <row r="316" spans="1:14" x14ac:dyDescent="0.3">
      <c r="A316" s="7" t="str">
        <f>RawData!A316</f>
        <v>ORD200314</v>
      </c>
      <c r="B316" s="11">
        <f>RawData!B316</f>
        <v>45203</v>
      </c>
      <c r="C316" s="7" t="str">
        <f>RawData!C316</f>
        <v>C29931</v>
      </c>
      <c r="D316" s="7" t="str">
        <f>RawData!D316</f>
        <v>Desk</v>
      </c>
      <c r="E316" s="7">
        <f>RawData!E316</f>
        <v>4</v>
      </c>
      <c r="F316" s="7">
        <f>RawData!F316</f>
        <v>153.09</v>
      </c>
      <c r="G316" s="7" t="str">
        <f>RawData!G316</f>
        <v>540 Main St</v>
      </c>
      <c r="H316" s="7" t="str">
        <f>RawData!H316</f>
        <v>Online</v>
      </c>
      <c r="I316" s="7" t="str">
        <f>RawData!I316</f>
        <v>Delivered</v>
      </c>
      <c r="J316" s="7" t="str">
        <f>RawData!J316</f>
        <v>TRK48712417</v>
      </c>
      <c r="K316" s="7">
        <f>RawData!K316</f>
        <v>4</v>
      </c>
      <c r="L316" s="7" t="str">
        <f>IF(RawData!L316="","No Coupon",RawData!L316)</f>
        <v>FREESHIP</v>
      </c>
      <c r="M316" s="7" t="str">
        <f>RawData!M316</f>
        <v>Referral</v>
      </c>
      <c r="N316" s="7">
        <f>RawData!N316</f>
        <v>612.36</v>
      </c>
    </row>
    <row r="317" spans="1:14" x14ac:dyDescent="0.3">
      <c r="A317" s="7" t="str">
        <f>RawData!A317</f>
        <v>ORD200315</v>
      </c>
      <c r="B317" s="11">
        <f>RawData!B317</f>
        <v>45789</v>
      </c>
      <c r="C317" s="7" t="str">
        <f>RawData!C317</f>
        <v>C59139</v>
      </c>
      <c r="D317" s="7" t="str">
        <f>RawData!D317</f>
        <v>Tablet</v>
      </c>
      <c r="E317" s="7">
        <f>RawData!E317</f>
        <v>5</v>
      </c>
      <c r="F317" s="7">
        <f>RawData!F317</f>
        <v>91.67</v>
      </c>
      <c r="G317" s="7" t="str">
        <f>RawData!G317</f>
        <v>301 Main St</v>
      </c>
      <c r="H317" s="7" t="str">
        <f>RawData!H317</f>
        <v>Online</v>
      </c>
      <c r="I317" s="7" t="str">
        <f>RawData!I317</f>
        <v>Cancelled</v>
      </c>
      <c r="J317" s="7" t="str">
        <f>RawData!J317</f>
        <v>TRK45507090</v>
      </c>
      <c r="K317" s="7">
        <f>RawData!K317</f>
        <v>9</v>
      </c>
      <c r="L317" s="7" t="str">
        <f>IF(RawData!L317="","No Coupon",RawData!L317)</f>
        <v>FREESHIP</v>
      </c>
      <c r="M317" s="7" t="str">
        <f>RawData!M317</f>
        <v>Email</v>
      </c>
      <c r="N317" s="7">
        <f>RawData!N317</f>
        <v>458.35</v>
      </c>
    </row>
    <row r="318" spans="1:14" x14ac:dyDescent="0.3">
      <c r="A318" s="7" t="str">
        <f>RawData!A318</f>
        <v>ORD200316</v>
      </c>
      <c r="B318" s="11">
        <f>RawData!B318</f>
        <v>45201</v>
      </c>
      <c r="C318" s="7" t="str">
        <f>RawData!C318</f>
        <v>C66078</v>
      </c>
      <c r="D318" s="7" t="str">
        <f>RawData!D318</f>
        <v>Desk</v>
      </c>
      <c r="E318" s="7">
        <f>RawData!E318</f>
        <v>4</v>
      </c>
      <c r="F318" s="7">
        <f>RawData!F318</f>
        <v>275.27999999999997</v>
      </c>
      <c r="G318" s="7" t="str">
        <f>RawData!G318</f>
        <v>101 Main St</v>
      </c>
      <c r="H318" s="7" t="str">
        <f>RawData!H318</f>
        <v>Gift Card</v>
      </c>
      <c r="I318" s="7" t="str">
        <f>RawData!I318</f>
        <v>Shipped</v>
      </c>
      <c r="J318" s="7" t="str">
        <f>RawData!J318</f>
        <v>TRK86474559</v>
      </c>
      <c r="K318" s="7">
        <f>RawData!K318</f>
        <v>9</v>
      </c>
      <c r="L318" s="7" t="str">
        <f>IF(RawData!L318="","No Coupon",RawData!L318)</f>
        <v>WINTER15</v>
      </c>
      <c r="M318" s="7" t="str">
        <f>RawData!M318</f>
        <v>Facebook</v>
      </c>
      <c r="N318" s="7">
        <f>RawData!N318</f>
        <v>1101.1199999999999</v>
      </c>
    </row>
    <row r="319" spans="1:14" x14ac:dyDescent="0.3">
      <c r="A319" s="7" t="str">
        <f>RawData!A319</f>
        <v>ORD200317</v>
      </c>
      <c r="B319" s="11">
        <f>RawData!B319</f>
        <v>45026</v>
      </c>
      <c r="C319" s="7" t="str">
        <f>RawData!C319</f>
        <v>C88370</v>
      </c>
      <c r="D319" s="7" t="str">
        <f>RawData!D319</f>
        <v>Monitor</v>
      </c>
      <c r="E319" s="7">
        <f>RawData!E319</f>
        <v>2</v>
      </c>
      <c r="F319" s="7">
        <f>RawData!F319</f>
        <v>139.94999999999999</v>
      </c>
      <c r="G319" s="7" t="str">
        <f>RawData!G319</f>
        <v>339 Main St</v>
      </c>
      <c r="H319" s="7" t="str">
        <f>RawData!H319</f>
        <v>Online</v>
      </c>
      <c r="I319" s="7" t="str">
        <f>RawData!I319</f>
        <v>Returned</v>
      </c>
      <c r="J319" s="7" t="str">
        <f>RawData!J319</f>
        <v>TRK22575151</v>
      </c>
      <c r="K319" s="7">
        <f>RawData!K319</f>
        <v>5</v>
      </c>
      <c r="L319" s="7" t="str">
        <f>IF(RawData!L319="","No Coupon",RawData!L319)</f>
        <v>No Coupon</v>
      </c>
      <c r="M319" s="7" t="str">
        <f>RawData!M319</f>
        <v>Instagram</v>
      </c>
      <c r="N319" s="7">
        <f>RawData!N319</f>
        <v>279.89999999999998</v>
      </c>
    </row>
    <row r="320" spans="1:14" x14ac:dyDescent="0.3">
      <c r="A320" s="7" t="str">
        <f>RawData!A320</f>
        <v>ORD200318</v>
      </c>
      <c r="B320" s="11">
        <f>RawData!B320</f>
        <v>45500</v>
      </c>
      <c r="C320" s="7" t="str">
        <f>RawData!C320</f>
        <v>C93375</v>
      </c>
      <c r="D320" s="7" t="str">
        <f>RawData!D320</f>
        <v>Chair</v>
      </c>
      <c r="E320" s="7">
        <f>RawData!E320</f>
        <v>3</v>
      </c>
      <c r="F320" s="7">
        <f>RawData!F320</f>
        <v>148.72</v>
      </c>
      <c r="G320" s="7" t="str">
        <f>RawData!G320</f>
        <v>317 Main St</v>
      </c>
      <c r="H320" s="7" t="str">
        <f>RawData!H320</f>
        <v>Debit Card</v>
      </c>
      <c r="I320" s="7" t="str">
        <f>RawData!I320</f>
        <v>Cancelled</v>
      </c>
      <c r="J320" s="7" t="str">
        <f>RawData!J320</f>
        <v>TRK95706967</v>
      </c>
      <c r="K320" s="7">
        <f>RawData!K320</f>
        <v>7</v>
      </c>
      <c r="L320" s="7" t="str">
        <f>IF(RawData!L320="","No Coupon",RawData!L320)</f>
        <v>SAVE10</v>
      </c>
      <c r="M320" s="7" t="str">
        <f>RawData!M320</f>
        <v>Google</v>
      </c>
      <c r="N320" s="7">
        <f>RawData!N320</f>
        <v>446.16</v>
      </c>
    </row>
    <row r="321" spans="1:14" x14ac:dyDescent="0.3">
      <c r="A321" s="7" t="str">
        <f>RawData!A321</f>
        <v>ORD200319</v>
      </c>
      <c r="B321" s="11">
        <f>RawData!B321</f>
        <v>45262</v>
      </c>
      <c r="C321" s="7" t="str">
        <f>RawData!C321</f>
        <v>C53049</v>
      </c>
      <c r="D321" s="7" t="str">
        <f>RawData!D321</f>
        <v>Laptop</v>
      </c>
      <c r="E321" s="7">
        <f>RawData!E321</f>
        <v>2</v>
      </c>
      <c r="F321" s="7">
        <f>RawData!F321</f>
        <v>563.05999999999995</v>
      </c>
      <c r="G321" s="7" t="str">
        <f>RawData!G321</f>
        <v>413 Main St</v>
      </c>
      <c r="H321" s="7" t="str">
        <f>RawData!H321</f>
        <v>Cash</v>
      </c>
      <c r="I321" s="7" t="str">
        <f>RawData!I321</f>
        <v>Returned</v>
      </c>
      <c r="J321" s="7" t="str">
        <f>RawData!J321</f>
        <v>TRK48974907</v>
      </c>
      <c r="K321" s="7">
        <f>RawData!K321</f>
        <v>6</v>
      </c>
      <c r="L321" s="7" t="str">
        <f>IF(RawData!L321="","No Coupon",RawData!L321)</f>
        <v>No Coupon</v>
      </c>
      <c r="M321" s="7" t="str">
        <f>RawData!M321</f>
        <v>Instagram</v>
      </c>
      <c r="N321" s="7">
        <f>RawData!N321</f>
        <v>1126.1199999999999</v>
      </c>
    </row>
    <row r="322" spans="1:14" x14ac:dyDescent="0.3">
      <c r="A322" s="7" t="str">
        <f>RawData!A322</f>
        <v>ORD200320</v>
      </c>
      <c r="B322" s="11">
        <f>RawData!B322</f>
        <v>45645</v>
      </c>
      <c r="C322" s="7" t="str">
        <f>RawData!C322</f>
        <v>C55590</v>
      </c>
      <c r="D322" s="7" t="str">
        <f>RawData!D322</f>
        <v>Printer</v>
      </c>
      <c r="E322" s="7">
        <f>RawData!E322</f>
        <v>1</v>
      </c>
      <c r="F322" s="7">
        <f>RawData!F322</f>
        <v>625.51</v>
      </c>
      <c r="G322" s="7" t="str">
        <f>RawData!G322</f>
        <v>772 Main St</v>
      </c>
      <c r="H322" s="7" t="str">
        <f>RawData!H322</f>
        <v>Credit Card</v>
      </c>
      <c r="I322" s="7" t="str">
        <f>RawData!I322</f>
        <v>Shipped</v>
      </c>
      <c r="J322" s="7" t="str">
        <f>RawData!J322</f>
        <v>TRK48792951</v>
      </c>
      <c r="K322" s="7">
        <f>RawData!K322</f>
        <v>1</v>
      </c>
      <c r="L322" s="7" t="str">
        <f>IF(RawData!L322="","No Coupon",RawData!L322)</f>
        <v>FREESHIP</v>
      </c>
      <c r="M322" s="7" t="str">
        <f>RawData!M322</f>
        <v>Facebook</v>
      </c>
      <c r="N322" s="7">
        <f>RawData!N322</f>
        <v>625.51</v>
      </c>
    </row>
    <row r="323" spans="1:14" x14ac:dyDescent="0.3">
      <c r="A323" s="7" t="str">
        <f>RawData!A323</f>
        <v>ORD200321</v>
      </c>
      <c r="B323" s="11">
        <f>RawData!B323</f>
        <v>45147</v>
      </c>
      <c r="C323" s="7" t="str">
        <f>RawData!C323</f>
        <v>C47086</v>
      </c>
      <c r="D323" s="7" t="str">
        <f>RawData!D323</f>
        <v>Phone</v>
      </c>
      <c r="E323" s="7">
        <f>RawData!E323</f>
        <v>4</v>
      </c>
      <c r="F323" s="7">
        <f>RawData!F323</f>
        <v>152.29</v>
      </c>
      <c r="G323" s="7" t="str">
        <f>RawData!G323</f>
        <v>135 Main St</v>
      </c>
      <c r="H323" s="7" t="str">
        <f>RawData!H323</f>
        <v>Debit Card</v>
      </c>
      <c r="I323" s="7" t="str">
        <f>RawData!I323</f>
        <v>Cancelled</v>
      </c>
      <c r="J323" s="7" t="str">
        <f>RawData!J323</f>
        <v>TRK44194358</v>
      </c>
      <c r="K323" s="7">
        <f>RawData!K323</f>
        <v>6</v>
      </c>
      <c r="L323" s="7" t="str">
        <f>IF(RawData!L323="","No Coupon",RawData!L323)</f>
        <v>WINTER15</v>
      </c>
      <c r="M323" s="7" t="str">
        <f>RawData!M323</f>
        <v>Google</v>
      </c>
      <c r="N323" s="7">
        <f>RawData!N323</f>
        <v>609.16</v>
      </c>
    </row>
    <row r="324" spans="1:14" x14ac:dyDescent="0.3">
      <c r="A324" s="7" t="str">
        <f>RawData!A324</f>
        <v>ORD200322</v>
      </c>
      <c r="B324" s="11">
        <f>RawData!B324</f>
        <v>45457</v>
      </c>
      <c r="C324" s="7" t="str">
        <f>RawData!C324</f>
        <v>C48646</v>
      </c>
      <c r="D324" s="7" t="str">
        <f>RawData!D324</f>
        <v>Phone</v>
      </c>
      <c r="E324" s="7">
        <f>RawData!E324</f>
        <v>5</v>
      </c>
      <c r="F324" s="7">
        <f>RawData!F324</f>
        <v>231.82</v>
      </c>
      <c r="G324" s="7" t="str">
        <f>RawData!G324</f>
        <v>339 Main St</v>
      </c>
      <c r="H324" s="7" t="str">
        <f>RawData!H324</f>
        <v>Debit Card</v>
      </c>
      <c r="I324" s="7" t="str">
        <f>RawData!I324</f>
        <v>Delivered</v>
      </c>
      <c r="J324" s="7" t="str">
        <f>RawData!J324</f>
        <v>TRK18233748</v>
      </c>
      <c r="K324" s="7">
        <f>RawData!K324</f>
        <v>6</v>
      </c>
      <c r="L324" s="7" t="str">
        <f>IF(RawData!L324="","No Coupon",RawData!L324)</f>
        <v>SAVE10</v>
      </c>
      <c r="M324" s="7" t="str">
        <f>RawData!M324</f>
        <v>Facebook</v>
      </c>
      <c r="N324" s="7">
        <f>RawData!N324</f>
        <v>1159.0999999999999</v>
      </c>
    </row>
    <row r="325" spans="1:14" x14ac:dyDescent="0.3">
      <c r="A325" s="7" t="str">
        <f>RawData!A325</f>
        <v>ORD200323</v>
      </c>
      <c r="B325" s="11">
        <f>RawData!B325</f>
        <v>45683</v>
      </c>
      <c r="C325" s="7" t="str">
        <f>RawData!C325</f>
        <v>C29416</v>
      </c>
      <c r="D325" s="7" t="str">
        <f>RawData!D325</f>
        <v>Laptop</v>
      </c>
      <c r="E325" s="7">
        <f>RawData!E325</f>
        <v>1</v>
      </c>
      <c r="F325" s="7">
        <f>RawData!F325</f>
        <v>150.16999999999999</v>
      </c>
      <c r="G325" s="7" t="str">
        <f>RawData!G325</f>
        <v>414 Main St</v>
      </c>
      <c r="H325" s="7" t="str">
        <f>RawData!H325</f>
        <v>Debit Card</v>
      </c>
      <c r="I325" s="7" t="str">
        <f>RawData!I325</f>
        <v>Returned</v>
      </c>
      <c r="J325" s="7" t="str">
        <f>RawData!J325</f>
        <v>TRK63820842</v>
      </c>
      <c r="K325" s="7">
        <f>RawData!K325</f>
        <v>1</v>
      </c>
      <c r="L325" s="7" t="str">
        <f>IF(RawData!L325="","No Coupon",RawData!L325)</f>
        <v>SAVE10</v>
      </c>
      <c r="M325" s="7" t="str">
        <f>RawData!M325</f>
        <v>Referral</v>
      </c>
      <c r="N325" s="7">
        <f>RawData!N325</f>
        <v>150.16999999999999</v>
      </c>
    </row>
    <row r="326" spans="1:14" x14ac:dyDescent="0.3">
      <c r="A326" s="7" t="str">
        <f>RawData!A326</f>
        <v>ORD200324</v>
      </c>
      <c r="B326" s="11">
        <f>RawData!B326</f>
        <v>45456</v>
      </c>
      <c r="C326" s="7" t="str">
        <f>RawData!C326</f>
        <v>C13525</v>
      </c>
      <c r="D326" s="7" t="str">
        <f>RawData!D326</f>
        <v>Tablet</v>
      </c>
      <c r="E326" s="7">
        <f>RawData!E326</f>
        <v>3</v>
      </c>
      <c r="F326" s="7">
        <f>RawData!F326</f>
        <v>70.930000000000007</v>
      </c>
      <c r="G326" s="7" t="str">
        <f>RawData!G326</f>
        <v>847 Main St</v>
      </c>
      <c r="H326" s="7" t="str">
        <f>RawData!H326</f>
        <v>Debit Card</v>
      </c>
      <c r="I326" s="7" t="str">
        <f>RawData!I326</f>
        <v>Returned</v>
      </c>
      <c r="J326" s="7" t="str">
        <f>RawData!J326</f>
        <v>TRK70193221</v>
      </c>
      <c r="K326" s="7">
        <f>RawData!K326</f>
        <v>5</v>
      </c>
      <c r="L326" s="7" t="str">
        <f>IF(RawData!L326="","No Coupon",RawData!L326)</f>
        <v>No Coupon</v>
      </c>
      <c r="M326" s="7" t="str">
        <f>RawData!M326</f>
        <v>Referral</v>
      </c>
      <c r="N326" s="7">
        <f>RawData!N326</f>
        <v>212.79</v>
      </c>
    </row>
    <row r="327" spans="1:14" x14ac:dyDescent="0.3">
      <c r="A327" s="7" t="str">
        <f>RawData!A327</f>
        <v>ORD200325</v>
      </c>
      <c r="B327" s="11">
        <f>RawData!B327</f>
        <v>45106</v>
      </c>
      <c r="C327" s="7" t="str">
        <f>RawData!C327</f>
        <v>C53545</v>
      </c>
      <c r="D327" s="7" t="str">
        <f>RawData!D327</f>
        <v>Desk</v>
      </c>
      <c r="E327" s="7">
        <f>RawData!E327</f>
        <v>3</v>
      </c>
      <c r="F327" s="7">
        <f>RawData!F327</f>
        <v>361.39</v>
      </c>
      <c r="G327" s="7" t="str">
        <f>RawData!G327</f>
        <v>665 Main St</v>
      </c>
      <c r="H327" s="7" t="str">
        <f>RawData!H327</f>
        <v>Credit Card</v>
      </c>
      <c r="I327" s="7" t="str">
        <f>RawData!I327</f>
        <v>Shipped</v>
      </c>
      <c r="J327" s="7" t="str">
        <f>RawData!J327</f>
        <v>TRK61123177</v>
      </c>
      <c r="K327" s="7">
        <f>RawData!K327</f>
        <v>8</v>
      </c>
      <c r="L327" s="7" t="str">
        <f>IF(RawData!L327="","No Coupon",RawData!L327)</f>
        <v>No Coupon</v>
      </c>
      <c r="M327" s="7" t="str">
        <f>RawData!M327</f>
        <v>Referral</v>
      </c>
      <c r="N327" s="7">
        <f>RawData!N327</f>
        <v>1084.17</v>
      </c>
    </row>
    <row r="328" spans="1:14" x14ac:dyDescent="0.3">
      <c r="A328" s="7" t="str">
        <f>RawData!A328</f>
        <v>ORD200326</v>
      </c>
      <c r="B328" s="11">
        <f>RawData!B328</f>
        <v>45474</v>
      </c>
      <c r="C328" s="7" t="str">
        <f>RawData!C328</f>
        <v>C65986</v>
      </c>
      <c r="D328" s="7" t="str">
        <f>RawData!D328</f>
        <v>Laptop</v>
      </c>
      <c r="E328" s="7">
        <f>RawData!E328</f>
        <v>5</v>
      </c>
      <c r="F328" s="7">
        <f>RawData!F328</f>
        <v>670.48</v>
      </c>
      <c r="G328" s="7" t="str">
        <f>RawData!G328</f>
        <v>273 Main St</v>
      </c>
      <c r="H328" s="7" t="str">
        <f>RawData!H328</f>
        <v>Gift Card</v>
      </c>
      <c r="I328" s="7" t="str">
        <f>RawData!I328</f>
        <v>Returned</v>
      </c>
      <c r="J328" s="7" t="str">
        <f>RawData!J328</f>
        <v>TRK98353867</v>
      </c>
      <c r="K328" s="7">
        <f>RawData!K328</f>
        <v>5</v>
      </c>
      <c r="L328" s="7" t="str">
        <f>IF(RawData!L328="","No Coupon",RawData!L328)</f>
        <v>SAVE10</v>
      </c>
      <c r="M328" s="7" t="str">
        <f>RawData!M328</f>
        <v>Facebook</v>
      </c>
      <c r="N328" s="7">
        <f>RawData!N328</f>
        <v>3352.4</v>
      </c>
    </row>
    <row r="329" spans="1:14" x14ac:dyDescent="0.3">
      <c r="A329" s="7" t="str">
        <f>RawData!A329</f>
        <v>ORD200327</v>
      </c>
      <c r="B329" s="11">
        <f>RawData!B329</f>
        <v>45132</v>
      </c>
      <c r="C329" s="7" t="str">
        <f>RawData!C329</f>
        <v>C17302</v>
      </c>
      <c r="D329" s="7" t="str">
        <f>RawData!D329</f>
        <v>Phone</v>
      </c>
      <c r="E329" s="7">
        <f>RawData!E329</f>
        <v>1</v>
      </c>
      <c r="F329" s="7">
        <f>RawData!F329</f>
        <v>359.99</v>
      </c>
      <c r="G329" s="7" t="str">
        <f>RawData!G329</f>
        <v>385 Main St</v>
      </c>
      <c r="H329" s="7" t="str">
        <f>RawData!H329</f>
        <v>Gift Card</v>
      </c>
      <c r="I329" s="7" t="str">
        <f>RawData!I329</f>
        <v>Cancelled</v>
      </c>
      <c r="J329" s="7" t="str">
        <f>RawData!J329</f>
        <v>TRK43940016</v>
      </c>
      <c r="K329" s="7">
        <f>RawData!K329</f>
        <v>5</v>
      </c>
      <c r="L329" s="7" t="str">
        <f>IF(RawData!L329="","No Coupon",RawData!L329)</f>
        <v>SAVE10</v>
      </c>
      <c r="M329" s="7" t="str">
        <f>RawData!M329</f>
        <v>Email</v>
      </c>
      <c r="N329" s="7">
        <f>RawData!N329</f>
        <v>359.99</v>
      </c>
    </row>
    <row r="330" spans="1:14" x14ac:dyDescent="0.3">
      <c r="A330" s="7" t="str">
        <f>RawData!A330</f>
        <v>ORD200328</v>
      </c>
      <c r="B330" s="11">
        <f>RawData!B330</f>
        <v>44985</v>
      </c>
      <c r="C330" s="7" t="str">
        <f>RawData!C330</f>
        <v>C18404</v>
      </c>
      <c r="D330" s="7" t="str">
        <f>RawData!D330</f>
        <v>Tablet</v>
      </c>
      <c r="E330" s="7">
        <f>RawData!E330</f>
        <v>5</v>
      </c>
      <c r="F330" s="7">
        <f>RawData!F330</f>
        <v>674.04</v>
      </c>
      <c r="G330" s="7" t="str">
        <f>RawData!G330</f>
        <v>546 Main St</v>
      </c>
      <c r="H330" s="7" t="str">
        <f>RawData!H330</f>
        <v>Online</v>
      </c>
      <c r="I330" s="7" t="str">
        <f>RawData!I330</f>
        <v>Cancelled</v>
      </c>
      <c r="J330" s="7" t="str">
        <f>RawData!J330</f>
        <v>TRK89401624</v>
      </c>
      <c r="K330" s="7">
        <f>RawData!K330</f>
        <v>7</v>
      </c>
      <c r="L330" s="7" t="str">
        <f>IF(RawData!L330="","No Coupon",RawData!L330)</f>
        <v>SAVE10</v>
      </c>
      <c r="M330" s="7" t="str">
        <f>RawData!M330</f>
        <v>Google</v>
      </c>
      <c r="N330" s="7">
        <f>RawData!N330</f>
        <v>3370.2</v>
      </c>
    </row>
    <row r="331" spans="1:14" x14ac:dyDescent="0.3">
      <c r="A331" s="7" t="str">
        <f>RawData!A331</f>
        <v>ORD200329</v>
      </c>
      <c r="B331" s="11">
        <f>RawData!B331</f>
        <v>45651</v>
      </c>
      <c r="C331" s="7" t="str">
        <f>RawData!C331</f>
        <v>C88371</v>
      </c>
      <c r="D331" s="7" t="str">
        <f>RawData!D331</f>
        <v>Chair</v>
      </c>
      <c r="E331" s="7">
        <f>RawData!E331</f>
        <v>4</v>
      </c>
      <c r="F331" s="7">
        <f>RawData!F331</f>
        <v>283.16000000000003</v>
      </c>
      <c r="G331" s="7" t="str">
        <f>RawData!G331</f>
        <v>306 Main St</v>
      </c>
      <c r="H331" s="7" t="str">
        <f>RawData!H331</f>
        <v>Credit Card</v>
      </c>
      <c r="I331" s="7" t="str">
        <f>RawData!I331</f>
        <v>Shipped</v>
      </c>
      <c r="J331" s="7" t="str">
        <f>RawData!J331</f>
        <v>TRK63224811</v>
      </c>
      <c r="K331" s="7">
        <f>RawData!K331</f>
        <v>6</v>
      </c>
      <c r="L331" s="7" t="str">
        <f>IF(RawData!L331="","No Coupon",RawData!L331)</f>
        <v>No Coupon</v>
      </c>
      <c r="M331" s="7" t="str">
        <f>RawData!M331</f>
        <v>Google</v>
      </c>
      <c r="N331" s="7">
        <f>RawData!N331</f>
        <v>1132.6400000000001</v>
      </c>
    </row>
    <row r="332" spans="1:14" x14ac:dyDescent="0.3">
      <c r="A332" s="7" t="str">
        <f>RawData!A332</f>
        <v>ORD200330</v>
      </c>
      <c r="B332" s="11">
        <f>RawData!B332</f>
        <v>45445</v>
      </c>
      <c r="C332" s="7" t="str">
        <f>RawData!C332</f>
        <v>C38068</v>
      </c>
      <c r="D332" s="7" t="str">
        <f>RawData!D332</f>
        <v>Desk</v>
      </c>
      <c r="E332" s="7">
        <f>RawData!E332</f>
        <v>5</v>
      </c>
      <c r="F332" s="7">
        <f>RawData!F332</f>
        <v>260.52999999999997</v>
      </c>
      <c r="G332" s="7" t="str">
        <f>RawData!G332</f>
        <v>532 Main St</v>
      </c>
      <c r="H332" s="7" t="str">
        <f>RawData!H332</f>
        <v>Gift Card</v>
      </c>
      <c r="I332" s="7" t="str">
        <f>RawData!I332</f>
        <v>Pending</v>
      </c>
      <c r="J332" s="7" t="str">
        <f>RawData!J332</f>
        <v>TRK54059198</v>
      </c>
      <c r="K332" s="7">
        <f>RawData!K332</f>
        <v>5</v>
      </c>
      <c r="L332" s="7" t="str">
        <f>IF(RawData!L332="","No Coupon",RawData!L332)</f>
        <v>SAVE10</v>
      </c>
      <c r="M332" s="7" t="str">
        <f>RawData!M332</f>
        <v>Instagram</v>
      </c>
      <c r="N332" s="7">
        <f>RawData!N332</f>
        <v>1302.6500000000001</v>
      </c>
    </row>
    <row r="333" spans="1:14" x14ac:dyDescent="0.3">
      <c r="A333" s="7" t="str">
        <f>RawData!A333</f>
        <v>ORD200331</v>
      </c>
      <c r="B333" s="11">
        <f>RawData!B333</f>
        <v>45031</v>
      </c>
      <c r="C333" s="7" t="str">
        <f>RawData!C333</f>
        <v>C78724</v>
      </c>
      <c r="D333" s="7" t="str">
        <f>RawData!D333</f>
        <v>Printer</v>
      </c>
      <c r="E333" s="7">
        <f>RawData!E333</f>
        <v>3</v>
      </c>
      <c r="F333" s="7">
        <f>RawData!F333</f>
        <v>422.13</v>
      </c>
      <c r="G333" s="7" t="str">
        <f>RawData!G333</f>
        <v>187 Main St</v>
      </c>
      <c r="H333" s="7" t="str">
        <f>RawData!H333</f>
        <v>Online</v>
      </c>
      <c r="I333" s="7" t="str">
        <f>RawData!I333</f>
        <v>Delivered</v>
      </c>
      <c r="J333" s="7" t="str">
        <f>RawData!J333</f>
        <v>TRK25703134</v>
      </c>
      <c r="K333" s="7">
        <f>RawData!K333</f>
        <v>7</v>
      </c>
      <c r="L333" s="7" t="str">
        <f>IF(RawData!L333="","No Coupon",RawData!L333)</f>
        <v>SAVE10</v>
      </c>
      <c r="M333" s="7" t="str">
        <f>RawData!M333</f>
        <v>Facebook</v>
      </c>
      <c r="N333" s="7">
        <f>RawData!N333</f>
        <v>1266.3900000000001</v>
      </c>
    </row>
    <row r="334" spans="1:14" x14ac:dyDescent="0.3">
      <c r="A334" s="7" t="str">
        <f>RawData!A334</f>
        <v>ORD200332</v>
      </c>
      <c r="B334" s="11">
        <f>RawData!B334</f>
        <v>45476</v>
      </c>
      <c r="C334" s="7" t="str">
        <f>RawData!C334</f>
        <v>C26163</v>
      </c>
      <c r="D334" s="7" t="str">
        <f>RawData!D334</f>
        <v>Desk</v>
      </c>
      <c r="E334" s="7">
        <f>RawData!E334</f>
        <v>5</v>
      </c>
      <c r="F334" s="7">
        <f>RawData!F334</f>
        <v>125.02</v>
      </c>
      <c r="G334" s="7" t="str">
        <f>RawData!G334</f>
        <v>607 Main St</v>
      </c>
      <c r="H334" s="7" t="str">
        <f>RawData!H334</f>
        <v>Debit Card</v>
      </c>
      <c r="I334" s="7" t="str">
        <f>RawData!I334</f>
        <v>Pending</v>
      </c>
      <c r="J334" s="7" t="str">
        <f>RawData!J334</f>
        <v>TRK67499316</v>
      </c>
      <c r="K334" s="7">
        <f>RawData!K334</f>
        <v>9</v>
      </c>
      <c r="L334" s="7" t="str">
        <f>IF(RawData!L334="","No Coupon",RawData!L334)</f>
        <v>SAVE10</v>
      </c>
      <c r="M334" s="7" t="str">
        <f>RawData!M334</f>
        <v>Google</v>
      </c>
      <c r="N334" s="7">
        <f>RawData!N334</f>
        <v>625.1</v>
      </c>
    </row>
    <row r="335" spans="1:14" x14ac:dyDescent="0.3">
      <c r="A335" s="7" t="str">
        <f>RawData!A335</f>
        <v>ORD200333</v>
      </c>
      <c r="B335" s="11">
        <f>RawData!B335</f>
        <v>45398</v>
      </c>
      <c r="C335" s="7" t="str">
        <f>RawData!C335</f>
        <v>C87124</v>
      </c>
      <c r="D335" s="7" t="str">
        <f>RawData!D335</f>
        <v>Phone</v>
      </c>
      <c r="E335" s="7">
        <f>RawData!E335</f>
        <v>1</v>
      </c>
      <c r="F335" s="7">
        <f>RawData!F335</f>
        <v>198.51</v>
      </c>
      <c r="G335" s="7" t="str">
        <f>RawData!G335</f>
        <v>818 Main St</v>
      </c>
      <c r="H335" s="7" t="str">
        <f>RawData!H335</f>
        <v>Credit Card</v>
      </c>
      <c r="I335" s="7" t="str">
        <f>RawData!I335</f>
        <v>Returned</v>
      </c>
      <c r="J335" s="7" t="str">
        <f>RawData!J335</f>
        <v>TRK52086740</v>
      </c>
      <c r="K335" s="7">
        <f>RawData!K335</f>
        <v>5</v>
      </c>
      <c r="L335" s="7" t="str">
        <f>IF(RawData!L335="","No Coupon",RawData!L335)</f>
        <v>WINTER15</v>
      </c>
      <c r="M335" s="7" t="str">
        <f>RawData!M335</f>
        <v>Instagram</v>
      </c>
      <c r="N335" s="7">
        <f>RawData!N335</f>
        <v>198.51</v>
      </c>
    </row>
    <row r="336" spans="1:14" x14ac:dyDescent="0.3">
      <c r="A336" s="7" t="str">
        <f>RawData!A336</f>
        <v>ORD200334</v>
      </c>
      <c r="B336" s="11">
        <f>RawData!B336</f>
        <v>45377</v>
      </c>
      <c r="C336" s="7" t="str">
        <f>RawData!C336</f>
        <v>C90348</v>
      </c>
      <c r="D336" s="7" t="str">
        <f>RawData!D336</f>
        <v>Chair</v>
      </c>
      <c r="E336" s="7">
        <f>RawData!E336</f>
        <v>4</v>
      </c>
      <c r="F336" s="7">
        <f>RawData!F336</f>
        <v>224.75</v>
      </c>
      <c r="G336" s="7" t="str">
        <f>RawData!G336</f>
        <v>728 Main St</v>
      </c>
      <c r="H336" s="7" t="str">
        <f>RawData!H336</f>
        <v>Online</v>
      </c>
      <c r="I336" s="7" t="str">
        <f>RawData!I336</f>
        <v>Delivered</v>
      </c>
      <c r="J336" s="7" t="str">
        <f>RawData!J336</f>
        <v>TRK20635777</v>
      </c>
      <c r="K336" s="7">
        <f>RawData!K336</f>
        <v>7</v>
      </c>
      <c r="L336" s="7" t="str">
        <f>IF(RawData!L336="","No Coupon",RawData!L336)</f>
        <v>WINTER15</v>
      </c>
      <c r="M336" s="7" t="str">
        <f>RawData!M336</f>
        <v>Facebook</v>
      </c>
      <c r="N336" s="7">
        <f>RawData!N336</f>
        <v>899</v>
      </c>
    </row>
    <row r="337" spans="1:14" x14ac:dyDescent="0.3">
      <c r="A337" s="7" t="str">
        <f>RawData!A337</f>
        <v>ORD200335</v>
      </c>
      <c r="B337" s="11">
        <f>RawData!B337</f>
        <v>45719</v>
      </c>
      <c r="C337" s="7" t="str">
        <f>RawData!C337</f>
        <v>C58721</v>
      </c>
      <c r="D337" s="7" t="str">
        <f>RawData!D337</f>
        <v>Tablet</v>
      </c>
      <c r="E337" s="7">
        <f>RawData!E337</f>
        <v>3</v>
      </c>
      <c r="F337" s="7">
        <f>RawData!F337</f>
        <v>205.86</v>
      </c>
      <c r="G337" s="7" t="str">
        <f>RawData!G337</f>
        <v>978 Main St</v>
      </c>
      <c r="H337" s="7" t="str">
        <f>RawData!H337</f>
        <v>Gift Card</v>
      </c>
      <c r="I337" s="7" t="str">
        <f>RawData!I337</f>
        <v>Shipped</v>
      </c>
      <c r="J337" s="7" t="str">
        <f>RawData!J337</f>
        <v>TRK34801199</v>
      </c>
      <c r="K337" s="7">
        <f>RawData!K337</f>
        <v>4</v>
      </c>
      <c r="L337" s="7" t="str">
        <f>IF(RawData!L337="","No Coupon",RawData!L337)</f>
        <v>No Coupon</v>
      </c>
      <c r="M337" s="7" t="str">
        <f>RawData!M337</f>
        <v>Email</v>
      </c>
      <c r="N337" s="7">
        <f>RawData!N337</f>
        <v>617.58000000000004</v>
      </c>
    </row>
    <row r="338" spans="1:14" x14ac:dyDescent="0.3">
      <c r="A338" s="7" t="str">
        <f>RawData!A338</f>
        <v>ORD200336</v>
      </c>
      <c r="B338" s="11">
        <f>RawData!B338</f>
        <v>45289</v>
      </c>
      <c r="C338" s="7" t="str">
        <f>RawData!C338</f>
        <v>C88174</v>
      </c>
      <c r="D338" s="7" t="str">
        <f>RawData!D338</f>
        <v>Laptop</v>
      </c>
      <c r="E338" s="7">
        <f>RawData!E338</f>
        <v>1</v>
      </c>
      <c r="F338" s="7">
        <f>RawData!F338</f>
        <v>18.2</v>
      </c>
      <c r="G338" s="7" t="str">
        <f>RawData!G338</f>
        <v>441 Main St</v>
      </c>
      <c r="H338" s="7" t="str">
        <f>RawData!H338</f>
        <v>Debit Card</v>
      </c>
      <c r="I338" s="7" t="str">
        <f>RawData!I338</f>
        <v>Pending</v>
      </c>
      <c r="J338" s="7" t="str">
        <f>RawData!J338</f>
        <v>TRK10143345</v>
      </c>
      <c r="K338" s="7">
        <f>RawData!K338</f>
        <v>4</v>
      </c>
      <c r="L338" s="7" t="str">
        <f>IF(RawData!L338="","No Coupon",RawData!L338)</f>
        <v>SAVE10</v>
      </c>
      <c r="M338" s="7" t="str">
        <f>RawData!M338</f>
        <v>Instagram</v>
      </c>
      <c r="N338" s="7">
        <f>RawData!N338</f>
        <v>18.2</v>
      </c>
    </row>
    <row r="339" spans="1:14" x14ac:dyDescent="0.3">
      <c r="A339" s="7" t="str">
        <f>RawData!A339</f>
        <v>ORD200337</v>
      </c>
      <c r="B339" s="11">
        <f>RawData!B339</f>
        <v>45075</v>
      </c>
      <c r="C339" s="7" t="str">
        <f>RawData!C339</f>
        <v>C77763</v>
      </c>
      <c r="D339" s="7" t="str">
        <f>RawData!D339</f>
        <v>Tablet</v>
      </c>
      <c r="E339" s="7">
        <f>RawData!E339</f>
        <v>3</v>
      </c>
      <c r="F339" s="7">
        <f>RawData!F339</f>
        <v>502.77</v>
      </c>
      <c r="G339" s="7" t="str">
        <f>RawData!G339</f>
        <v>599 Main St</v>
      </c>
      <c r="H339" s="7" t="str">
        <f>RawData!H339</f>
        <v>Debit Card</v>
      </c>
      <c r="I339" s="7" t="str">
        <f>RawData!I339</f>
        <v>Returned</v>
      </c>
      <c r="J339" s="7" t="str">
        <f>RawData!J339</f>
        <v>TRK66980447</v>
      </c>
      <c r="K339" s="7">
        <f>RawData!K339</f>
        <v>8</v>
      </c>
      <c r="L339" s="7" t="str">
        <f>IF(RawData!L339="","No Coupon",RawData!L339)</f>
        <v>WINTER15</v>
      </c>
      <c r="M339" s="7" t="str">
        <f>RawData!M339</f>
        <v>Email</v>
      </c>
      <c r="N339" s="7">
        <f>RawData!N339</f>
        <v>1508.31</v>
      </c>
    </row>
    <row r="340" spans="1:14" x14ac:dyDescent="0.3">
      <c r="A340" s="7" t="str">
        <f>RawData!A340</f>
        <v>ORD200338</v>
      </c>
      <c r="B340" s="11">
        <f>RawData!B340</f>
        <v>45238</v>
      </c>
      <c r="C340" s="7" t="str">
        <f>RawData!C340</f>
        <v>C53627</v>
      </c>
      <c r="D340" s="7" t="str">
        <f>RawData!D340</f>
        <v>Phone</v>
      </c>
      <c r="E340" s="7">
        <f>RawData!E340</f>
        <v>5</v>
      </c>
      <c r="F340" s="7">
        <f>RawData!F340</f>
        <v>305.49</v>
      </c>
      <c r="G340" s="7" t="str">
        <f>RawData!G340</f>
        <v>704 Main St</v>
      </c>
      <c r="H340" s="7" t="str">
        <f>RawData!H340</f>
        <v>Debit Card</v>
      </c>
      <c r="I340" s="7" t="str">
        <f>RawData!I340</f>
        <v>Shipped</v>
      </c>
      <c r="J340" s="7" t="str">
        <f>RawData!J340</f>
        <v>TRK64112352</v>
      </c>
      <c r="K340" s="7">
        <f>RawData!K340</f>
        <v>10</v>
      </c>
      <c r="L340" s="7" t="str">
        <f>IF(RawData!L340="","No Coupon",RawData!L340)</f>
        <v>No Coupon</v>
      </c>
      <c r="M340" s="7" t="str">
        <f>RawData!M340</f>
        <v>Referral</v>
      </c>
      <c r="N340" s="7">
        <f>RawData!N340</f>
        <v>1527.45</v>
      </c>
    </row>
    <row r="341" spans="1:14" x14ac:dyDescent="0.3">
      <c r="A341" s="7" t="str">
        <f>RawData!A341</f>
        <v>ORD200339</v>
      </c>
      <c r="B341" s="11">
        <f>RawData!B341</f>
        <v>45392</v>
      </c>
      <c r="C341" s="7" t="str">
        <f>RawData!C341</f>
        <v>C84563</v>
      </c>
      <c r="D341" s="7" t="str">
        <f>RawData!D341</f>
        <v>Printer</v>
      </c>
      <c r="E341" s="7">
        <f>RawData!E341</f>
        <v>2</v>
      </c>
      <c r="F341" s="7">
        <f>RawData!F341</f>
        <v>236.33</v>
      </c>
      <c r="G341" s="7" t="str">
        <f>RawData!G341</f>
        <v>398 Main St</v>
      </c>
      <c r="H341" s="7" t="str">
        <f>RawData!H341</f>
        <v>Online</v>
      </c>
      <c r="I341" s="7" t="str">
        <f>RawData!I341</f>
        <v>Pending</v>
      </c>
      <c r="J341" s="7" t="str">
        <f>RawData!J341</f>
        <v>TRK62422797</v>
      </c>
      <c r="K341" s="7">
        <f>RawData!K341</f>
        <v>3</v>
      </c>
      <c r="L341" s="7" t="str">
        <f>IF(RawData!L341="","No Coupon",RawData!L341)</f>
        <v>SAVE10</v>
      </c>
      <c r="M341" s="7" t="str">
        <f>RawData!M341</f>
        <v>Instagram</v>
      </c>
      <c r="N341" s="7">
        <f>RawData!N341</f>
        <v>472.66</v>
      </c>
    </row>
    <row r="342" spans="1:14" x14ac:dyDescent="0.3">
      <c r="A342" s="7" t="str">
        <f>RawData!A342</f>
        <v>ORD200340</v>
      </c>
      <c r="B342" s="11">
        <f>RawData!B342</f>
        <v>45039</v>
      </c>
      <c r="C342" s="7" t="str">
        <f>RawData!C342</f>
        <v>C76207</v>
      </c>
      <c r="D342" s="7" t="str">
        <f>RawData!D342</f>
        <v>Laptop</v>
      </c>
      <c r="E342" s="7">
        <f>RawData!E342</f>
        <v>5</v>
      </c>
      <c r="F342" s="7">
        <f>RawData!F342</f>
        <v>521.25</v>
      </c>
      <c r="G342" s="7" t="str">
        <f>RawData!G342</f>
        <v>826 Main St</v>
      </c>
      <c r="H342" s="7" t="str">
        <f>RawData!H342</f>
        <v>Cash</v>
      </c>
      <c r="I342" s="7" t="str">
        <f>RawData!I342</f>
        <v>Cancelled</v>
      </c>
      <c r="J342" s="7" t="str">
        <f>RawData!J342</f>
        <v>TRK25569378</v>
      </c>
      <c r="K342" s="7">
        <f>RawData!K342</f>
        <v>8</v>
      </c>
      <c r="L342" s="7" t="str">
        <f>IF(RawData!L342="","No Coupon",RawData!L342)</f>
        <v>No Coupon</v>
      </c>
      <c r="M342" s="7" t="str">
        <f>RawData!M342</f>
        <v>Email</v>
      </c>
      <c r="N342" s="7">
        <f>RawData!N342</f>
        <v>2606.25</v>
      </c>
    </row>
    <row r="343" spans="1:14" x14ac:dyDescent="0.3">
      <c r="A343" s="7" t="str">
        <f>RawData!A343</f>
        <v>ORD200341</v>
      </c>
      <c r="B343" s="11">
        <f>RawData!B343</f>
        <v>45558</v>
      </c>
      <c r="C343" s="7" t="str">
        <f>RawData!C343</f>
        <v>C94671</v>
      </c>
      <c r="D343" s="7" t="str">
        <f>RawData!D343</f>
        <v>Tablet</v>
      </c>
      <c r="E343" s="7">
        <f>RawData!E343</f>
        <v>1</v>
      </c>
      <c r="F343" s="7">
        <f>RawData!F343</f>
        <v>167.15</v>
      </c>
      <c r="G343" s="7" t="str">
        <f>RawData!G343</f>
        <v>293 Main St</v>
      </c>
      <c r="H343" s="7" t="str">
        <f>RawData!H343</f>
        <v>Gift Card</v>
      </c>
      <c r="I343" s="7" t="str">
        <f>RawData!I343</f>
        <v>Shipped</v>
      </c>
      <c r="J343" s="7" t="str">
        <f>RawData!J343</f>
        <v>TRK61357272</v>
      </c>
      <c r="K343" s="7">
        <f>RawData!K343</f>
        <v>5</v>
      </c>
      <c r="L343" s="7" t="str">
        <f>IF(RawData!L343="","No Coupon",RawData!L343)</f>
        <v>WINTER15</v>
      </c>
      <c r="M343" s="7" t="str">
        <f>RawData!M343</f>
        <v>Email</v>
      </c>
      <c r="N343" s="7">
        <f>RawData!N343</f>
        <v>167.15</v>
      </c>
    </row>
    <row r="344" spans="1:14" x14ac:dyDescent="0.3">
      <c r="A344" s="7" t="str">
        <f>RawData!A344</f>
        <v>ORD200342</v>
      </c>
      <c r="B344" s="11">
        <f>RawData!B344</f>
        <v>45832</v>
      </c>
      <c r="C344" s="7" t="str">
        <f>RawData!C344</f>
        <v>C69994</v>
      </c>
      <c r="D344" s="7" t="str">
        <f>RawData!D344</f>
        <v>Monitor</v>
      </c>
      <c r="E344" s="7">
        <f>RawData!E344</f>
        <v>5</v>
      </c>
      <c r="F344" s="7">
        <f>RawData!F344</f>
        <v>466.42</v>
      </c>
      <c r="G344" s="7" t="str">
        <f>RawData!G344</f>
        <v>619 Main St</v>
      </c>
      <c r="H344" s="7" t="str">
        <f>RawData!H344</f>
        <v>Gift Card</v>
      </c>
      <c r="I344" s="7" t="str">
        <f>RawData!I344</f>
        <v>Returned</v>
      </c>
      <c r="J344" s="7" t="str">
        <f>RawData!J344</f>
        <v>TRK95935805</v>
      </c>
      <c r="K344" s="7">
        <f>RawData!K344</f>
        <v>5</v>
      </c>
      <c r="L344" s="7" t="str">
        <f>IF(RawData!L344="","No Coupon",RawData!L344)</f>
        <v>No Coupon</v>
      </c>
      <c r="M344" s="7" t="str">
        <f>RawData!M344</f>
        <v>Referral</v>
      </c>
      <c r="N344" s="7">
        <f>RawData!N344</f>
        <v>2332.1</v>
      </c>
    </row>
    <row r="345" spans="1:14" x14ac:dyDescent="0.3">
      <c r="A345" s="7" t="str">
        <f>RawData!A345</f>
        <v>ORD200343</v>
      </c>
      <c r="B345" s="11">
        <f>RawData!B345</f>
        <v>44983</v>
      </c>
      <c r="C345" s="7" t="str">
        <f>RawData!C345</f>
        <v>C64638</v>
      </c>
      <c r="D345" s="7" t="str">
        <f>RawData!D345</f>
        <v>Printer</v>
      </c>
      <c r="E345" s="7">
        <f>RawData!E345</f>
        <v>1</v>
      </c>
      <c r="F345" s="7">
        <f>RawData!F345</f>
        <v>527.57000000000005</v>
      </c>
      <c r="G345" s="7" t="str">
        <f>RawData!G345</f>
        <v>919 Main St</v>
      </c>
      <c r="H345" s="7" t="str">
        <f>RawData!H345</f>
        <v>Debit Card</v>
      </c>
      <c r="I345" s="7" t="str">
        <f>RawData!I345</f>
        <v>Pending</v>
      </c>
      <c r="J345" s="7" t="str">
        <f>RawData!J345</f>
        <v>TRK64087938</v>
      </c>
      <c r="K345" s="7">
        <f>RawData!K345</f>
        <v>3</v>
      </c>
      <c r="L345" s="7" t="str">
        <f>IF(RawData!L345="","No Coupon",RawData!L345)</f>
        <v>FREESHIP</v>
      </c>
      <c r="M345" s="7" t="str">
        <f>RawData!M345</f>
        <v>Facebook</v>
      </c>
      <c r="N345" s="7">
        <f>RawData!N345</f>
        <v>527.57000000000005</v>
      </c>
    </row>
    <row r="346" spans="1:14" x14ac:dyDescent="0.3">
      <c r="A346" s="7" t="str">
        <f>RawData!A346</f>
        <v>ORD200344</v>
      </c>
      <c r="B346" s="11">
        <f>RawData!B346</f>
        <v>45722</v>
      </c>
      <c r="C346" s="7" t="str">
        <f>RawData!C346</f>
        <v>C95623</v>
      </c>
      <c r="D346" s="7" t="str">
        <f>RawData!D346</f>
        <v>Tablet</v>
      </c>
      <c r="E346" s="7">
        <f>RawData!E346</f>
        <v>3</v>
      </c>
      <c r="F346" s="7">
        <f>RawData!F346</f>
        <v>623.34</v>
      </c>
      <c r="G346" s="7" t="str">
        <f>RawData!G346</f>
        <v>248 Main St</v>
      </c>
      <c r="H346" s="7" t="str">
        <f>RawData!H346</f>
        <v>Online</v>
      </c>
      <c r="I346" s="7" t="str">
        <f>RawData!I346</f>
        <v>Cancelled</v>
      </c>
      <c r="J346" s="7" t="str">
        <f>RawData!J346</f>
        <v>TRK67558189</v>
      </c>
      <c r="K346" s="7">
        <f>RawData!K346</f>
        <v>3</v>
      </c>
      <c r="L346" s="7" t="str">
        <f>IF(RawData!L346="","No Coupon",RawData!L346)</f>
        <v>SAVE10</v>
      </c>
      <c r="M346" s="7" t="str">
        <f>RawData!M346</f>
        <v>Instagram</v>
      </c>
      <c r="N346" s="7">
        <f>RawData!N346</f>
        <v>1870.02</v>
      </c>
    </row>
    <row r="347" spans="1:14" x14ac:dyDescent="0.3">
      <c r="A347" s="7" t="str">
        <f>RawData!A347</f>
        <v>ORD200345</v>
      </c>
      <c r="B347" s="11">
        <f>RawData!B347</f>
        <v>45267</v>
      </c>
      <c r="C347" s="7" t="str">
        <f>RawData!C347</f>
        <v>C24751</v>
      </c>
      <c r="D347" s="7" t="str">
        <f>RawData!D347</f>
        <v>Tablet</v>
      </c>
      <c r="E347" s="7">
        <f>RawData!E347</f>
        <v>5</v>
      </c>
      <c r="F347" s="7">
        <f>RawData!F347</f>
        <v>501.26</v>
      </c>
      <c r="G347" s="7" t="str">
        <f>RawData!G347</f>
        <v>259 Main St</v>
      </c>
      <c r="H347" s="7" t="str">
        <f>RawData!H347</f>
        <v>Gift Card</v>
      </c>
      <c r="I347" s="7" t="str">
        <f>RawData!I347</f>
        <v>Shipped</v>
      </c>
      <c r="J347" s="7" t="str">
        <f>RawData!J347</f>
        <v>TRK37285406</v>
      </c>
      <c r="K347" s="7">
        <f>RawData!K347</f>
        <v>10</v>
      </c>
      <c r="L347" s="7" t="str">
        <f>IF(RawData!L347="","No Coupon",RawData!L347)</f>
        <v>FREESHIP</v>
      </c>
      <c r="M347" s="7" t="str">
        <f>RawData!M347</f>
        <v>Referral</v>
      </c>
      <c r="N347" s="7">
        <f>RawData!N347</f>
        <v>2506.3000000000002</v>
      </c>
    </row>
    <row r="348" spans="1:14" x14ac:dyDescent="0.3">
      <c r="A348" s="7" t="str">
        <f>RawData!A348</f>
        <v>ORD200346</v>
      </c>
      <c r="B348" s="11">
        <f>RawData!B348</f>
        <v>45632</v>
      </c>
      <c r="C348" s="7" t="str">
        <f>RawData!C348</f>
        <v>C31764</v>
      </c>
      <c r="D348" s="7" t="str">
        <f>RawData!D348</f>
        <v>Tablet</v>
      </c>
      <c r="E348" s="7">
        <f>RawData!E348</f>
        <v>1</v>
      </c>
      <c r="F348" s="7">
        <f>RawData!F348</f>
        <v>655.09</v>
      </c>
      <c r="G348" s="7" t="str">
        <f>RawData!G348</f>
        <v>876 Main St</v>
      </c>
      <c r="H348" s="7" t="str">
        <f>RawData!H348</f>
        <v>Cash</v>
      </c>
      <c r="I348" s="7" t="str">
        <f>RawData!I348</f>
        <v>Pending</v>
      </c>
      <c r="J348" s="7" t="str">
        <f>RawData!J348</f>
        <v>TRK44680433</v>
      </c>
      <c r="K348" s="7">
        <f>RawData!K348</f>
        <v>6</v>
      </c>
      <c r="L348" s="7" t="str">
        <f>IF(RawData!L348="","No Coupon",RawData!L348)</f>
        <v>No Coupon</v>
      </c>
      <c r="M348" s="7" t="str">
        <f>RawData!M348</f>
        <v>Referral</v>
      </c>
      <c r="N348" s="7">
        <f>RawData!N348</f>
        <v>655.09</v>
      </c>
    </row>
    <row r="349" spans="1:14" x14ac:dyDescent="0.3">
      <c r="A349" s="7" t="str">
        <f>RawData!A349</f>
        <v>ORD200347</v>
      </c>
      <c r="B349" s="11">
        <f>RawData!B349</f>
        <v>45325</v>
      </c>
      <c r="C349" s="7" t="str">
        <f>RawData!C349</f>
        <v>C83556</v>
      </c>
      <c r="D349" s="7" t="str">
        <f>RawData!D349</f>
        <v>Printer</v>
      </c>
      <c r="E349" s="7">
        <f>RawData!E349</f>
        <v>4</v>
      </c>
      <c r="F349" s="7">
        <f>RawData!F349</f>
        <v>264.79000000000002</v>
      </c>
      <c r="G349" s="7" t="str">
        <f>RawData!G349</f>
        <v>380 Main St</v>
      </c>
      <c r="H349" s="7" t="str">
        <f>RawData!H349</f>
        <v>Credit Card</v>
      </c>
      <c r="I349" s="7" t="str">
        <f>RawData!I349</f>
        <v>Pending</v>
      </c>
      <c r="J349" s="7" t="str">
        <f>RawData!J349</f>
        <v>TRK21109187</v>
      </c>
      <c r="K349" s="7">
        <f>RawData!K349</f>
        <v>5</v>
      </c>
      <c r="L349" s="7" t="str">
        <f>IF(RawData!L349="","No Coupon",RawData!L349)</f>
        <v>SAVE10</v>
      </c>
      <c r="M349" s="7" t="str">
        <f>RawData!M349</f>
        <v>Google</v>
      </c>
      <c r="N349" s="7">
        <f>RawData!N349</f>
        <v>1059.1600000000001</v>
      </c>
    </row>
    <row r="350" spans="1:14" x14ac:dyDescent="0.3">
      <c r="A350" s="7" t="str">
        <f>RawData!A350</f>
        <v>ORD200348</v>
      </c>
      <c r="B350" s="11">
        <f>RawData!B350</f>
        <v>45364</v>
      </c>
      <c r="C350" s="7" t="str">
        <f>RawData!C350</f>
        <v>C24369</v>
      </c>
      <c r="D350" s="7" t="str">
        <f>RawData!D350</f>
        <v>Laptop</v>
      </c>
      <c r="E350" s="7">
        <f>RawData!E350</f>
        <v>3</v>
      </c>
      <c r="F350" s="7">
        <f>RawData!F350</f>
        <v>359.73</v>
      </c>
      <c r="G350" s="7" t="str">
        <f>RawData!G350</f>
        <v>885 Main St</v>
      </c>
      <c r="H350" s="7" t="str">
        <f>RawData!H350</f>
        <v>Debit Card</v>
      </c>
      <c r="I350" s="7" t="str">
        <f>RawData!I350</f>
        <v>Returned</v>
      </c>
      <c r="J350" s="7" t="str">
        <f>RawData!J350</f>
        <v>TRK72633998</v>
      </c>
      <c r="K350" s="7">
        <f>RawData!K350</f>
        <v>7</v>
      </c>
      <c r="L350" s="7" t="str">
        <f>IF(RawData!L350="","No Coupon",RawData!L350)</f>
        <v>FREESHIP</v>
      </c>
      <c r="M350" s="7" t="str">
        <f>RawData!M350</f>
        <v>Email</v>
      </c>
      <c r="N350" s="7">
        <f>RawData!N350</f>
        <v>1079.19</v>
      </c>
    </row>
    <row r="351" spans="1:14" x14ac:dyDescent="0.3">
      <c r="A351" s="7" t="str">
        <f>RawData!A351</f>
        <v>ORD200349</v>
      </c>
      <c r="B351" s="11">
        <f>RawData!B351</f>
        <v>45260</v>
      </c>
      <c r="C351" s="7" t="str">
        <f>RawData!C351</f>
        <v>C39648</v>
      </c>
      <c r="D351" s="7" t="str">
        <f>RawData!D351</f>
        <v>Chair</v>
      </c>
      <c r="E351" s="7">
        <f>RawData!E351</f>
        <v>1</v>
      </c>
      <c r="F351" s="7">
        <f>RawData!F351</f>
        <v>465.33</v>
      </c>
      <c r="G351" s="7" t="str">
        <f>RawData!G351</f>
        <v>824 Main St</v>
      </c>
      <c r="H351" s="7" t="str">
        <f>RawData!H351</f>
        <v>Gift Card</v>
      </c>
      <c r="I351" s="7" t="str">
        <f>RawData!I351</f>
        <v>Delivered</v>
      </c>
      <c r="J351" s="7" t="str">
        <f>RawData!J351</f>
        <v>TRK56016905</v>
      </c>
      <c r="K351" s="7">
        <f>RawData!K351</f>
        <v>2</v>
      </c>
      <c r="L351" s="7" t="str">
        <f>IF(RawData!L351="","No Coupon",RawData!L351)</f>
        <v>FREESHIP</v>
      </c>
      <c r="M351" s="7" t="str">
        <f>RawData!M351</f>
        <v>Google</v>
      </c>
      <c r="N351" s="7">
        <f>RawData!N351</f>
        <v>465.33</v>
      </c>
    </row>
    <row r="352" spans="1:14" x14ac:dyDescent="0.3">
      <c r="A352" s="7" t="str">
        <f>RawData!A352</f>
        <v>ORD200350</v>
      </c>
      <c r="B352" s="11">
        <f>RawData!B352</f>
        <v>45080</v>
      </c>
      <c r="C352" s="7" t="str">
        <f>RawData!C352</f>
        <v>C13296</v>
      </c>
      <c r="D352" s="7" t="str">
        <f>RawData!D352</f>
        <v>Chair</v>
      </c>
      <c r="E352" s="7">
        <f>RawData!E352</f>
        <v>2</v>
      </c>
      <c r="F352" s="7">
        <f>RawData!F352</f>
        <v>54.41</v>
      </c>
      <c r="G352" s="7" t="str">
        <f>RawData!G352</f>
        <v>495 Main St</v>
      </c>
      <c r="H352" s="7" t="str">
        <f>RawData!H352</f>
        <v>Online</v>
      </c>
      <c r="I352" s="7" t="str">
        <f>RawData!I352</f>
        <v>Shipped</v>
      </c>
      <c r="J352" s="7" t="str">
        <f>RawData!J352</f>
        <v>TRK60127216</v>
      </c>
      <c r="K352" s="7">
        <f>RawData!K352</f>
        <v>6</v>
      </c>
      <c r="L352" s="7" t="str">
        <f>IF(RawData!L352="","No Coupon",RawData!L352)</f>
        <v>No Coupon</v>
      </c>
      <c r="M352" s="7" t="str">
        <f>RawData!M352</f>
        <v>Instagram</v>
      </c>
      <c r="N352" s="7">
        <f>RawData!N352</f>
        <v>108.82</v>
      </c>
    </row>
    <row r="353" spans="1:14" x14ac:dyDescent="0.3">
      <c r="A353" s="7" t="str">
        <f>RawData!A353</f>
        <v>ORD200351</v>
      </c>
      <c r="B353" s="11">
        <f>RawData!B353</f>
        <v>45703</v>
      </c>
      <c r="C353" s="7" t="str">
        <f>RawData!C353</f>
        <v>C94248</v>
      </c>
      <c r="D353" s="7" t="str">
        <f>RawData!D353</f>
        <v>Laptop</v>
      </c>
      <c r="E353" s="7">
        <f>RawData!E353</f>
        <v>1</v>
      </c>
      <c r="F353" s="7">
        <f>RawData!F353</f>
        <v>64.66</v>
      </c>
      <c r="G353" s="7" t="str">
        <f>RawData!G353</f>
        <v>494 Main St</v>
      </c>
      <c r="H353" s="7" t="str">
        <f>RawData!H353</f>
        <v>Debit Card</v>
      </c>
      <c r="I353" s="7" t="str">
        <f>RawData!I353</f>
        <v>Delivered</v>
      </c>
      <c r="J353" s="7" t="str">
        <f>RawData!J353</f>
        <v>TRK89406816</v>
      </c>
      <c r="K353" s="7">
        <f>RawData!K353</f>
        <v>4</v>
      </c>
      <c r="L353" s="7" t="str">
        <f>IF(RawData!L353="","No Coupon",RawData!L353)</f>
        <v>No Coupon</v>
      </c>
      <c r="M353" s="7" t="str">
        <f>RawData!M353</f>
        <v>Instagram</v>
      </c>
      <c r="N353" s="7">
        <f>RawData!N353</f>
        <v>64.66</v>
      </c>
    </row>
    <row r="354" spans="1:14" x14ac:dyDescent="0.3">
      <c r="A354" s="7" t="str">
        <f>RawData!A354</f>
        <v>ORD200352</v>
      </c>
      <c r="B354" s="11">
        <f>RawData!B354</f>
        <v>45169</v>
      </c>
      <c r="C354" s="7" t="str">
        <f>RawData!C354</f>
        <v>C26637</v>
      </c>
      <c r="D354" s="7" t="str">
        <f>RawData!D354</f>
        <v>Chair</v>
      </c>
      <c r="E354" s="7">
        <f>RawData!E354</f>
        <v>5</v>
      </c>
      <c r="F354" s="7">
        <f>RawData!F354</f>
        <v>173.96</v>
      </c>
      <c r="G354" s="7" t="str">
        <f>RawData!G354</f>
        <v>995 Main St</v>
      </c>
      <c r="H354" s="7" t="str">
        <f>RawData!H354</f>
        <v>Debit Card</v>
      </c>
      <c r="I354" s="7" t="str">
        <f>RawData!I354</f>
        <v>Pending</v>
      </c>
      <c r="J354" s="7" t="str">
        <f>RawData!J354</f>
        <v>TRK59546992</v>
      </c>
      <c r="K354" s="7">
        <f>RawData!K354</f>
        <v>8</v>
      </c>
      <c r="L354" s="7" t="str">
        <f>IF(RawData!L354="","No Coupon",RawData!L354)</f>
        <v>WINTER15</v>
      </c>
      <c r="M354" s="7" t="str">
        <f>RawData!M354</f>
        <v>Instagram</v>
      </c>
      <c r="N354" s="7">
        <f>RawData!N354</f>
        <v>869.8</v>
      </c>
    </row>
    <row r="355" spans="1:14" x14ac:dyDescent="0.3">
      <c r="A355" s="7" t="str">
        <f>RawData!A355</f>
        <v>ORD200353</v>
      </c>
      <c r="B355" s="11">
        <f>RawData!B355</f>
        <v>45744</v>
      </c>
      <c r="C355" s="7" t="str">
        <f>RawData!C355</f>
        <v>C16012</v>
      </c>
      <c r="D355" s="7" t="str">
        <f>RawData!D355</f>
        <v>Tablet</v>
      </c>
      <c r="E355" s="7">
        <f>RawData!E355</f>
        <v>1</v>
      </c>
      <c r="F355" s="7">
        <f>RawData!F355</f>
        <v>630.82000000000005</v>
      </c>
      <c r="G355" s="7" t="str">
        <f>RawData!G355</f>
        <v>171 Main St</v>
      </c>
      <c r="H355" s="7" t="str">
        <f>RawData!H355</f>
        <v>Online</v>
      </c>
      <c r="I355" s="7" t="str">
        <f>RawData!I355</f>
        <v>Delivered</v>
      </c>
      <c r="J355" s="7" t="str">
        <f>RawData!J355</f>
        <v>TRK15195225</v>
      </c>
      <c r="K355" s="7">
        <f>RawData!K355</f>
        <v>5</v>
      </c>
      <c r="L355" s="7" t="str">
        <f>IF(RawData!L355="","No Coupon",RawData!L355)</f>
        <v>FREESHIP</v>
      </c>
      <c r="M355" s="7" t="str">
        <f>RawData!M355</f>
        <v>Google</v>
      </c>
      <c r="N355" s="7">
        <f>RawData!N355</f>
        <v>630.82000000000005</v>
      </c>
    </row>
    <row r="356" spans="1:14" x14ac:dyDescent="0.3">
      <c r="A356" s="7" t="str">
        <f>RawData!A356</f>
        <v>ORD200354</v>
      </c>
      <c r="B356" s="11">
        <f>RawData!B356</f>
        <v>45118</v>
      </c>
      <c r="C356" s="7" t="str">
        <f>RawData!C356</f>
        <v>C31772</v>
      </c>
      <c r="D356" s="7" t="str">
        <f>RawData!D356</f>
        <v>Phone</v>
      </c>
      <c r="E356" s="7">
        <f>RawData!E356</f>
        <v>1</v>
      </c>
      <c r="F356" s="7">
        <f>RawData!F356</f>
        <v>693.41</v>
      </c>
      <c r="G356" s="7" t="str">
        <f>RawData!G356</f>
        <v>992 Main St</v>
      </c>
      <c r="H356" s="7" t="str">
        <f>RawData!H356</f>
        <v>Debit Card</v>
      </c>
      <c r="I356" s="7" t="str">
        <f>RawData!I356</f>
        <v>Shipped</v>
      </c>
      <c r="J356" s="7" t="str">
        <f>RawData!J356</f>
        <v>TRK11970357</v>
      </c>
      <c r="K356" s="7">
        <f>RawData!K356</f>
        <v>4</v>
      </c>
      <c r="L356" s="7" t="str">
        <f>IF(RawData!L356="","No Coupon",RawData!L356)</f>
        <v>No Coupon</v>
      </c>
      <c r="M356" s="7" t="str">
        <f>RawData!M356</f>
        <v>Instagram</v>
      </c>
      <c r="N356" s="7">
        <f>RawData!N356</f>
        <v>693.41</v>
      </c>
    </row>
    <row r="357" spans="1:14" x14ac:dyDescent="0.3">
      <c r="A357" s="7" t="str">
        <f>RawData!A357</f>
        <v>ORD200355</v>
      </c>
      <c r="B357" s="11">
        <f>RawData!B357</f>
        <v>45811</v>
      </c>
      <c r="C357" s="7" t="str">
        <f>RawData!C357</f>
        <v>C18353</v>
      </c>
      <c r="D357" s="7" t="str">
        <f>RawData!D357</f>
        <v>Tablet</v>
      </c>
      <c r="E357" s="7">
        <f>RawData!E357</f>
        <v>3</v>
      </c>
      <c r="F357" s="7">
        <f>RawData!F357</f>
        <v>433.33</v>
      </c>
      <c r="G357" s="7" t="str">
        <f>RawData!G357</f>
        <v>677 Main St</v>
      </c>
      <c r="H357" s="7" t="str">
        <f>RawData!H357</f>
        <v>Credit Card</v>
      </c>
      <c r="I357" s="7" t="str">
        <f>RawData!I357</f>
        <v>Cancelled</v>
      </c>
      <c r="J357" s="7" t="str">
        <f>RawData!J357</f>
        <v>TRK78766533</v>
      </c>
      <c r="K357" s="7">
        <f>RawData!K357</f>
        <v>4</v>
      </c>
      <c r="L357" s="7" t="str">
        <f>IF(RawData!L357="","No Coupon",RawData!L357)</f>
        <v>FREESHIP</v>
      </c>
      <c r="M357" s="7" t="str">
        <f>RawData!M357</f>
        <v>Referral</v>
      </c>
      <c r="N357" s="7">
        <f>RawData!N357</f>
        <v>1299.99</v>
      </c>
    </row>
    <row r="358" spans="1:14" x14ac:dyDescent="0.3">
      <c r="A358" s="7" t="str">
        <f>RawData!A358</f>
        <v>ORD200356</v>
      </c>
      <c r="B358" s="11">
        <f>RawData!B358</f>
        <v>45052</v>
      </c>
      <c r="C358" s="7" t="str">
        <f>RawData!C358</f>
        <v>C26966</v>
      </c>
      <c r="D358" s="7" t="str">
        <f>RawData!D358</f>
        <v>Printer</v>
      </c>
      <c r="E358" s="7">
        <f>RawData!E358</f>
        <v>5</v>
      </c>
      <c r="F358" s="7">
        <f>RawData!F358</f>
        <v>374.58</v>
      </c>
      <c r="G358" s="7" t="str">
        <f>RawData!G358</f>
        <v>907 Main St</v>
      </c>
      <c r="H358" s="7" t="str">
        <f>RawData!H358</f>
        <v>Gift Card</v>
      </c>
      <c r="I358" s="7" t="str">
        <f>RawData!I358</f>
        <v>Cancelled</v>
      </c>
      <c r="J358" s="7" t="str">
        <f>RawData!J358</f>
        <v>TRK83889574</v>
      </c>
      <c r="K358" s="7">
        <f>RawData!K358</f>
        <v>10</v>
      </c>
      <c r="L358" s="7" t="str">
        <f>IF(RawData!L358="","No Coupon",RawData!L358)</f>
        <v>FREESHIP</v>
      </c>
      <c r="M358" s="7" t="str">
        <f>RawData!M358</f>
        <v>Instagram</v>
      </c>
      <c r="N358" s="7">
        <f>RawData!N358</f>
        <v>1872.9</v>
      </c>
    </row>
    <row r="359" spans="1:14" x14ac:dyDescent="0.3">
      <c r="A359" s="7" t="str">
        <f>RawData!A359</f>
        <v>ORD200357</v>
      </c>
      <c r="B359" s="11">
        <f>RawData!B359</f>
        <v>45115</v>
      </c>
      <c r="C359" s="7" t="str">
        <f>RawData!C359</f>
        <v>C74982</v>
      </c>
      <c r="D359" s="7" t="str">
        <f>RawData!D359</f>
        <v>Laptop</v>
      </c>
      <c r="E359" s="7">
        <f>RawData!E359</f>
        <v>5</v>
      </c>
      <c r="F359" s="7">
        <f>RawData!F359</f>
        <v>408.56</v>
      </c>
      <c r="G359" s="7" t="str">
        <f>RawData!G359</f>
        <v>398 Main St</v>
      </c>
      <c r="H359" s="7" t="str">
        <f>RawData!H359</f>
        <v>Debit Card</v>
      </c>
      <c r="I359" s="7" t="str">
        <f>RawData!I359</f>
        <v>Delivered</v>
      </c>
      <c r="J359" s="7" t="str">
        <f>RawData!J359</f>
        <v>TRK98700702</v>
      </c>
      <c r="K359" s="7">
        <f>RawData!K359</f>
        <v>8</v>
      </c>
      <c r="L359" s="7" t="str">
        <f>IF(RawData!L359="","No Coupon",RawData!L359)</f>
        <v>FREESHIP</v>
      </c>
      <c r="M359" s="7" t="str">
        <f>RawData!M359</f>
        <v>Instagram</v>
      </c>
      <c r="N359" s="7">
        <f>RawData!N359</f>
        <v>2042.8</v>
      </c>
    </row>
    <row r="360" spans="1:14" x14ac:dyDescent="0.3">
      <c r="A360" s="7" t="str">
        <f>RawData!A360</f>
        <v>ORD200358</v>
      </c>
      <c r="B360" s="11">
        <f>RawData!B360</f>
        <v>45389</v>
      </c>
      <c r="C360" s="7" t="str">
        <f>RawData!C360</f>
        <v>C70633</v>
      </c>
      <c r="D360" s="7" t="str">
        <f>RawData!D360</f>
        <v>Tablet</v>
      </c>
      <c r="E360" s="7">
        <f>RawData!E360</f>
        <v>2</v>
      </c>
      <c r="F360" s="7">
        <f>RawData!F360</f>
        <v>183.67</v>
      </c>
      <c r="G360" s="7" t="str">
        <f>RawData!G360</f>
        <v>747 Main St</v>
      </c>
      <c r="H360" s="7" t="str">
        <f>RawData!H360</f>
        <v>Online</v>
      </c>
      <c r="I360" s="7" t="str">
        <f>RawData!I360</f>
        <v>Cancelled</v>
      </c>
      <c r="J360" s="7" t="str">
        <f>RawData!J360</f>
        <v>TRK82540521</v>
      </c>
      <c r="K360" s="7">
        <f>RawData!K360</f>
        <v>3</v>
      </c>
      <c r="L360" s="7" t="str">
        <f>IF(RawData!L360="","No Coupon",RawData!L360)</f>
        <v>SAVE10</v>
      </c>
      <c r="M360" s="7" t="str">
        <f>RawData!M360</f>
        <v>Google</v>
      </c>
      <c r="N360" s="7">
        <f>RawData!N360</f>
        <v>367.34</v>
      </c>
    </row>
    <row r="361" spans="1:14" x14ac:dyDescent="0.3">
      <c r="A361" s="7" t="str">
        <f>RawData!A361</f>
        <v>ORD200359</v>
      </c>
      <c r="B361" s="11">
        <f>RawData!B361</f>
        <v>45086</v>
      </c>
      <c r="C361" s="7" t="str">
        <f>RawData!C361</f>
        <v>C95643</v>
      </c>
      <c r="D361" s="7" t="str">
        <f>RawData!D361</f>
        <v>Desk</v>
      </c>
      <c r="E361" s="7">
        <f>RawData!E361</f>
        <v>4</v>
      </c>
      <c r="F361" s="7">
        <f>RawData!F361</f>
        <v>606.57000000000005</v>
      </c>
      <c r="G361" s="7" t="str">
        <f>RawData!G361</f>
        <v>303 Main St</v>
      </c>
      <c r="H361" s="7" t="str">
        <f>RawData!H361</f>
        <v>Debit Card</v>
      </c>
      <c r="I361" s="7" t="str">
        <f>RawData!I361</f>
        <v>Delivered</v>
      </c>
      <c r="J361" s="7" t="str">
        <f>RawData!J361</f>
        <v>TRK23286689</v>
      </c>
      <c r="K361" s="7">
        <f>RawData!K361</f>
        <v>5</v>
      </c>
      <c r="L361" s="7" t="str">
        <f>IF(RawData!L361="","No Coupon",RawData!L361)</f>
        <v>WINTER15</v>
      </c>
      <c r="M361" s="7" t="str">
        <f>RawData!M361</f>
        <v>Referral</v>
      </c>
      <c r="N361" s="7">
        <f>RawData!N361</f>
        <v>2426.2800000000002</v>
      </c>
    </row>
    <row r="362" spans="1:14" x14ac:dyDescent="0.3">
      <c r="A362" s="7" t="str">
        <f>RawData!A362</f>
        <v>ORD200360</v>
      </c>
      <c r="B362" s="11">
        <f>RawData!B362</f>
        <v>45449</v>
      </c>
      <c r="C362" s="7" t="str">
        <f>RawData!C362</f>
        <v>C53810</v>
      </c>
      <c r="D362" s="7" t="str">
        <f>RawData!D362</f>
        <v>Phone</v>
      </c>
      <c r="E362" s="7">
        <f>RawData!E362</f>
        <v>4</v>
      </c>
      <c r="F362" s="7">
        <f>RawData!F362</f>
        <v>589.57000000000005</v>
      </c>
      <c r="G362" s="7" t="str">
        <f>RawData!G362</f>
        <v>779 Main St</v>
      </c>
      <c r="H362" s="7" t="str">
        <f>RawData!H362</f>
        <v>Cash</v>
      </c>
      <c r="I362" s="7" t="str">
        <f>RawData!I362</f>
        <v>Pending</v>
      </c>
      <c r="J362" s="7" t="str">
        <f>RawData!J362</f>
        <v>TRK34630612</v>
      </c>
      <c r="K362" s="7">
        <f>RawData!K362</f>
        <v>8</v>
      </c>
      <c r="L362" s="7" t="str">
        <f>IF(RawData!L362="","No Coupon",RawData!L362)</f>
        <v>No Coupon</v>
      </c>
      <c r="M362" s="7" t="str">
        <f>RawData!M362</f>
        <v>Instagram</v>
      </c>
      <c r="N362" s="7">
        <f>RawData!N362</f>
        <v>2358.2800000000002</v>
      </c>
    </row>
    <row r="363" spans="1:14" x14ac:dyDescent="0.3">
      <c r="A363" s="7" t="str">
        <f>RawData!A363</f>
        <v>ORD200361</v>
      </c>
      <c r="B363" s="11">
        <f>RawData!B363</f>
        <v>45472</v>
      </c>
      <c r="C363" s="7" t="str">
        <f>RawData!C363</f>
        <v>C53464</v>
      </c>
      <c r="D363" s="7" t="str">
        <f>RawData!D363</f>
        <v>Printer</v>
      </c>
      <c r="E363" s="7">
        <f>RawData!E363</f>
        <v>5</v>
      </c>
      <c r="F363" s="7">
        <f>RawData!F363</f>
        <v>659.85</v>
      </c>
      <c r="G363" s="7" t="str">
        <f>RawData!G363</f>
        <v>197 Main St</v>
      </c>
      <c r="H363" s="7" t="str">
        <f>RawData!H363</f>
        <v>Credit Card</v>
      </c>
      <c r="I363" s="7" t="str">
        <f>RawData!I363</f>
        <v>Delivered</v>
      </c>
      <c r="J363" s="7" t="str">
        <f>RawData!J363</f>
        <v>TRK32743531</v>
      </c>
      <c r="K363" s="7">
        <f>RawData!K363</f>
        <v>9</v>
      </c>
      <c r="L363" s="7" t="str">
        <f>IF(RawData!L363="","No Coupon",RawData!L363)</f>
        <v>SAVE10</v>
      </c>
      <c r="M363" s="7" t="str">
        <f>RawData!M363</f>
        <v>Facebook</v>
      </c>
      <c r="N363" s="7">
        <f>RawData!N363</f>
        <v>3299.25</v>
      </c>
    </row>
    <row r="364" spans="1:14" x14ac:dyDescent="0.3">
      <c r="A364" s="7" t="str">
        <f>RawData!A364</f>
        <v>ORD200362</v>
      </c>
      <c r="B364" s="11">
        <f>RawData!B364</f>
        <v>45104</v>
      </c>
      <c r="C364" s="7" t="str">
        <f>RawData!C364</f>
        <v>C53697</v>
      </c>
      <c r="D364" s="7" t="str">
        <f>RawData!D364</f>
        <v>Monitor</v>
      </c>
      <c r="E364" s="7">
        <f>RawData!E364</f>
        <v>4</v>
      </c>
      <c r="F364" s="7">
        <f>RawData!F364</f>
        <v>206.84</v>
      </c>
      <c r="G364" s="7" t="str">
        <f>RawData!G364</f>
        <v>312 Main St</v>
      </c>
      <c r="H364" s="7" t="str">
        <f>RawData!H364</f>
        <v>Cash</v>
      </c>
      <c r="I364" s="7" t="str">
        <f>RawData!I364</f>
        <v>Cancelled</v>
      </c>
      <c r="J364" s="7" t="str">
        <f>RawData!J364</f>
        <v>TRK60476656</v>
      </c>
      <c r="K364" s="7">
        <f>RawData!K364</f>
        <v>5</v>
      </c>
      <c r="L364" s="7" t="str">
        <f>IF(RawData!L364="","No Coupon",RawData!L364)</f>
        <v>WINTER15</v>
      </c>
      <c r="M364" s="7" t="str">
        <f>RawData!M364</f>
        <v>Instagram</v>
      </c>
      <c r="N364" s="7">
        <f>RawData!N364</f>
        <v>827.36</v>
      </c>
    </row>
    <row r="365" spans="1:14" x14ac:dyDescent="0.3">
      <c r="A365" s="7" t="str">
        <f>RawData!A365</f>
        <v>ORD200363</v>
      </c>
      <c r="B365" s="11">
        <f>RawData!B365</f>
        <v>45436</v>
      </c>
      <c r="C365" s="7" t="str">
        <f>RawData!C365</f>
        <v>C31668</v>
      </c>
      <c r="D365" s="7" t="str">
        <f>RawData!D365</f>
        <v>Laptop</v>
      </c>
      <c r="E365" s="7">
        <f>RawData!E365</f>
        <v>5</v>
      </c>
      <c r="F365" s="7">
        <f>RawData!F365</f>
        <v>113.87</v>
      </c>
      <c r="G365" s="7" t="str">
        <f>RawData!G365</f>
        <v>871 Main St</v>
      </c>
      <c r="H365" s="7" t="str">
        <f>RawData!H365</f>
        <v>Credit Card</v>
      </c>
      <c r="I365" s="7" t="str">
        <f>RawData!I365</f>
        <v>Pending</v>
      </c>
      <c r="J365" s="7" t="str">
        <f>RawData!J365</f>
        <v>TRK42584392</v>
      </c>
      <c r="K365" s="7">
        <f>RawData!K365</f>
        <v>6</v>
      </c>
      <c r="L365" s="7" t="str">
        <f>IF(RawData!L365="","No Coupon",RawData!L365)</f>
        <v>SAVE10</v>
      </c>
      <c r="M365" s="7" t="str">
        <f>RawData!M365</f>
        <v>Email</v>
      </c>
      <c r="N365" s="7">
        <f>RawData!N365</f>
        <v>569.35</v>
      </c>
    </row>
    <row r="366" spans="1:14" x14ac:dyDescent="0.3">
      <c r="A366" s="7" t="str">
        <f>RawData!A366</f>
        <v>ORD200364</v>
      </c>
      <c r="B366" s="11">
        <f>RawData!B366</f>
        <v>45254</v>
      </c>
      <c r="C366" s="7" t="str">
        <f>RawData!C366</f>
        <v>C85282</v>
      </c>
      <c r="D366" s="7" t="str">
        <f>RawData!D366</f>
        <v>Phone</v>
      </c>
      <c r="E366" s="7">
        <f>RawData!E366</f>
        <v>5</v>
      </c>
      <c r="F366" s="7">
        <f>RawData!F366</f>
        <v>628.74</v>
      </c>
      <c r="G366" s="7" t="str">
        <f>RawData!G366</f>
        <v>740 Main St</v>
      </c>
      <c r="H366" s="7" t="str">
        <f>RawData!H366</f>
        <v>Cash</v>
      </c>
      <c r="I366" s="7" t="str">
        <f>RawData!I366</f>
        <v>Cancelled</v>
      </c>
      <c r="J366" s="7" t="str">
        <f>RawData!J366</f>
        <v>TRK86767206</v>
      </c>
      <c r="K366" s="7">
        <f>RawData!K366</f>
        <v>9</v>
      </c>
      <c r="L366" s="7" t="str">
        <f>IF(RawData!L366="","No Coupon",RawData!L366)</f>
        <v>FREESHIP</v>
      </c>
      <c r="M366" s="7" t="str">
        <f>RawData!M366</f>
        <v>Facebook</v>
      </c>
      <c r="N366" s="7">
        <f>RawData!N366</f>
        <v>3143.7</v>
      </c>
    </row>
    <row r="367" spans="1:14" x14ac:dyDescent="0.3">
      <c r="A367" s="7" t="str">
        <f>RawData!A367</f>
        <v>ORD200365</v>
      </c>
      <c r="B367" s="11">
        <f>RawData!B367</f>
        <v>45702</v>
      </c>
      <c r="C367" s="7" t="str">
        <f>RawData!C367</f>
        <v>C56796</v>
      </c>
      <c r="D367" s="7" t="str">
        <f>RawData!D367</f>
        <v>Phone</v>
      </c>
      <c r="E367" s="7">
        <f>RawData!E367</f>
        <v>1</v>
      </c>
      <c r="F367" s="7">
        <f>RawData!F367</f>
        <v>678.38</v>
      </c>
      <c r="G367" s="7" t="str">
        <f>RawData!G367</f>
        <v>607 Main St</v>
      </c>
      <c r="H367" s="7" t="str">
        <f>RawData!H367</f>
        <v>Credit Card</v>
      </c>
      <c r="I367" s="7" t="str">
        <f>RawData!I367</f>
        <v>Cancelled</v>
      </c>
      <c r="J367" s="7" t="str">
        <f>RawData!J367</f>
        <v>TRK74263180</v>
      </c>
      <c r="K367" s="7">
        <f>RawData!K367</f>
        <v>4</v>
      </c>
      <c r="L367" s="7" t="str">
        <f>IF(RawData!L367="","No Coupon",RawData!L367)</f>
        <v>SAVE10</v>
      </c>
      <c r="M367" s="7" t="str">
        <f>RawData!M367</f>
        <v>Referral</v>
      </c>
      <c r="N367" s="7">
        <f>RawData!N367</f>
        <v>678.38</v>
      </c>
    </row>
    <row r="368" spans="1:14" x14ac:dyDescent="0.3">
      <c r="A368" s="7" t="str">
        <f>RawData!A368</f>
        <v>ORD200366</v>
      </c>
      <c r="B368" s="11">
        <f>RawData!B368</f>
        <v>44967</v>
      </c>
      <c r="C368" s="7" t="str">
        <f>RawData!C368</f>
        <v>C95213</v>
      </c>
      <c r="D368" s="7" t="str">
        <f>RawData!D368</f>
        <v>Printer</v>
      </c>
      <c r="E368" s="7">
        <f>RawData!E368</f>
        <v>3</v>
      </c>
      <c r="F368" s="7">
        <f>RawData!F368</f>
        <v>602.24</v>
      </c>
      <c r="G368" s="7" t="str">
        <f>RawData!G368</f>
        <v>603 Main St</v>
      </c>
      <c r="H368" s="7" t="str">
        <f>RawData!H368</f>
        <v>Debit Card</v>
      </c>
      <c r="I368" s="7" t="str">
        <f>RawData!I368</f>
        <v>Pending</v>
      </c>
      <c r="J368" s="7" t="str">
        <f>RawData!J368</f>
        <v>TRK40630538</v>
      </c>
      <c r="K368" s="7">
        <f>RawData!K368</f>
        <v>8</v>
      </c>
      <c r="L368" s="7" t="str">
        <f>IF(RawData!L368="","No Coupon",RawData!L368)</f>
        <v>No Coupon</v>
      </c>
      <c r="M368" s="7" t="str">
        <f>RawData!M368</f>
        <v>Referral</v>
      </c>
      <c r="N368" s="7">
        <f>RawData!N368</f>
        <v>1806.72</v>
      </c>
    </row>
    <row r="369" spans="1:14" x14ac:dyDescent="0.3">
      <c r="A369" s="7" t="str">
        <f>RawData!A369</f>
        <v>ORD200367</v>
      </c>
      <c r="B369" s="11">
        <f>RawData!B369</f>
        <v>45407</v>
      </c>
      <c r="C369" s="7" t="str">
        <f>RawData!C369</f>
        <v>C13108</v>
      </c>
      <c r="D369" s="7" t="str">
        <f>RawData!D369</f>
        <v>Laptop</v>
      </c>
      <c r="E369" s="7">
        <f>RawData!E369</f>
        <v>5</v>
      </c>
      <c r="F369" s="7">
        <f>RawData!F369</f>
        <v>658.77</v>
      </c>
      <c r="G369" s="7" t="str">
        <f>RawData!G369</f>
        <v>712 Main St</v>
      </c>
      <c r="H369" s="7" t="str">
        <f>RawData!H369</f>
        <v>Gift Card</v>
      </c>
      <c r="I369" s="7" t="str">
        <f>RawData!I369</f>
        <v>Pending</v>
      </c>
      <c r="J369" s="7" t="str">
        <f>RawData!J369</f>
        <v>TRK82284400</v>
      </c>
      <c r="K369" s="7">
        <f>RawData!K369</f>
        <v>10</v>
      </c>
      <c r="L369" s="7" t="str">
        <f>IF(RawData!L369="","No Coupon",RawData!L369)</f>
        <v>FREESHIP</v>
      </c>
      <c r="M369" s="7" t="str">
        <f>RawData!M369</f>
        <v>Instagram</v>
      </c>
      <c r="N369" s="7">
        <f>RawData!N369</f>
        <v>3293.85</v>
      </c>
    </row>
    <row r="370" spans="1:14" x14ac:dyDescent="0.3">
      <c r="A370" s="7" t="str">
        <f>RawData!A370</f>
        <v>ORD200368</v>
      </c>
      <c r="B370" s="11">
        <f>RawData!B370</f>
        <v>45047</v>
      </c>
      <c r="C370" s="7" t="str">
        <f>RawData!C370</f>
        <v>C85322</v>
      </c>
      <c r="D370" s="7" t="str">
        <f>RawData!D370</f>
        <v>Monitor</v>
      </c>
      <c r="E370" s="7">
        <f>RawData!E370</f>
        <v>3</v>
      </c>
      <c r="F370" s="7">
        <f>RawData!F370</f>
        <v>271.02</v>
      </c>
      <c r="G370" s="7" t="str">
        <f>RawData!G370</f>
        <v>403 Main St</v>
      </c>
      <c r="H370" s="7" t="str">
        <f>RawData!H370</f>
        <v>Credit Card</v>
      </c>
      <c r="I370" s="7" t="str">
        <f>RawData!I370</f>
        <v>Cancelled</v>
      </c>
      <c r="J370" s="7" t="str">
        <f>RawData!J370</f>
        <v>TRK89728869</v>
      </c>
      <c r="K370" s="7">
        <f>RawData!K370</f>
        <v>6</v>
      </c>
      <c r="L370" s="7" t="str">
        <f>IF(RawData!L370="","No Coupon",RawData!L370)</f>
        <v>No Coupon</v>
      </c>
      <c r="M370" s="7" t="str">
        <f>RawData!M370</f>
        <v>Google</v>
      </c>
      <c r="N370" s="7">
        <f>RawData!N370</f>
        <v>813.06</v>
      </c>
    </row>
    <row r="371" spans="1:14" x14ac:dyDescent="0.3">
      <c r="A371" s="7" t="str">
        <f>RawData!A371</f>
        <v>ORD200369</v>
      </c>
      <c r="B371" s="11">
        <f>RawData!B371</f>
        <v>45648</v>
      </c>
      <c r="C371" s="7" t="str">
        <f>RawData!C371</f>
        <v>C43545</v>
      </c>
      <c r="D371" s="7" t="str">
        <f>RawData!D371</f>
        <v>Monitor</v>
      </c>
      <c r="E371" s="7">
        <f>RawData!E371</f>
        <v>5</v>
      </c>
      <c r="F371" s="7">
        <f>RawData!F371</f>
        <v>375.25</v>
      </c>
      <c r="G371" s="7" t="str">
        <f>RawData!G371</f>
        <v>216 Main St</v>
      </c>
      <c r="H371" s="7" t="str">
        <f>RawData!H371</f>
        <v>Gift Card</v>
      </c>
      <c r="I371" s="7" t="str">
        <f>RawData!I371</f>
        <v>Pending</v>
      </c>
      <c r="J371" s="7" t="str">
        <f>RawData!J371</f>
        <v>TRK73937402</v>
      </c>
      <c r="K371" s="7">
        <f>RawData!K371</f>
        <v>9</v>
      </c>
      <c r="L371" s="7" t="str">
        <f>IF(RawData!L371="","No Coupon",RawData!L371)</f>
        <v>SAVE10</v>
      </c>
      <c r="M371" s="7" t="str">
        <f>RawData!M371</f>
        <v>Email</v>
      </c>
      <c r="N371" s="7">
        <f>RawData!N371</f>
        <v>1876.25</v>
      </c>
    </row>
    <row r="372" spans="1:14" x14ac:dyDescent="0.3">
      <c r="A372" s="7" t="str">
        <f>RawData!A372</f>
        <v>ORD200370</v>
      </c>
      <c r="B372" s="11">
        <f>RawData!B372</f>
        <v>45780</v>
      </c>
      <c r="C372" s="7" t="str">
        <f>RawData!C372</f>
        <v>C80649</v>
      </c>
      <c r="D372" s="7" t="str">
        <f>RawData!D372</f>
        <v>Phone</v>
      </c>
      <c r="E372" s="7">
        <f>RawData!E372</f>
        <v>1</v>
      </c>
      <c r="F372" s="7">
        <f>RawData!F372</f>
        <v>312.11</v>
      </c>
      <c r="G372" s="7" t="str">
        <f>RawData!G372</f>
        <v>870 Main St</v>
      </c>
      <c r="H372" s="7" t="str">
        <f>RawData!H372</f>
        <v>Online</v>
      </c>
      <c r="I372" s="7" t="str">
        <f>RawData!I372</f>
        <v>Cancelled</v>
      </c>
      <c r="J372" s="7" t="str">
        <f>RawData!J372</f>
        <v>TRK41143313</v>
      </c>
      <c r="K372" s="7">
        <f>RawData!K372</f>
        <v>4</v>
      </c>
      <c r="L372" s="7" t="str">
        <f>IF(RawData!L372="","No Coupon",RawData!L372)</f>
        <v>WINTER15</v>
      </c>
      <c r="M372" s="7" t="str">
        <f>RawData!M372</f>
        <v>Facebook</v>
      </c>
      <c r="N372" s="7">
        <f>RawData!N372</f>
        <v>312.11</v>
      </c>
    </row>
    <row r="373" spans="1:14" x14ac:dyDescent="0.3">
      <c r="A373" s="7" t="str">
        <f>RawData!A373</f>
        <v>ORD200371</v>
      </c>
      <c r="B373" s="11">
        <f>RawData!B373</f>
        <v>44931</v>
      </c>
      <c r="C373" s="7" t="str">
        <f>RawData!C373</f>
        <v>C59752</v>
      </c>
      <c r="D373" s="7" t="str">
        <f>RawData!D373</f>
        <v>Phone</v>
      </c>
      <c r="E373" s="7">
        <f>RawData!E373</f>
        <v>5</v>
      </c>
      <c r="F373" s="7">
        <f>RawData!F373</f>
        <v>307.76</v>
      </c>
      <c r="G373" s="7" t="str">
        <f>RawData!G373</f>
        <v>179 Main St</v>
      </c>
      <c r="H373" s="7" t="str">
        <f>RawData!H373</f>
        <v>Gift Card</v>
      </c>
      <c r="I373" s="7" t="str">
        <f>RawData!I373</f>
        <v>Pending</v>
      </c>
      <c r="J373" s="7" t="str">
        <f>RawData!J373</f>
        <v>TRK82229639</v>
      </c>
      <c r="K373" s="7">
        <f>RawData!K373</f>
        <v>9</v>
      </c>
      <c r="L373" s="7" t="str">
        <f>IF(RawData!L373="","No Coupon",RawData!L373)</f>
        <v>FREESHIP</v>
      </c>
      <c r="M373" s="7" t="str">
        <f>RawData!M373</f>
        <v>Google</v>
      </c>
      <c r="N373" s="7">
        <f>RawData!N373</f>
        <v>1538.8</v>
      </c>
    </row>
    <row r="374" spans="1:14" x14ac:dyDescent="0.3">
      <c r="A374" s="7" t="str">
        <f>RawData!A374</f>
        <v>ORD200372</v>
      </c>
      <c r="B374" s="11">
        <f>RawData!B374</f>
        <v>45702</v>
      </c>
      <c r="C374" s="7" t="str">
        <f>RawData!C374</f>
        <v>C53645</v>
      </c>
      <c r="D374" s="7" t="str">
        <f>RawData!D374</f>
        <v>Chair</v>
      </c>
      <c r="E374" s="7">
        <f>RawData!E374</f>
        <v>3</v>
      </c>
      <c r="F374" s="7">
        <f>RawData!F374</f>
        <v>483.53</v>
      </c>
      <c r="G374" s="7" t="str">
        <f>RawData!G374</f>
        <v>166 Main St</v>
      </c>
      <c r="H374" s="7" t="str">
        <f>RawData!H374</f>
        <v>Cash</v>
      </c>
      <c r="I374" s="7" t="str">
        <f>RawData!I374</f>
        <v>Returned</v>
      </c>
      <c r="J374" s="7" t="str">
        <f>RawData!J374</f>
        <v>TRK12123939</v>
      </c>
      <c r="K374" s="7">
        <f>RawData!K374</f>
        <v>4</v>
      </c>
      <c r="L374" s="7" t="str">
        <f>IF(RawData!L374="","No Coupon",RawData!L374)</f>
        <v>No Coupon</v>
      </c>
      <c r="M374" s="7" t="str">
        <f>RawData!M374</f>
        <v>Referral</v>
      </c>
      <c r="N374" s="7">
        <f>RawData!N374</f>
        <v>1450.59</v>
      </c>
    </row>
    <row r="375" spans="1:14" x14ac:dyDescent="0.3">
      <c r="A375" s="7" t="str">
        <f>RawData!A375</f>
        <v>ORD200373</v>
      </c>
      <c r="B375" s="11">
        <f>RawData!B375</f>
        <v>44928</v>
      </c>
      <c r="C375" s="7" t="str">
        <f>RawData!C375</f>
        <v>C60178</v>
      </c>
      <c r="D375" s="7" t="str">
        <f>RawData!D375</f>
        <v>Laptop</v>
      </c>
      <c r="E375" s="7">
        <f>RawData!E375</f>
        <v>3</v>
      </c>
      <c r="F375" s="7">
        <f>RawData!F375</f>
        <v>341.15</v>
      </c>
      <c r="G375" s="7" t="str">
        <f>RawData!G375</f>
        <v>969 Main St</v>
      </c>
      <c r="H375" s="7" t="str">
        <f>RawData!H375</f>
        <v>Cash</v>
      </c>
      <c r="I375" s="7" t="str">
        <f>RawData!I375</f>
        <v>Pending</v>
      </c>
      <c r="J375" s="7" t="str">
        <f>RawData!J375</f>
        <v>TRK84505143</v>
      </c>
      <c r="K375" s="7">
        <f>RawData!K375</f>
        <v>4</v>
      </c>
      <c r="L375" s="7" t="str">
        <f>IF(RawData!L375="","No Coupon",RawData!L375)</f>
        <v>FREESHIP</v>
      </c>
      <c r="M375" s="7" t="str">
        <f>RawData!M375</f>
        <v>Instagram</v>
      </c>
      <c r="N375" s="7">
        <f>RawData!N375</f>
        <v>1023.45</v>
      </c>
    </row>
    <row r="376" spans="1:14" x14ac:dyDescent="0.3">
      <c r="A376" s="7" t="str">
        <f>RawData!A376</f>
        <v>ORD200374</v>
      </c>
      <c r="B376" s="11">
        <f>RawData!B376</f>
        <v>45551</v>
      </c>
      <c r="C376" s="7" t="str">
        <f>RawData!C376</f>
        <v>C20286</v>
      </c>
      <c r="D376" s="7" t="str">
        <f>RawData!D376</f>
        <v>Monitor</v>
      </c>
      <c r="E376" s="7">
        <f>RawData!E376</f>
        <v>1</v>
      </c>
      <c r="F376" s="7">
        <f>RawData!F376</f>
        <v>571.9</v>
      </c>
      <c r="G376" s="7" t="str">
        <f>RawData!G376</f>
        <v>129 Main St</v>
      </c>
      <c r="H376" s="7" t="str">
        <f>RawData!H376</f>
        <v>Gift Card</v>
      </c>
      <c r="I376" s="7" t="str">
        <f>RawData!I376</f>
        <v>Pending</v>
      </c>
      <c r="J376" s="7" t="str">
        <f>RawData!J376</f>
        <v>TRK67648338</v>
      </c>
      <c r="K376" s="7">
        <f>RawData!K376</f>
        <v>1</v>
      </c>
      <c r="L376" s="7" t="str">
        <f>IF(RawData!L376="","No Coupon",RawData!L376)</f>
        <v>WINTER15</v>
      </c>
      <c r="M376" s="7" t="str">
        <f>RawData!M376</f>
        <v>Instagram</v>
      </c>
      <c r="N376" s="7">
        <f>RawData!N376</f>
        <v>571.9</v>
      </c>
    </row>
    <row r="377" spans="1:14" x14ac:dyDescent="0.3">
      <c r="A377" s="7" t="str">
        <f>RawData!A377</f>
        <v>ORD200375</v>
      </c>
      <c r="B377" s="11">
        <f>RawData!B377</f>
        <v>45673</v>
      </c>
      <c r="C377" s="7" t="str">
        <f>RawData!C377</f>
        <v>C87547</v>
      </c>
      <c r="D377" s="7" t="str">
        <f>RawData!D377</f>
        <v>Monitor</v>
      </c>
      <c r="E377" s="7">
        <f>RawData!E377</f>
        <v>4</v>
      </c>
      <c r="F377" s="7">
        <f>RawData!F377</f>
        <v>95.03</v>
      </c>
      <c r="G377" s="7" t="str">
        <f>RawData!G377</f>
        <v>400 Main St</v>
      </c>
      <c r="H377" s="7" t="str">
        <f>RawData!H377</f>
        <v>Online</v>
      </c>
      <c r="I377" s="7" t="str">
        <f>RawData!I377</f>
        <v>Shipped</v>
      </c>
      <c r="J377" s="7" t="str">
        <f>RawData!J377</f>
        <v>TRK71027262</v>
      </c>
      <c r="K377" s="7">
        <f>RawData!K377</f>
        <v>8</v>
      </c>
      <c r="L377" s="7" t="str">
        <f>IF(RawData!L377="","No Coupon",RawData!L377)</f>
        <v>FREESHIP</v>
      </c>
      <c r="M377" s="7" t="str">
        <f>RawData!M377</f>
        <v>Facebook</v>
      </c>
      <c r="N377" s="7">
        <f>RawData!N377</f>
        <v>380.12</v>
      </c>
    </row>
    <row r="378" spans="1:14" x14ac:dyDescent="0.3">
      <c r="A378" s="7" t="str">
        <f>RawData!A378</f>
        <v>ORD200376</v>
      </c>
      <c r="B378" s="11">
        <f>RawData!B378</f>
        <v>45162</v>
      </c>
      <c r="C378" s="7" t="str">
        <f>RawData!C378</f>
        <v>C64549</v>
      </c>
      <c r="D378" s="7" t="str">
        <f>RawData!D378</f>
        <v>Monitor</v>
      </c>
      <c r="E378" s="7">
        <f>RawData!E378</f>
        <v>5</v>
      </c>
      <c r="F378" s="7">
        <f>RawData!F378</f>
        <v>201.22</v>
      </c>
      <c r="G378" s="7" t="str">
        <f>RawData!G378</f>
        <v>341 Main St</v>
      </c>
      <c r="H378" s="7" t="str">
        <f>RawData!H378</f>
        <v>Debit Card</v>
      </c>
      <c r="I378" s="7" t="str">
        <f>RawData!I378</f>
        <v>Pending</v>
      </c>
      <c r="J378" s="7" t="str">
        <f>RawData!J378</f>
        <v>TRK20788231</v>
      </c>
      <c r="K378" s="7">
        <f>RawData!K378</f>
        <v>6</v>
      </c>
      <c r="L378" s="7" t="str">
        <f>IF(RawData!L378="","No Coupon",RawData!L378)</f>
        <v>FREESHIP</v>
      </c>
      <c r="M378" s="7" t="str">
        <f>RawData!M378</f>
        <v>Facebook</v>
      </c>
      <c r="N378" s="7">
        <f>RawData!N378</f>
        <v>1006.1</v>
      </c>
    </row>
    <row r="379" spans="1:14" x14ac:dyDescent="0.3">
      <c r="A379" s="7" t="str">
        <f>RawData!A379</f>
        <v>ORD200377</v>
      </c>
      <c r="B379" s="11">
        <f>RawData!B379</f>
        <v>45495</v>
      </c>
      <c r="C379" s="7" t="str">
        <f>RawData!C379</f>
        <v>C24884</v>
      </c>
      <c r="D379" s="7" t="str">
        <f>RawData!D379</f>
        <v>Monitor</v>
      </c>
      <c r="E379" s="7">
        <f>RawData!E379</f>
        <v>1</v>
      </c>
      <c r="F379" s="7">
        <f>RawData!F379</f>
        <v>260.26</v>
      </c>
      <c r="G379" s="7" t="str">
        <f>RawData!G379</f>
        <v>625 Main St</v>
      </c>
      <c r="H379" s="7" t="str">
        <f>RawData!H379</f>
        <v>Online</v>
      </c>
      <c r="I379" s="7" t="str">
        <f>RawData!I379</f>
        <v>Pending</v>
      </c>
      <c r="J379" s="7" t="str">
        <f>RawData!J379</f>
        <v>TRK44538419</v>
      </c>
      <c r="K379" s="7">
        <f>RawData!K379</f>
        <v>5</v>
      </c>
      <c r="L379" s="7" t="str">
        <f>IF(RawData!L379="","No Coupon",RawData!L379)</f>
        <v>WINTER15</v>
      </c>
      <c r="M379" s="7" t="str">
        <f>RawData!M379</f>
        <v>Instagram</v>
      </c>
      <c r="N379" s="7">
        <f>RawData!N379</f>
        <v>260.26</v>
      </c>
    </row>
    <row r="380" spans="1:14" x14ac:dyDescent="0.3">
      <c r="A380" s="7" t="str">
        <f>RawData!A380</f>
        <v>ORD200378</v>
      </c>
      <c r="B380" s="11">
        <f>RawData!B380</f>
        <v>45323</v>
      </c>
      <c r="C380" s="7" t="str">
        <f>RawData!C380</f>
        <v>C62666</v>
      </c>
      <c r="D380" s="7" t="str">
        <f>RawData!D380</f>
        <v>Chair</v>
      </c>
      <c r="E380" s="7">
        <f>RawData!E380</f>
        <v>5</v>
      </c>
      <c r="F380" s="7">
        <f>RawData!F380</f>
        <v>64.5</v>
      </c>
      <c r="G380" s="7" t="str">
        <f>RawData!G380</f>
        <v>148 Main St</v>
      </c>
      <c r="H380" s="7" t="str">
        <f>RawData!H380</f>
        <v>Credit Card</v>
      </c>
      <c r="I380" s="7" t="str">
        <f>RawData!I380</f>
        <v>Pending</v>
      </c>
      <c r="J380" s="7" t="str">
        <f>RawData!J380</f>
        <v>TRK91029390</v>
      </c>
      <c r="K380" s="7">
        <f>RawData!K380</f>
        <v>8</v>
      </c>
      <c r="L380" s="7" t="str">
        <f>IF(RawData!L380="","No Coupon",RawData!L380)</f>
        <v>WINTER15</v>
      </c>
      <c r="M380" s="7" t="str">
        <f>RawData!M380</f>
        <v>Instagram</v>
      </c>
      <c r="N380" s="7">
        <f>RawData!N380</f>
        <v>322.5</v>
      </c>
    </row>
    <row r="381" spans="1:14" x14ac:dyDescent="0.3">
      <c r="A381" s="7" t="str">
        <f>RawData!A381</f>
        <v>ORD200379</v>
      </c>
      <c r="B381" s="11">
        <f>RawData!B381</f>
        <v>45556</v>
      </c>
      <c r="C381" s="7" t="str">
        <f>RawData!C381</f>
        <v>C47284</v>
      </c>
      <c r="D381" s="7" t="str">
        <f>RawData!D381</f>
        <v>Phone</v>
      </c>
      <c r="E381" s="7">
        <f>RawData!E381</f>
        <v>3</v>
      </c>
      <c r="F381" s="7">
        <f>RawData!F381</f>
        <v>297.67</v>
      </c>
      <c r="G381" s="7" t="str">
        <f>RawData!G381</f>
        <v>500 Main St</v>
      </c>
      <c r="H381" s="7" t="str">
        <f>RawData!H381</f>
        <v>Online</v>
      </c>
      <c r="I381" s="7" t="str">
        <f>RawData!I381</f>
        <v>Shipped</v>
      </c>
      <c r="J381" s="7" t="str">
        <f>RawData!J381</f>
        <v>TRK85756094</v>
      </c>
      <c r="K381" s="7">
        <f>RawData!K381</f>
        <v>6</v>
      </c>
      <c r="L381" s="7" t="str">
        <f>IF(RawData!L381="","No Coupon",RawData!L381)</f>
        <v>No Coupon</v>
      </c>
      <c r="M381" s="7" t="str">
        <f>RawData!M381</f>
        <v>Google</v>
      </c>
      <c r="N381" s="7">
        <f>RawData!N381</f>
        <v>893.01</v>
      </c>
    </row>
    <row r="382" spans="1:14" x14ac:dyDescent="0.3">
      <c r="A382" s="7" t="str">
        <f>RawData!A382</f>
        <v>ORD200380</v>
      </c>
      <c r="B382" s="11">
        <f>RawData!B382</f>
        <v>45402</v>
      </c>
      <c r="C382" s="7" t="str">
        <f>RawData!C382</f>
        <v>C35355</v>
      </c>
      <c r="D382" s="7" t="str">
        <f>RawData!D382</f>
        <v>Printer</v>
      </c>
      <c r="E382" s="7">
        <f>RawData!E382</f>
        <v>4</v>
      </c>
      <c r="F382" s="7">
        <f>RawData!F382</f>
        <v>331.9</v>
      </c>
      <c r="G382" s="7" t="str">
        <f>RawData!G382</f>
        <v>127 Main St</v>
      </c>
      <c r="H382" s="7" t="str">
        <f>RawData!H382</f>
        <v>Cash</v>
      </c>
      <c r="I382" s="7" t="str">
        <f>RawData!I382</f>
        <v>Pending</v>
      </c>
      <c r="J382" s="7" t="str">
        <f>RawData!J382</f>
        <v>TRK52935059</v>
      </c>
      <c r="K382" s="7">
        <f>RawData!K382</f>
        <v>5</v>
      </c>
      <c r="L382" s="7" t="str">
        <f>IF(RawData!L382="","No Coupon",RawData!L382)</f>
        <v>SAVE10</v>
      </c>
      <c r="M382" s="7" t="str">
        <f>RawData!M382</f>
        <v>Instagram</v>
      </c>
      <c r="N382" s="7">
        <f>RawData!N382</f>
        <v>1327.6</v>
      </c>
    </row>
    <row r="383" spans="1:14" x14ac:dyDescent="0.3">
      <c r="A383" s="7" t="str">
        <f>RawData!A383</f>
        <v>ORD200381</v>
      </c>
      <c r="B383" s="11">
        <f>RawData!B383</f>
        <v>45084</v>
      </c>
      <c r="C383" s="7" t="str">
        <f>RawData!C383</f>
        <v>C29467</v>
      </c>
      <c r="D383" s="7" t="str">
        <f>RawData!D383</f>
        <v>Chair</v>
      </c>
      <c r="E383" s="7">
        <f>RawData!E383</f>
        <v>1</v>
      </c>
      <c r="F383" s="7">
        <f>RawData!F383</f>
        <v>191.76</v>
      </c>
      <c r="G383" s="7" t="str">
        <f>RawData!G383</f>
        <v>223 Main St</v>
      </c>
      <c r="H383" s="7" t="str">
        <f>RawData!H383</f>
        <v>Credit Card</v>
      </c>
      <c r="I383" s="7" t="str">
        <f>RawData!I383</f>
        <v>Returned</v>
      </c>
      <c r="J383" s="7" t="str">
        <f>RawData!J383</f>
        <v>TRK98103385</v>
      </c>
      <c r="K383" s="7">
        <f>RawData!K383</f>
        <v>1</v>
      </c>
      <c r="L383" s="7" t="str">
        <f>IF(RawData!L383="","No Coupon",RawData!L383)</f>
        <v>FREESHIP</v>
      </c>
      <c r="M383" s="7" t="str">
        <f>RawData!M383</f>
        <v>Instagram</v>
      </c>
      <c r="N383" s="7">
        <f>RawData!N383</f>
        <v>191.76</v>
      </c>
    </row>
    <row r="384" spans="1:14" x14ac:dyDescent="0.3">
      <c r="A384" s="7" t="str">
        <f>RawData!A384</f>
        <v>ORD200382</v>
      </c>
      <c r="B384" s="11">
        <f>RawData!B384</f>
        <v>45687</v>
      </c>
      <c r="C384" s="7" t="str">
        <f>RawData!C384</f>
        <v>C26718</v>
      </c>
      <c r="D384" s="7" t="str">
        <f>RawData!D384</f>
        <v>Printer</v>
      </c>
      <c r="E384" s="7">
        <f>RawData!E384</f>
        <v>4</v>
      </c>
      <c r="F384" s="7">
        <f>RawData!F384</f>
        <v>263.08999999999997</v>
      </c>
      <c r="G384" s="7" t="str">
        <f>RawData!G384</f>
        <v>272 Main St</v>
      </c>
      <c r="H384" s="7" t="str">
        <f>RawData!H384</f>
        <v>Debit Card</v>
      </c>
      <c r="I384" s="7" t="str">
        <f>RawData!I384</f>
        <v>Shipped</v>
      </c>
      <c r="J384" s="7" t="str">
        <f>RawData!J384</f>
        <v>TRK91702525</v>
      </c>
      <c r="K384" s="7">
        <f>RawData!K384</f>
        <v>8</v>
      </c>
      <c r="L384" s="7" t="str">
        <f>IF(RawData!L384="","No Coupon",RawData!L384)</f>
        <v>SAVE10</v>
      </c>
      <c r="M384" s="7" t="str">
        <f>RawData!M384</f>
        <v>Google</v>
      </c>
      <c r="N384" s="7">
        <f>RawData!N384</f>
        <v>1052.3599999999999</v>
      </c>
    </row>
    <row r="385" spans="1:14" x14ac:dyDescent="0.3">
      <c r="A385" s="7" t="str">
        <f>RawData!A385</f>
        <v>ORD200383</v>
      </c>
      <c r="B385" s="11">
        <f>RawData!B385</f>
        <v>44946</v>
      </c>
      <c r="C385" s="7" t="str">
        <f>RawData!C385</f>
        <v>C18944</v>
      </c>
      <c r="D385" s="7" t="str">
        <f>RawData!D385</f>
        <v>Chair</v>
      </c>
      <c r="E385" s="7">
        <f>RawData!E385</f>
        <v>4</v>
      </c>
      <c r="F385" s="7">
        <f>RawData!F385</f>
        <v>393.8</v>
      </c>
      <c r="G385" s="7" t="str">
        <f>RawData!G385</f>
        <v>837 Main St</v>
      </c>
      <c r="H385" s="7" t="str">
        <f>RawData!H385</f>
        <v>Credit Card</v>
      </c>
      <c r="I385" s="7" t="str">
        <f>RawData!I385</f>
        <v>Pending</v>
      </c>
      <c r="J385" s="7" t="str">
        <f>RawData!J385</f>
        <v>TRK45275439</v>
      </c>
      <c r="K385" s="7">
        <f>RawData!K385</f>
        <v>7</v>
      </c>
      <c r="L385" s="7" t="str">
        <f>IF(RawData!L385="","No Coupon",RawData!L385)</f>
        <v>SAVE10</v>
      </c>
      <c r="M385" s="7" t="str">
        <f>RawData!M385</f>
        <v>Email</v>
      </c>
      <c r="N385" s="7">
        <f>RawData!N385</f>
        <v>1575.2</v>
      </c>
    </row>
    <row r="386" spans="1:14" x14ac:dyDescent="0.3">
      <c r="A386" s="7" t="str">
        <f>RawData!A386</f>
        <v>ORD200384</v>
      </c>
      <c r="B386" s="11">
        <f>RawData!B386</f>
        <v>45620</v>
      </c>
      <c r="C386" s="7" t="str">
        <f>RawData!C386</f>
        <v>C35628</v>
      </c>
      <c r="D386" s="7" t="str">
        <f>RawData!D386</f>
        <v>Chair</v>
      </c>
      <c r="E386" s="7">
        <f>RawData!E386</f>
        <v>3</v>
      </c>
      <c r="F386" s="7">
        <f>RawData!F386</f>
        <v>553.57000000000005</v>
      </c>
      <c r="G386" s="7" t="str">
        <f>RawData!G386</f>
        <v>147 Main St</v>
      </c>
      <c r="H386" s="7" t="str">
        <f>RawData!H386</f>
        <v>Credit Card</v>
      </c>
      <c r="I386" s="7" t="str">
        <f>RawData!I386</f>
        <v>Returned</v>
      </c>
      <c r="J386" s="7" t="str">
        <f>RawData!J386</f>
        <v>TRK45688220</v>
      </c>
      <c r="K386" s="7">
        <f>RawData!K386</f>
        <v>4</v>
      </c>
      <c r="L386" s="7" t="str">
        <f>IF(RawData!L386="","No Coupon",RawData!L386)</f>
        <v>FREESHIP</v>
      </c>
      <c r="M386" s="7" t="str">
        <f>RawData!M386</f>
        <v>Facebook</v>
      </c>
      <c r="N386" s="7">
        <f>RawData!N386</f>
        <v>1660.71</v>
      </c>
    </row>
    <row r="387" spans="1:14" x14ac:dyDescent="0.3">
      <c r="A387" s="7" t="str">
        <f>RawData!A387</f>
        <v>ORD200385</v>
      </c>
      <c r="B387" s="11">
        <f>RawData!B387</f>
        <v>45230</v>
      </c>
      <c r="C387" s="7" t="str">
        <f>RawData!C387</f>
        <v>C56851</v>
      </c>
      <c r="D387" s="7" t="str">
        <f>RawData!D387</f>
        <v>Chair</v>
      </c>
      <c r="E387" s="7">
        <f>RawData!E387</f>
        <v>5</v>
      </c>
      <c r="F387" s="7">
        <f>RawData!F387</f>
        <v>191.63</v>
      </c>
      <c r="G387" s="7" t="str">
        <f>RawData!G387</f>
        <v>752 Main St</v>
      </c>
      <c r="H387" s="7" t="str">
        <f>RawData!H387</f>
        <v>Gift Card</v>
      </c>
      <c r="I387" s="7" t="str">
        <f>RawData!I387</f>
        <v>Delivered</v>
      </c>
      <c r="J387" s="7" t="str">
        <f>RawData!J387</f>
        <v>TRK65290904</v>
      </c>
      <c r="K387" s="7">
        <f>RawData!K387</f>
        <v>6</v>
      </c>
      <c r="L387" s="7" t="str">
        <f>IF(RawData!L387="","No Coupon",RawData!L387)</f>
        <v>FREESHIP</v>
      </c>
      <c r="M387" s="7" t="str">
        <f>RawData!M387</f>
        <v>Facebook</v>
      </c>
      <c r="N387" s="7">
        <f>RawData!N387</f>
        <v>958.15</v>
      </c>
    </row>
    <row r="388" spans="1:14" x14ac:dyDescent="0.3">
      <c r="A388" s="7" t="str">
        <f>RawData!A388</f>
        <v>ORD200386</v>
      </c>
      <c r="B388" s="11">
        <f>RawData!B388</f>
        <v>45044</v>
      </c>
      <c r="C388" s="7" t="str">
        <f>RawData!C388</f>
        <v>C12421</v>
      </c>
      <c r="D388" s="7" t="str">
        <f>RawData!D388</f>
        <v>Tablet</v>
      </c>
      <c r="E388" s="7">
        <f>RawData!E388</f>
        <v>1</v>
      </c>
      <c r="F388" s="7">
        <f>RawData!F388</f>
        <v>93.02</v>
      </c>
      <c r="G388" s="7" t="str">
        <f>RawData!G388</f>
        <v>373 Main St</v>
      </c>
      <c r="H388" s="7" t="str">
        <f>RawData!H388</f>
        <v>Online</v>
      </c>
      <c r="I388" s="7" t="str">
        <f>RawData!I388</f>
        <v>Returned</v>
      </c>
      <c r="J388" s="7" t="str">
        <f>RawData!J388</f>
        <v>TRK32588504</v>
      </c>
      <c r="K388" s="7">
        <f>RawData!K388</f>
        <v>4</v>
      </c>
      <c r="L388" s="7" t="str">
        <f>IF(RawData!L388="","No Coupon",RawData!L388)</f>
        <v>No Coupon</v>
      </c>
      <c r="M388" s="7" t="str">
        <f>RawData!M388</f>
        <v>Email</v>
      </c>
      <c r="N388" s="7">
        <f>RawData!N388</f>
        <v>93.02</v>
      </c>
    </row>
    <row r="389" spans="1:14" x14ac:dyDescent="0.3">
      <c r="A389" s="7" t="str">
        <f>RawData!A389</f>
        <v>ORD200387</v>
      </c>
      <c r="B389" s="11">
        <f>RawData!B389</f>
        <v>45470</v>
      </c>
      <c r="C389" s="7" t="str">
        <f>RawData!C389</f>
        <v>C25316</v>
      </c>
      <c r="D389" s="7" t="str">
        <f>RawData!D389</f>
        <v>Printer</v>
      </c>
      <c r="E389" s="7">
        <f>RawData!E389</f>
        <v>2</v>
      </c>
      <c r="F389" s="7">
        <f>RawData!F389</f>
        <v>39.53</v>
      </c>
      <c r="G389" s="7" t="str">
        <f>RawData!G389</f>
        <v>904 Main St</v>
      </c>
      <c r="H389" s="7" t="str">
        <f>RawData!H389</f>
        <v>Credit Card</v>
      </c>
      <c r="I389" s="7" t="str">
        <f>RawData!I389</f>
        <v>Shipped</v>
      </c>
      <c r="J389" s="7" t="str">
        <f>RawData!J389</f>
        <v>TRK55423551</v>
      </c>
      <c r="K389" s="7">
        <f>RawData!K389</f>
        <v>3</v>
      </c>
      <c r="L389" s="7" t="str">
        <f>IF(RawData!L389="","No Coupon",RawData!L389)</f>
        <v>WINTER15</v>
      </c>
      <c r="M389" s="7" t="str">
        <f>RawData!M389</f>
        <v>Google</v>
      </c>
      <c r="N389" s="7">
        <f>RawData!N389</f>
        <v>79.06</v>
      </c>
    </row>
    <row r="390" spans="1:14" x14ac:dyDescent="0.3">
      <c r="A390" s="7" t="str">
        <f>RawData!A390</f>
        <v>ORD200388</v>
      </c>
      <c r="B390" s="11">
        <f>RawData!B390</f>
        <v>45288</v>
      </c>
      <c r="C390" s="7" t="str">
        <f>RawData!C390</f>
        <v>C22657</v>
      </c>
      <c r="D390" s="7" t="str">
        <f>RawData!D390</f>
        <v>Printer</v>
      </c>
      <c r="E390" s="7">
        <f>RawData!E390</f>
        <v>3</v>
      </c>
      <c r="F390" s="7">
        <f>RawData!F390</f>
        <v>633.97</v>
      </c>
      <c r="G390" s="7" t="str">
        <f>RawData!G390</f>
        <v>152 Main St</v>
      </c>
      <c r="H390" s="7" t="str">
        <f>RawData!H390</f>
        <v>Cash</v>
      </c>
      <c r="I390" s="7" t="str">
        <f>RawData!I390</f>
        <v>Pending</v>
      </c>
      <c r="J390" s="7" t="str">
        <f>RawData!J390</f>
        <v>TRK49157047</v>
      </c>
      <c r="K390" s="7">
        <f>RawData!K390</f>
        <v>7</v>
      </c>
      <c r="L390" s="7" t="str">
        <f>IF(RawData!L390="","No Coupon",RawData!L390)</f>
        <v>WINTER15</v>
      </c>
      <c r="M390" s="7" t="str">
        <f>RawData!M390</f>
        <v>Facebook</v>
      </c>
      <c r="N390" s="7">
        <f>RawData!N390</f>
        <v>1901.91</v>
      </c>
    </row>
    <row r="391" spans="1:14" x14ac:dyDescent="0.3">
      <c r="A391" s="7" t="str">
        <f>RawData!A391</f>
        <v>ORD200389</v>
      </c>
      <c r="B391" s="11">
        <f>RawData!B391</f>
        <v>45277</v>
      </c>
      <c r="C391" s="7" t="str">
        <f>RawData!C391</f>
        <v>C29703</v>
      </c>
      <c r="D391" s="7" t="str">
        <f>RawData!D391</f>
        <v>Desk</v>
      </c>
      <c r="E391" s="7">
        <f>RawData!E391</f>
        <v>4</v>
      </c>
      <c r="F391" s="7">
        <f>RawData!F391</f>
        <v>697.5</v>
      </c>
      <c r="G391" s="7" t="str">
        <f>RawData!G391</f>
        <v>558 Main St</v>
      </c>
      <c r="H391" s="7" t="str">
        <f>RawData!H391</f>
        <v>Cash</v>
      </c>
      <c r="I391" s="7" t="str">
        <f>RawData!I391</f>
        <v>Shipped</v>
      </c>
      <c r="J391" s="7" t="str">
        <f>RawData!J391</f>
        <v>TRK40543461</v>
      </c>
      <c r="K391" s="7">
        <f>RawData!K391</f>
        <v>7</v>
      </c>
      <c r="L391" s="7" t="str">
        <f>IF(RawData!L391="","No Coupon",RawData!L391)</f>
        <v>FREESHIP</v>
      </c>
      <c r="M391" s="7" t="str">
        <f>RawData!M391</f>
        <v>Referral</v>
      </c>
      <c r="N391" s="7">
        <f>RawData!N391</f>
        <v>2790</v>
      </c>
    </row>
    <row r="392" spans="1:14" x14ac:dyDescent="0.3">
      <c r="A392" s="7" t="str">
        <f>RawData!A392</f>
        <v>ORD200390</v>
      </c>
      <c r="B392" s="11">
        <f>RawData!B392</f>
        <v>45121</v>
      </c>
      <c r="C392" s="7" t="str">
        <f>RawData!C392</f>
        <v>C55996</v>
      </c>
      <c r="D392" s="7" t="str">
        <f>RawData!D392</f>
        <v>Printer</v>
      </c>
      <c r="E392" s="7">
        <f>RawData!E392</f>
        <v>5</v>
      </c>
      <c r="F392" s="7">
        <f>RawData!F392</f>
        <v>508.69</v>
      </c>
      <c r="G392" s="7" t="str">
        <f>RawData!G392</f>
        <v>885 Main St</v>
      </c>
      <c r="H392" s="7" t="str">
        <f>RawData!H392</f>
        <v>Cash</v>
      </c>
      <c r="I392" s="7" t="str">
        <f>RawData!I392</f>
        <v>Delivered</v>
      </c>
      <c r="J392" s="7" t="str">
        <f>RawData!J392</f>
        <v>TRK30547638</v>
      </c>
      <c r="K392" s="7">
        <f>RawData!K392</f>
        <v>10</v>
      </c>
      <c r="L392" s="7" t="str">
        <f>IF(RawData!L392="","No Coupon",RawData!L392)</f>
        <v>FREESHIP</v>
      </c>
      <c r="M392" s="7" t="str">
        <f>RawData!M392</f>
        <v>Google</v>
      </c>
      <c r="N392" s="7">
        <f>RawData!N392</f>
        <v>2543.4499999999998</v>
      </c>
    </row>
    <row r="393" spans="1:14" x14ac:dyDescent="0.3">
      <c r="A393" s="7" t="str">
        <f>RawData!A393</f>
        <v>ORD200391</v>
      </c>
      <c r="B393" s="11">
        <f>RawData!B393</f>
        <v>45673</v>
      </c>
      <c r="C393" s="7" t="str">
        <f>RawData!C393</f>
        <v>C60037</v>
      </c>
      <c r="D393" s="7" t="str">
        <f>RawData!D393</f>
        <v>Laptop</v>
      </c>
      <c r="E393" s="7">
        <f>RawData!E393</f>
        <v>2</v>
      </c>
      <c r="F393" s="7">
        <f>RawData!F393</f>
        <v>527.46</v>
      </c>
      <c r="G393" s="7" t="str">
        <f>RawData!G393</f>
        <v>516 Main St</v>
      </c>
      <c r="H393" s="7" t="str">
        <f>RawData!H393</f>
        <v>Debit Card</v>
      </c>
      <c r="I393" s="7" t="str">
        <f>RawData!I393</f>
        <v>Cancelled</v>
      </c>
      <c r="J393" s="7" t="str">
        <f>RawData!J393</f>
        <v>TRK82009557</v>
      </c>
      <c r="K393" s="7">
        <f>RawData!K393</f>
        <v>3</v>
      </c>
      <c r="L393" s="7" t="str">
        <f>IF(RawData!L393="","No Coupon",RawData!L393)</f>
        <v>FREESHIP</v>
      </c>
      <c r="M393" s="7" t="str">
        <f>RawData!M393</f>
        <v>Referral</v>
      </c>
      <c r="N393" s="7">
        <f>RawData!N393</f>
        <v>1054.92</v>
      </c>
    </row>
    <row r="394" spans="1:14" x14ac:dyDescent="0.3">
      <c r="A394" s="7" t="str">
        <f>RawData!A394</f>
        <v>ORD200392</v>
      </c>
      <c r="B394" s="11">
        <f>RawData!B394</f>
        <v>45350</v>
      </c>
      <c r="C394" s="7" t="str">
        <f>RawData!C394</f>
        <v>C95100</v>
      </c>
      <c r="D394" s="7" t="str">
        <f>RawData!D394</f>
        <v>Phone</v>
      </c>
      <c r="E394" s="7">
        <f>RawData!E394</f>
        <v>1</v>
      </c>
      <c r="F394" s="7">
        <f>RawData!F394</f>
        <v>627.20000000000005</v>
      </c>
      <c r="G394" s="7" t="str">
        <f>RawData!G394</f>
        <v>197 Main St</v>
      </c>
      <c r="H394" s="7" t="str">
        <f>RawData!H394</f>
        <v>Online</v>
      </c>
      <c r="I394" s="7" t="str">
        <f>RawData!I394</f>
        <v>Delivered</v>
      </c>
      <c r="J394" s="7" t="str">
        <f>RawData!J394</f>
        <v>TRK47366265</v>
      </c>
      <c r="K394" s="7">
        <f>RawData!K394</f>
        <v>1</v>
      </c>
      <c r="L394" s="7" t="str">
        <f>IF(RawData!L394="","No Coupon",RawData!L394)</f>
        <v>WINTER15</v>
      </c>
      <c r="M394" s="7" t="str">
        <f>RawData!M394</f>
        <v>Email</v>
      </c>
      <c r="N394" s="7">
        <f>RawData!N394</f>
        <v>627.20000000000005</v>
      </c>
    </row>
    <row r="395" spans="1:14" x14ac:dyDescent="0.3">
      <c r="A395" s="7" t="str">
        <f>RawData!A395</f>
        <v>ORD200393</v>
      </c>
      <c r="B395" s="11">
        <f>RawData!B395</f>
        <v>45487</v>
      </c>
      <c r="C395" s="7" t="str">
        <f>RawData!C395</f>
        <v>C39906</v>
      </c>
      <c r="D395" s="7" t="str">
        <f>RawData!D395</f>
        <v>Printer</v>
      </c>
      <c r="E395" s="7">
        <f>RawData!E395</f>
        <v>1</v>
      </c>
      <c r="F395" s="7">
        <f>RawData!F395</f>
        <v>75.010000000000005</v>
      </c>
      <c r="G395" s="7" t="str">
        <f>RawData!G395</f>
        <v>921 Main St</v>
      </c>
      <c r="H395" s="7" t="str">
        <f>RawData!H395</f>
        <v>Credit Card</v>
      </c>
      <c r="I395" s="7" t="str">
        <f>RawData!I395</f>
        <v>Returned</v>
      </c>
      <c r="J395" s="7" t="str">
        <f>RawData!J395</f>
        <v>TRK24632134</v>
      </c>
      <c r="K395" s="7">
        <f>RawData!K395</f>
        <v>3</v>
      </c>
      <c r="L395" s="7" t="str">
        <f>IF(RawData!L395="","No Coupon",RawData!L395)</f>
        <v>No Coupon</v>
      </c>
      <c r="M395" s="7" t="str">
        <f>RawData!M395</f>
        <v>Google</v>
      </c>
      <c r="N395" s="7">
        <f>RawData!N395</f>
        <v>75.010000000000005</v>
      </c>
    </row>
    <row r="396" spans="1:14" x14ac:dyDescent="0.3">
      <c r="A396" s="7" t="str">
        <f>RawData!A396</f>
        <v>ORD200394</v>
      </c>
      <c r="B396" s="11">
        <f>RawData!B396</f>
        <v>45112</v>
      </c>
      <c r="C396" s="7" t="str">
        <f>RawData!C396</f>
        <v>C70148</v>
      </c>
      <c r="D396" s="7" t="str">
        <f>RawData!D396</f>
        <v>Desk</v>
      </c>
      <c r="E396" s="7">
        <f>RawData!E396</f>
        <v>5</v>
      </c>
      <c r="F396" s="7">
        <f>RawData!F396</f>
        <v>529.54999999999995</v>
      </c>
      <c r="G396" s="7" t="str">
        <f>RawData!G396</f>
        <v>359 Main St</v>
      </c>
      <c r="H396" s="7" t="str">
        <f>RawData!H396</f>
        <v>Gift Card</v>
      </c>
      <c r="I396" s="7" t="str">
        <f>RawData!I396</f>
        <v>Shipped</v>
      </c>
      <c r="J396" s="7" t="str">
        <f>RawData!J396</f>
        <v>TRK34848650</v>
      </c>
      <c r="K396" s="7">
        <f>RawData!K396</f>
        <v>10</v>
      </c>
      <c r="L396" s="7" t="str">
        <f>IF(RawData!L396="","No Coupon",RawData!L396)</f>
        <v>No Coupon</v>
      </c>
      <c r="M396" s="7" t="str">
        <f>RawData!M396</f>
        <v>Facebook</v>
      </c>
      <c r="N396" s="7">
        <f>RawData!N396</f>
        <v>2647.75</v>
      </c>
    </row>
    <row r="397" spans="1:14" x14ac:dyDescent="0.3">
      <c r="A397" s="7" t="str">
        <f>RawData!A397</f>
        <v>ORD200395</v>
      </c>
      <c r="B397" s="11">
        <f>RawData!B397</f>
        <v>45772</v>
      </c>
      <c r="C397" s="7" t="str">
        <f>RawData!C397</f>
        <v>C30010</v>
      </c>
      <c r="D397" s="7" t="str">
        <f>RawData!D397</f>
        <v>Phone</v>
      </c>
      <c r="E397" s="7">
        <f>RawData!E397</f>
        <v>3</v>
      </c>
      <c r="F397" s="7">
        <f>RawData!F397</f>
        <v>127.41</v>
      </c>
      <c r="G397" s="7" t="str">
        <f>RawData!G397</f>
        <v>830 Main St</v>
      </c>
      <c r="H397" s="7" t="str">
        <f>RawData!H397</f>
        <v>Gift Card</v>
      </c>
      <c r="I397" s="7" t="str">
        <f>RawData!I397</f>
        <v>Delivered</v>
      </c>
      <c r="J397" s="7" t="str">
        <f>RawData!J397</f>
        <v>TRK35386084</v>
      </c>
      <c r="K397" s="7">
        <f>RawData!K397</f>
        <v>7</v>
      </c>
      <c r="L397" s="7" t="str">
        <f>IF(RawData!L397="","No Coupon",RawData!L397)</f>
        <v>SAVE10</v>
      </c>
      <c r="M397" s="7" t="str">
        <f>RawData!M397</f>
        <v>Referral</v>
      </c>
      <c r="N397" s="7">
        <f>RawData!N397</f>
        <v>382.23</v>
      </c>
    </row>
    <row r="398" spans="1:14" x14ac:dyDescent="0.3">
      <c r="A398" s="7" t="str">
        <f>RawData!A398</f>
        <v>ORD200396</v>
      </c>
      <c r="B398" s="11">
        <f>RawData!B398</f>
        <v>45261</v>
      </c>
      <c r="C398" s="7" t="str">
        <f>RawData!C398</f>
        <v>C99217</v>
      </c>
      <c r="D398" s="7" t="str">
        <f>RawData!D398</f>
        <v>Tablet</v>
      </c>
      <c r="E398" s="7">
        <f>RawData!E398</f>
        <v>5</v>
      </c>
      <c r="F398" s="7">
        <f>RawData!F398</f>
        <v>287.13</v>
      </c>
      <c r="G398" s="7" t="str">
        <f>RawData!G398</f>
        <v>778 Main St</v>
      </c>
      <c r="H398" s="7" t="str">
        <f>RawData!H398</f>
        <v>Online</v>
      </c>
      <c r="I398" s="7" t="str">
        <f>RawData!I398</f>
        <v>Shipped</v>
      </c>
      <c r="J398" s="7" t="str">
        <f>RawData!J398</f>
        <v>TRK82004594</v>
      </c>
      <c r="K398" s="7">
        <f>RawData!K398</f>
        <v>10</v>
      </c>
      <c r="L398" s="7" t="str">
        <f>IF(RawData!L398="","No Coupon",RawData!L398)</f>
        <v>SAVE10</v>
      </c>
      <c r="M398" s="7" t="str">
        <f>RawData!M398</f>
        <v>Email</v>
      </c>
      <c r="N398" s="7">
        <f>RawData!N398</f>
        <v>1435.65</v>
      </c>
    </row>
    <row r="399" spans="1:14" x14ac:dyDescent="0.3">
      <c r="A399" s="7" t="str">
        <f>RawData!A399</f>
        <v>ORD200397</v>
      </c>
      <c r="B399" s="11">
        <f>RawData!B399</f>
        <v>45197</v>
      </c>
      <c r="C399" s="7" t="str">
        <f>RawData!C399</f>
        <v>C30184</v>
      </c>
      <c r="D399" s="7" t="str">
        <f>RawData!D399</f>
        <v>Monitor</v>
      </c>
      <c r="E399" s="7">
        <f>RawData!E399</f>
        <v>1</v>
      </c>
      <c r="F399" s="7">
        <f>RawData!F399</f>
        <v>427.06</v>
      </c>
      <c r="G399" s="7" t="str">
        <f>RawData!G399</f>
        <v>987 Main St</v>
      </c>
      <c r="H399" s="7" t="str">
        <f>RawData!H399</f>
        <v>Online</v>
      </c>
      <c r="I399" s="7" t="str">
        <f>RawData!I399</f>
        <v>Cancelled</v>
      </c>
      <c r="J399" s="7" t="str">
        <f>RawData!J399</f>
        <v>TRK86674704</v>
      </c>
      <c r="K399" s="7">
        <f>RawData!K399</f>
        <v>1</v>
      </c>
      <c r="L399" s="7" t="str">
        <f>IF(RawData!L399="","No Coupon",RawData!L399)</f>
        <v>WINTER15</v>
      </c>
      <c r="M399" s="7" t="str">
        <f>RawData!M399</f>
        <v>Referral</v>
      </c>
      <c r="N399" s="7">
        <f>RawData!N399</f>
        <v>427.06</v>
      </c>
    </row>
    <row r="400" spans="1:14" x14ac:dyDescent="0.3">
      <c r="A400" s="7" t="str">
        <f>RawData!A400</f>
        <v>ORD200398</v>
      </c>
      <c r="B400" s="11">
        <f>RawData!B400</f>
        <v>45539</v>
      </c>
      <c r="C400" s="7" t="str">
        <f>RawData!C400</f>
        <v>C50275</v>
      </c>
      <c r="D400" s="7" t="str">
        <f>RawData!D400</f>
        <v>Phone</v>
      </c>
      <c r="E400" s="7">
        <f>RawData!E400</f>
        <v>5</v>
      </c>
      <c r="F400" s="7">
        <f>RawData!F400</f>
        <v>53.93</v>
      </c>
      <c r="G400" s="7" t="str">
        <f>RawData!G400</f>
        <v>729 Main St</v>
      </c>
      <c r="H400" s="7" t="str">
        <f>RawData!H400</f>
        <v>Gift Card</v>
      </c>
      <c r="I400" s="7" t="str">
        <f>RawData!I400</f>
        <v>Shipped</v>
      </c>
      <c r="J400" s="7" t="str">
        <f>RawData!J400</f>
        <v>TRK98925264</v>
      </c>
      <c r="K400" s="7">
        <f>RawData!K400</f>
        <v>7</v>
      </c>
      <c r="L400" s="7" t="str">
        <f>IF(RawData!L400="","No Coupon",RawData!L400)</f>
        <v>SAVE10</v>
      </c>
      <c r="M400" s="7" t="str">
        <f>RawData!M400</f>
        <v>Instagram</v>
      </c>
      <c r="N400" s="7">
        <f>RawData!N400</f>
        <v>269.64999999999998</v>
      </c>
    </row>
    <row r="401" spans="1:14" x14ac:dyDescent="0.3">
      <c r="A401" s="7" t="str">
        <f>RawData!A401</f>
        <v>ORD200399</v>
      </c>
      <c r="B401" s="11">
        <f>RawData!B401</f>
        <v>45298</v>
      </c>
      <c r="C401" s="7" t="str">
        <f>RawData!C401</f>
        <v>C64641</v>
      </c>
      <c r="D401" s="7" t="str">
        <f>RawData!D401</f>
        <v>Tablet</v>
      </c>
      <c r="E401" s="7">
        <f>RawData!E401</f>
        <v>5</v>
      </c>
      <c r="F401" s="7">
        <f>RawData!F401</f>
        <v>423.93</v>
      </c>
      <c r="G401" s="7" t="str">
        <f>RawData!G401</f>
        <v>319 Main St</v>
      </c>
      <c r="H401" s="7" t="str">
        <f>RawData!H401</f>
        <v>Debit Card</v>
      </c>
      <c r="I401" s="7" t="str">
        <f>RawData!I401</f>
        <v>Returned</v>
      </c>
      <c r="J401" s="7" t="str">
        <f>RawData!J401</f>
        <v>TRK32012588</v>
      </c>
      <c r="K401" s="7">
        <f>RawData!K401</f>
        <v>5</v>
      </c>
      <c r="L401" s="7" t="str">
        <f>IF(RawData!L401="","No Coupon",RawData!L401)</f>
        <v>FREESHIP</v>
      </c>
      <c r="M401" s="7" t="str">
        <f>RawData!M401</f>
        <v>Facebook</v>
      </c>
      <c r="N401" s="7">
        <f>RawData!N401</f>
        <v>2119.65</v>
      </c>
    </row>
    <row r="402" spans="1:14" x14ac:dyDescent="0.3">
      <c r="A402" s="7" t="str">
        <f>RawData!A402</f>
        <v>ORD200400</v>
      </c>
      <c r="B402" s="11">
        <f>RawData!B402</f>
        <v>45563</v>
      </c>
      <c r="C402" s="7" t="str">
        <f>RawData!C402</f>
        <v>C56266</v>
      </c>
      <c r="D402" s="7" t="str">
        <f>RawData!D402</f>
        <v>Desk</v>
      </c>
      <c r="E402" s="7">
        <f>RawData!E402</f>
        <v>4</v>
      </c>
      <c r="F402" s="7">
        <f>RawData!F402</f>
        <v>160.22</v>
      </c>
      <c r="G402" s="7" t="str">
        <f>RawData!G402</f>
        <v>304 Main St</v>
      </c>
      <c r="H402" s="7" t="str">
        <f>RawData!H402</f>
        <v>Debit Card</v>
      </c>
      <c r="I402" s="7" t="str">
        <f>RawData!I402</f>
        <v>Returned</v>
      </c>
      <c r="J402" s="7" t="str">
        <f>RawData!J402</f>
        <v>TRK60088901</v>
      </c>
      <c r="K402" s="7">
        <f>RawData!K402</f>
        <v>9</v>
      </c>
      <c r="L402" s="7" t="str">
        <f>IF(RawData!L402="","No Coupon",RawData!L402)</f>
        <v>WINTER15</v>
      </c>
      <c r="M402" s="7" t="str">
        <f>RawData!M402</f>
        <v>Instagram</v>
      </c>
      <c r="N402" s="7">
        <f>RawData!N402</f>
        <v>640.88</v>
      </c>
    </row>
    <row r="403" spans="1:14" x14ac:dyDescent="0.3">
      <c r="A403" s="7" t="str">
        <f>RawData!A403</f>
        <v>ORD200401</v>
      </c>
      <c r="B403" s="11">
        <f>RawData!B403</f>
        <v>45756</v>
      </c>
      <c r="C403" s="7" t="str">
        <f>RawData!C403</f>
        <v>C98635</v>
      </c>
      <c r="D403" s="7" t="str">
        <f>RawData!D403</f>
        <v>Printer</v>
      </c>
      <c r="E403" s="7">
        <f>RawData!E403</f>
        <v>1</v>
      </c>
      <c r="F403" s="7">
        <f>RawData!F403</f>
        <v>538.67999999999995</v>
      </c>
      <c r="G403" s="7" t="str">
        <f>RawData!G403</f>
        <v>197 Main St</v>
      </c>
      <c r="H403" s="7" t="str">
        <f>RawData!H403</f>
        <v>Debit Card</v>
      </c>
      <c r="I403" s="7" t="str">
        <f>RawData!I403</f>
        <v>Returned</v>
      </c>
      <c r="J403" s="7" t="str">
        <f>RawData!J403</f>
        <v>TRK14225465</v>
      </c>
      <c r="K403" s="7">
        <f>RawData!K403</f>
        <v>6</v>
      </c>
      <c r="L403" s="7" t="str">
        <f>IF(RawData!L403="","No Coupon",RawData!L403)</f>
        <v>No Coupon</v>
      </c>
      <c r="M403" s="7" t="str">
        <f>RawData!M403</f>
        <v>Referral</v>
      </c>
      <c r="N403" s="7">
        <f>RawData!N403</f>
        <v>538.67999999999995</v>
      </c>
    </row>
    <row r="404" spans="1:14" x14ac:dyDescent="0.3">
      <c r="A404" s="7" t="str">
        <f>RawData!A404</f>
        <v>ORD200402</v>
      </c>
      <c r="B404" s="11">
        <f>RawData!B404</f>
        <v>45025</v>
      </c>
      <c r="C404" s="7" t="str">
        <f>RawData!C404</f>
        <v>C83026</v>
      </c>
      <c r="D404" s="7" t="str">
        <f>RawData!D404</f>
        <v>Printer</v>
      </c>
      <c r="E404" s="7">
        <f>RawData!E404</f>
        <v>5</v>
      </c>
      <c r="F404" s="7">
        <f>RawData!F404</f>
        <v>337.38</v>
      </c>
      <c r="G404" s="7" t="str">
        <f>RawData!G404</f>
        <v>858 Main St</v>
      </c>
      <c r="H404" s="7" t="str">
        <f>RawData!H404</f>
        <v>Gift Card</v>
      </c>
      <c r="I404" s="7" t="str">
        <f>RawData!I404</f>
        <v>Shipped</v>
      </c>
      <c r="J404" s="7" t="str">
        <f>RawData!J404</f>
        <v>TRK79746259</v>
      </c>
      <c r="K404" s="7">
        <f>RawData!K404</f>
        <v>5</v>
      </c>
      <c r="L404" s="7" t="str">
        <f>IF(RawData!L404="","No Coupon",RawData!L404)</f>
        <v>No Coupon</v>
      </c>
      <c r="M404" s="7" t="str">
        <f>RawData!M404</f>
        <v>Referral</v>
      </c>
      <c r="N404" s="7">
        <f>RawData!N404</f>
        <v>1686.9</v>
      </c>
    </row>
    <row r="405" spans="1:14" x14ac:dyDescent="0.3">
      <c r="A405" s="7" t="str">
        <f>RawData!A405</f>
        <v>ORD200403</v>
      </c>
      <c r="B405" s="11">
        <f>RawData!B405</f>
        <v>45606</v>
      </c>
      <c r="C405" s="7" t="str">
        <f>RawData!C405</f>
        <v>C28893</v>
      </c>
      <c r="D405" s="7" t="str">
        <f>RawData!D405</f>
        <v>Tablet</v>
      </c>
      <c r="E405" s="7">
        <f>RawData!E405</f>
        <v>1</v>
      </c>
      <c r="F405" s="7">
        <f>RawData!F405</f>
        <v>620.21</v>
      </c>
      <c r="G405" s="7" t="str">
        <f>RawData!G405</f>
        <v>740 Main St</v>
      </c>
      <c r="H405" s="7" t="str">
        <f>RawData!H405</f>
        <v>Online</v>
      </c>
      <c r="I405" s="7" t="str">
        <f>RawData!I405</f>
        <v>Returned</v>
      </c>
      <c r="J405" s="7" t="str">
        <f>RawData!J405</f>
        <v>TRK98333066</v>
      </c>
      <c r="K405" s="7">
        <f>RawData!K405</f>
        <v>1</v>
      </c>
      <c r="L405" s="7" t="str">
        <f>IF(RawData!L405="","No Coupon",RawData!L405)</f>
        <v>FREESHIP</v>
      </c>
      <c r="M405" s="7" t="str">
        <f>RawData!M405</f>
        <v>Referral</v>
      </c>
      <c r="N405" s="7">
        <f>RawData!N405</f>
        <v>620.21</v>
      </c>
    </row>
    <row r="406" spans="1:14" x14ac:dyDescent="0.3">
      <c r="A406" s="7" t="str">
        <f>RawData!A406</f>
        <v>ORD200404</v>
      </c>
      <c r="B406" s="11">
        <f>RawData!B406</f>
        <v>44994</v>
      </c>
      <c r="C406" s="7" t="str">
        <f>RawData!C406</f>
        <v>C45482</v>
      </c>
      <c r="D406" s="7" t="str">
        <f>RawData!D406</f>
        <v>Monitor</v>
      </c>
      <c r="E406" s="7">
        <f>RawData!E406</f>
        <v>2</v>
      </c>
      <c r="F406" s="7">
        <f>RawData!F406</f>
        <v>99.1</v>
      </c>
      <c r="G406" s="7" t="str">
        <f>RawData!G406</f>
        <v>440 Main St</v>
      </c>
      <c r="H406" s="7" t="str">
        <f>RawData!H406</f>
        <v>Cash</v>
      </c>
      <c r="I406" s="7" t="str">
        <f>RawData!I406</f>
        <v>Delivered</v>
      </c>
      <c r="J406" s="7" t="str">
        <f>RawData!J406</f>
        <v>TRK54571699</v>
      </c>
      <c r="K406" s="7">
        <f>RawData!K406</f>
        <v>6</v>
      </c>
      <c r="L406" s="7" t="str">
        <f>IF(RawData!L406="","No Coupon",RawData!L406)</f>
        <v>No Coupon</v>
      </c>
      <c r="M406" s="7" t="str">
        <f>RawData!M406</f>
        <v>Instagram</v>
      </c>
      <c r="N406" s="7">
        <f>RawData!N406</f>
        <v>198.2</v>
      </c>
    </row>
    <row r="407" spans="1:14" x14ac:dyDescent="0.3">
      <c r="A407" s="7" t="str">
        <f>RawData!A407</f>
        <v>ORD200405</v>
      </c>
      <c r="B407" s="11">
        <f>RawData!B407</f>
        <v>45683</v>
      </c>
      <c r="C407" s="7" t="str">
        <f>RawData!C407</f>
        <v>C97774</v>
      </c>
      <c r="D407" s="7" t="str">
        <f>RawData!D407</f>
        <v>Monitor</v>
      </c>
      <c r="E407" s="7">
        <f>RawData!E407</f>
        <v>4</v>
      </c>
      <c r="F407" s="7">
        <f>RawData!F407</f>
        <v>451.97</v>
      </c>
      <c r="G407" s="7" t="str">
        <f>RawData!G407</f>
        <v>603 Main St</v>
      </c>
      <c r="H407" s="7" t="str">
        <f>RawData!H407</f>
        <v>Online</v>
      </c>
      <c r="I407" s="7" t="str">
        <f>RawData!I407</f>
        <v>Cancelled</v>
      </c>
      <c r="J407" s="7" t="str">
        <f>RawData!J407</f>
        <v>TRK64664424</v>
      </c>
      <c r="K407" s="7">
        <f>RawData!K407</f>
        <v>7</v>
      </c>
      <c r="L407" s="7" t="str">
        <f>IF(RawData!L407="","No Coupon",RawData!L407)</f>
        <v>WINTER15</v>
      </c>
      <c r="M407" s="7" t="str">
        <f>RawData!M407</f>
        <v>Email</v>
      </c>
      <c r="N407" s="7">
        <f>RawData!N407</f>
        <v>1807.88</v>
      </c>
    </row>
    <row r="408" spans="1:14" x14ac:dyDescent="0.3">
      <c r="A408" s="7" t="str">
        <f>RawData!A408</f>
        <v>ORD200406</v>
      </c>
      <c r="B408" s="11">
        <f>RawData!B408</f>
        <v>45270</v>
      </c>
      <c r="C408" s="7" t="str">
        <f>RawData!C408</f>
        <v>C11657</v>
      </c>
      <c r="D408" s="7" t="str">
        <f>RawData!D408</f>
        <v>Tablet</v>
      </c>
      <c r="E408" s="7">
        <f>RawData!E408</f>
        <v>4</v>
      </c>
      <c r="F408" s="7">
        <f>RawData!F408</f>
        <v>66.099999999999994</v>
      </c>
      <c r="G408" s="7" t="str">
        <f>RawData!G408</f>
        <v>572 Main St</v>
      </c>
      <c r="H408" s="7" t="str">
        <f>RawData!H408</f>
        <v>Cash</v>
      </c>
      <c r="I408" s="7" t="str">
        <f>RawData!I408</f>
        <v>Returned</v>
      </c>
      <c r="J408" s="7" t="str">
        <f>RawData!J408</f>
        <v>TRK50284486</v>
      </c>
      <c r="K408" s="7">
        <f>RawData!K408</f>
        <v>9</v>
      </c>
      <c r="L408" s="7" t="str">
        <f>IF(RawData!L408="","No Coupon",RawData!L408)</f>
        <v>WINTER15</v>
      </c>
      <c r="M408" s="7" t="str">
        <f>RawData!M408</f>
        <v>Google</v>
      </c>
      <c r="N408" s="7">
        <f>RawData!N408</f>
        <v>264.39999999999998</v>
      </c>
    </row>
    <row r="409" spans="1:14" x14ac:dyDescent="0.3">
      <c r="A409" s="7" t="str">
        <f>RawData!A409</f>
        <v>ORD200407</v>
      </c>
      <c r="B409" s="11">
        <f>RawData!B409</f>
        <v>45151</v>
      </c>
      <c r="C409" s="7" t="str">
        <f>RawData!C409</f>
        <v>C85993</v>
      </c>
      <c r="D409" s="7" t="str">
        <f>RawData!D409</f>
        <v>Tablet</v>
      </c>
      <c r="E409" s="7">
        <f>RawData!E409</f>
        <v>4</v>
      </c>
      <c r="F409" s="7">
        <f>RawData!F409</f>
        <v>547.32000000000005</v>
      </c>
      <c r="G409" s="7" t="str">
        <f>RawData!G409</f>
        <v>250 Main St</v>
      </c>
      <c r="H409" s="7" t="str">
        <f>RawData!H409</f>
        <v>Cash</v>
      </c>
      <c r="I409" s="7" t="str">
        <f>RawData!I409</f>
        <v>Returned</v>
      </c>
      <c r="J409" s="7" t="str">
        <f>RawData!J409</f>
        <v>TRK72547640</v>
      </c>
      <c r="K409" s="7">
        <f>RawData!K409</f>
        <v>8</v>
      </c>
      <c r="L409" s="7" t="str">
        <f>IF(RawData!L409="","No Coupon",RawData!L409)</f>
        <v>FREESHIP</v>
      </c>
      <c r="M409" s="7" t="str">
        <f>RawData!M409</f>
        <v>Instagram</v>
      </c>
      <c r="N409" s="7">
        <f>RawData!N409</f>
        <v>2189.2800000000002</v>
      </c>
    </row>
    <row r="410" spans="1:14" x14ac:dyDescent="0.3">
      <c r="A410" s="7" t="str">
        <f>RawData!A410</f>
        <v>ORD200408</v>
      </c>
      <c r="B410" s="11">
        <f>RawData!B410</f>
        <v>45658</v>
      </c>
      <c r="C410" s="7" t="str">
        <f>RawData!C410</f>
        <v>C11906</v>
      </c>
      <c r="D410" s="7" t="str">
        <f>RawData!D410</f>
        <v>Printer</v>
      </c>
      <c r="E410" s="7">
        <f>RawData!E410</f>
        <v>3</v>
      </c>
      <c r="F410" s="7">
        <f>RawData!F410</f>
        <v>412.53</v>
      </c>
      <c r="G410" s="7" t="str">
        <f>RawData!G410</f>
        <v>536 Main St</v>
      </c>
      <c r="H410" s="7" t="str">
        <f>RawData!H410</f>
        <v>Online</v>
      </c>
      <c r="I410" s="7" t="str">
        <f>RawData!I410</f>
        <v>Pending</v>
      </c>
      <c r="J410" s="7" t="str">
        <f>RawData!J410</f>
        <v>TRK31140158</v>
      </c>
      <c r="K410" s="7">
        <f>RawData!K410</f>
        <v>6</v>
      </c>
      <c r="L410" s="7" t="str">
        <f>IF(RawData!L410="","No Coupon",RawData!L410)</f>
        <v>WINTER15</v>
      </c>
      <c r="M410" s="7" t="str">
        <f>RawData!M410</f>
        <v>Google</v>
      </c>
      <c r="N410" s="7">
        <f>RawData!N410</f>
        <v>1237.5899999999999</v>
      </c>
    </row>
    <row r="411" spans="1:14" x14ac:dyDescent="0.3">
      <c r="A411" s="7" t="str">
        <f>RawData!A411</f>
        <v>ORD200409</v>
      </c>
      <c r="B411" s="11">
        <f>RawData!B411</f>
        <v>45105</v>
      </c>
      <c r="C411" s="7" t="str">
        <f>RawData!C411</f>
        <v>C45187</v>
      </c>
      <c r="D411" s="7" t="str">
        <f>RawData!D411</f>
        <v>Desk</v>
      </c>
      <c r="E411" s="7">
        <f>RawData!E411</f>
        <v>5</v>
      </c>
      <c r="F411" s="7">
        <f>RawData!F411</f>
        <v>84.13</v>
      </c>
      <c r="G411" s="7" t="str">
        <f>RawData!G411</f>
        <v>767 Main St</v>
      </c>
      <c r="H411" s="7" t="str">
        <f>RawData!H411</f>
        <v>Online</v>
      </c>
      <c r="I411" s="7" t="str">
        <f>RawData!I411</f>
        <v>Delivered</v>
      </c>
      <c r="J411" s="7" t="str">
        <f>RawData!J411</f>
        <v>TRK12320793</v>
      </c>
      <c r="K411" s="7">
        <f>RawData!K411</f>
        <v>9</v>
      </c>
      <c r="L411" s="7" t="str">
        <f>IF(RawData!L411="","No Coupon",RawData!L411)</f>
        <v>SAVE10</v>
      </c>
      <c r="M411" s="7" t="str">
        <f>RawData!M411</f>
        <v>Google</v>
      </c>
      <c r="N411" s="7">
        <f>RawData!N411</f>
        <v>420.65</v>
      </c>
    </row>
    <row r="412" spans="1:14" x14ac:dyDescent="0.3">
      <c r="A412" s="7" t="str">
        <f>RawData!A412</f>
        <v>ORD200410</v>
      </c>
      <c r="B412" s="11">
        <f>RawData!B412</f>
        <v>45309</v>
      </c>
      <c r="C412" s="7" t="str">
        <f>RawData!C412</f>
        <v>C37375</v>
      </c>
      <c r="D412" s="7" t="str">
        <f>RawData!D412</f>
        <v>Tablet</v>
      </c>
      <c r="E412" s="7">
        <f>RawData!E412</f>
        <v>2</v>
      </c>
      <c r="F412" s="7">
        <f>RawData!F412</f>
        <v>518.23</v>
      </c>
      <c r="G412" s="7" t="str">
        <f>RawData!G412</f>
        <v>184 Main St</v>
      </c>
      <c r="H412" s="7" t="str">
        <f>RawData!H412</f>
        <v>Debit Card</v>
      </c>
      <c r="I412" s="7" t="str">
        <f>RawData!I412</f>
        <v>Shipped</v>
      </c>
      <c r="J412" s="7" t="str">
        <f>RawData!J412</f>
        <v>TRK52470162</v>
      </c>
      <c r="K412" s="7">
        <f>RawData!K412</f>
        <v>5</v>
      </c>
      <c r="L412" s="7" t="str">
        <f>IF(RawData!L412="","No Coupon",RawData!L412)</f>
        <v>No Coupon</v>
      </c>
      <c r="M412" s="7" t="str">
        <f>RawData!M412</f>
        <v>Email</v>
      </c>
      <c r="N412" s="7">
        <f>RawData!N412</f>
        <v>1036.46</v>
      </c>
    </row>
    <row r="413" spans="1:14" x14ac:dyDescent="0.3">
      <c r="A413" s="7" t="str">
        <f>RawData!A413</f>
        <v>ORD200411</v>
      </c>
      <c r="B413" s="11">
        <f>RawData!B413</f>
        <v>45462</v>
      </c>
      <c r="C413" s="7" t="str">
        <f>RawData!C413</f>
        <v>C66567</v>
      </c>
      <c r="D413" s="7" t="str">
        <f>RawData!D413</f>
        <v>Desk</v>
      </c>
      <c r="E413" s="7">
        <f>RawData!E413</f>
        <v>2</v>
      </c>
      <c r="F413" s="7">
        <f>RawData!F413</f>
        <v>39.51</v>
      </c>
      <c r="G413" s="7" t="str">
        <f>RawData!G413</f>
        <v>981 Main St</v>
      </c>
      <c r="H413" s="7" t="str">
        <f>RawData!H413</f>
        <v>Online</v>
      </c>
      <c r="I413" s="7" t="str">
        <f>RawData!I413</f>
        <v>Shipped</v>
      </c>
      <c r="J413" s="7" t="str">
        <f>RawData!J413</f>
        <v>TRK21174822</v>
      </c>
      <c r="K413" s="7">
        <f>RawData!K413</f>
        <v>5</v>
      </c>
      <c r="L413" s="7" t="str">
        <f>IF(RawData!L413="","No Coupon",RawData!L413)</f>
        <v>No Coupon</v>
      </c>
      <c r="M413" s="7" t="str">
        <f>RawData!M413</f>
        <v>Facebook</v>
      </c>
      <c r="N413" s="7">
        <f>RawData!N413</f>
        <v>79.02</v>
      </c>
    </row>
    <row r="414" spans="1:14" x14ac:dyDescent="0.3">
      <c r="A414" s="7" t="str">
        <f>RawData!A414</f>
        <v>ORD200412</v>
      </c>
      <c r="B414" s="11">
        <f>RawData!B414</f>
        <v>45758</v>
      </c>
      <c r="C414" s="7" t="str">
        <f>RawData!C414</f>
        <v>C42451</v>
      </c>
      <c r="D414" s="7" t="str">
        <f>RawData!D414</f>
        <v>Tablet</v>
      </c>
      <c r="E414" s="7">
        <f>RawData!E414</f>
        <v>5</v>
      </c>
      <c r="F414" s="7">
        <f>RawData!F414</f>
        <v>133.01</v>
      </c>
      <c r="G414" s="7" t="str">
        <f>RawData!G414</f>
        <v>246 Main St</v>
      </c>
      <c r="H414" s="7" t="str">
        <f>RawData!H414</f>
        <v>Credit Card</v>
      </c>
      <c r="I414" s="7" t="str">
        <f>RawData!I414</f>
        <v>Returned</v>
      </c>
      <c r="J414" s="7" t="str">
        <f>RawData!J414</f>
        <v>TRK31313343</v>
      </c>
      <c r="K414" s="7">
        <f>RawData!K414</f>
        <v>10</v>
      </c>
      <c r="L414" s="7" t="str">
        <f>IF(RawData!L414="","No Coupon",RawData!L414)</f>
        <v>No Coupon</v>
      </c>
      <c r="M414" s="7" t="str">
        <f>RawData!M414</f>
        <v>Facebook</v>
      </c>
      <c r="N414" s="7">
        <f>RawData!N414</f>
        <v>665.05</v>
      </c>
    </row>
    <row r="415" spans="1:14" x14ac:dyDescent="0.3">
      <c r="A415" s="7" t="str">
        <f>RawData!A415</f>
        <v>ORD200413</v>
      </c>
      <c r="B415" s="11">
        <f>RawData!B415</f>
        <v>45207</v>
      </c>
      <c r="C415" s="7" t="str">
        <f>RawData!C415</f>
        <v>C13923</v>
      </c>
      <c r="D415" s="7" t="str">
        <f>RawData!D415</f>
        <v>Tablet</v>
      </c>
      <c r="E415" s="7">
        <f>RawData!E415</f>
        <v>1</v>
      </c>
      <c r="F415" s="7">
        <f>RawData!F415</f>
        <v>118.8</v>
      </c>
      <c r="G415" s="7" t="str">
        <f>RawData!G415</f>
        <v>123 Main St</v>
      </c>
      <c r="H415" s="7" t="str">
        <f>RawData!H415</f>
        <v>Online</v>
      </c>
      <c r="I415" s="7" t="str">
        <f>RawData!I415</f>
        <v>Delivered</v>
      </c>
      <c r="J415" s="7" t="str">
        <f>RawData!J415</f>
        <v>TRK87598790</v>
      </c>
      <c r="K415" s="7">
        <f>RawData!K415</f>
        <v>6</v>
      </c>
      <c r="L415" s="7" t="str">
        <f>IF(RawData!L415="","No Coupon",RawData!L415)</f>
        <v>SAVE10</v>
      </c>
      <c r="M415" s="7" t="str">
        <f>RawData!M415</f>
        <v>Email</v>
      </c>
      <c r="N415" s="7">
        <f>RawData!N415</f>
        <v>118.8</v>
      </c>
    </row>
    <row r="416" spans="1:14" x14ac:dyDescent="0.3">
      <c r="A416" s="7" t="str">
        <f>RawData!A416</f>
        <v>ORD200414</v>
      </c>
      <c r="B416" s="11">
        <f>RawData!B416</f>
        <v>45781</v>
      </c>
      <c r="C416" s="7" t="str">
        <f>RawData!C416</f>
        <v>C11829</v>
      </c>
      <c r="D416" s="7" t="str">
        <f>RawData!D416</f>
        <v>Desk</v>
      </c>
      <c r="E416" s="7">
        <f>RawData!E416</f>
        <v>2</v>
      </c>
      <c r="F416" s="7">
        <f>RawData!F416</f>
        <v>139.57</v>
      </c>
      <c r="G416" s="7" t="str">
        <f>RawData!G416</f>
        <v>797 Main St</v>
      </c>
      <c r="H416" s="7" t="str">
        <f>RawData!H416</f>
        <v>Cash</v>
      </c>
      <c r="I416" s="7" t="str">
        <f>RawData!I416</f>
        <v>Delivered</v>
      </c>
      <c r="J416" s="7" t="str">
        <f>RawData!J416</f>
        <v>TRK84229257</v>
      </c>
      <c r="K416" s="7">
        <f>RawData!K416</f>
        <v>4</v>
      </c>
      <c r="L416" s="7" t="str">
        <f>IF(RawData!L416="","No Coupon",RawData!L416)</f>
        <v>WINTER15</v>
      </c>
      <c r="M416" s="7" t="str">
        <f>RawData!M416</f>
        <v>Facebook</v>
      </c>
      <c r="N416" s="7">
        <f>RawData!N416</f>
        <v>279.14</v>
      </c>
    </row>
    <row r="417" spans="1:14" x14ac:dyDescent="0.3">
      <c r="A417" s="7" t="str">
        <f>RawData!A417</f>
        <v>ORD200415</v>
      </c>
      <c r="B417" s="11">
        <f>RawData!B417</f>
        <v>45753</v>
      </c>
      <c r="C417" s="7" t="str">
        <f>RawData!C417</f>
        <v>C62169</v>
      </c>
      <c r="D417" s="7" t="str">
        <f>RawData!D417</f>
        <v>Chair</v>
      </c>
      <c r="E417" s="7">
        <f>RawData!E417</f>
        <v>1</v>
      </c>
      <c r="F417" s="7">
        <f>RawData!F417</f>
        <v>184.15</v>
      </c>
      <c r="G417" s="7" t="str">
        <f>RawData!G417</f>
        <v>655 Main St</v>
      </c>
      <c r="H417" s="7" t="str">
        <f>RawData!H417</f>
        <v>Gift Card</v>
      </c>
      <c r="I417" s="7" t="str">
        <f>RawData!I417</f>
        <v>Shipped</v>
      </c>
      <c r="J417" s="7" t="str">
        <f>RawData!J417</f>
        <v>TRK64558985</v>
      </c>
      <c r="K417" s="7">
        <f>RawData!K417</f>
        <v>5</v>
      </c>
      <c r="L417" s="7" t="str">
        <f>IF(RawData!L417="","No Coupon",RawData!L417)</f>
        <v>FREESHIP</v>
      </c>
      <c r="M417" s="7" t="str">
        <f>RawData!M417</f>
        <v>Facebook</v>
      </c>
      <c r="N417" s="7">
        <f>RawData!N417</f>
        <v>184.15</v>
      </c>
    </row>
    <row r="418" spans="1:14" x14ac:dyDescent="0.3">
      <c r="A418" s="7" t="str">
        <f>RawData!A418</f>
        <v>ORD200416</v>
      </c>
      <c r="B418" s="11">
        <f>RawData!B418</f>
        <v>45125</v>
      </c>
      <c r="C418" s="7" t="str">
        <f>RawData!C418</f>
        <v>C20881</v>
      </c>
      <c r="D418" s="7" t="str">
        <f>RawData!D418</f>
        <v>Laptop</v>
      </c>
      <c r="E418" s="7">
        <f>RawData!E418</f>
        <v>2</v>
      </c>
      <c r="F418" s="7">
        <f>RawData!F418</f>
        <v>644.04999999999995</v>
      </c>
      <c r="G418" s="7" t="str">
        <f>RawData!G418</f>
        <v>652 Main St</v>
      </c>
      <c r="H418" s="7" t="str">
        <f>RawData!H418</f>
        <v>Gift Card</v>
      </c>
      <c r="I418" s="7" t="str">
        <f>RawData!I418</f>
        <v>Cancelled</v>
      </c>
      <c r="J418" s="7" t="str">
        <f>RawData!J418</f>
        <v>TRK26263902</v>
      </c>
      <c r="K418" s="7">
        <f>RawData!K418</f>
        <v>5</v>
      </c>
      <c r="L418" s="7" t="str">
        <f>IF(RawData!L418="","No Coupon",RawData!L418)</f>
        <v>WINTER15</v>
      </c>
      <c r="M418" s="7" t="str">
        <f>RawData!M418</f>
        <v>Referral</v>
      </c>
      <c r="N418" s="7">
        <f>RawData!N418</f>
        <v>1288.0999999999999</v>
      </c>
    </row>
    <row r="419" spans="1:14" x14ac:dyDescent="0.3">
      <c r="A419" s="7" t="str">
        <f>RawData!A419</f>
        <v>ORD200417</v>
      </c>
      <c r="B419" s="11">
        <f>RawData!B419</f>
        <v>45223</v>
      </c>
      <c r="C419" s="7" t="str">
        <f>RawData!C419</f>
        <v>C44492</v>
      </c>
      <c r="D419" s="7" t="str">
        <f>RawData!D419</f>
        <v>Laptop</v>
      </c>
      <c r="E419" s="7">
        <f>RawData!E419</f>
        <v>5</v>
      </c>
      <c r="F419" s="7">
        <f>RawData!F419</f>
        <v>55.41</v>
      </c>
      <c r="G419" s="7" t="str">
        <f>RawData!G419</f>
        <v>954 Main St</v>
      </c>
      <c r="H419" s="7" t="str">
        <f>RawData!H419</f>
        <v>Online</v>
      </c>
      <c r="I419" s="7" t="str">
        <f>RawData!I419</f>
        <v>Cancelled</v>
      </c>
      <c r="J419" s="7" t="str">
        <f>RawData!J419</f>
        <v>TRK51429869</v>
      </c>
      <c r="K419" s="7">
        <f>RawData!K419</f>
        <v>5</v>
      </c>
      <c r="L419" s="7" t="str">
        <f>IF(RawData!L419="","No Coupon",RawData!L419)</f>
        <v>No Coupon</v>
      </c>
      <c r="M419" s="7" t="str">
        <f>RawData!M419</f>
        <v>Google</v>
      </c>
      <c r="N419" s="7">
        <f>RawData!N419</f>
        <v>277.05</v>
      </c>
    </row>
    <row r="420" spans="1:14" x14ac:dyDescent="0.3">
      <c r="A420" s="7" t="str">
        <f>RawData!A420</f>
        <v>ORD200418</v>
      </c>
      <c r="B420" s="11">
        <f>RawData!B420</f>
        <v>44937</v>
      </c>
      <c r="C420" s="7" t="str">
        <f>RawData!C420</f>
        <v>C74169</v>
      </c>
      <c r="D420" s="7" t="str">
        <f>RawData!D420</f>
        <v>Printer</v>
      </c>
      <c r="E420" s="7">
        <f>RawData!E420</f>
        <v>1</v>
      </c>
      <c r="F420" s="7">
        <f>RawData!F420</f>
        <v>310.93</v>
      </c>
      <c r="G420" s="7" t="str">
        <f>RawData!G420</f>
        <v>862 Main St</v>
      </c>
      <c r="H420" s="7" t="str">
        <f>RawData!H420</f>
        <v>Online</v>
      </c>
      <c r="I420" s="7" t="str">
        <f>RawData!I420</f>
        <v>Cancelled</v>
      </c>
      <c r="J420" s="7" t="str">
        <f>RawData!J420</f>
        <v>TRK66144809</v>
      </c>
      <c r="K420" s="7">
        <f>RawData!K420</f>
        <v>3</v>
      </c>
      <c r="L420" s="7" t="str">
        <f>IF(RawData!L420="","No Coupon",RawData!L420)</f>
        <v>No Coupon</v>
      </c>
      <c r="M420" s="7" t="str">
        <f>RawData!M420</f>
        <v>Facebook</v>
      </c>
      <c r="N420" s="7">
        <f>RawData!N420</f>
        <v>310.93</v>
      </c>
    </row>
    <row r="421" spans="1:14" x14ac:dyDescent="0.3">
      <c r="A421" s="7" t="str">
        <f>RawData!A421</f>
        <v>ORD200419</v>
      </c>
      <c r="B421" s="11">
        <f>RawData!B421</f>
        <v>45399</v>
      </c>
      <c r="C421" s="7" t="str">
        <f>RawData!C421</f>
        <v>C70999</v>
      </c>
      <c r="D421" s="7" t="str">
        <f>RawData!D421</f>
        <v>Tablet</v>
      </c>
      <c r="E421" s="7">
        <f>RawData!E421</f>
        <v>2</v>
      </c>
      <c r="F421" s="7">
        <f>RawData!F421</f>
        <v>216.66</v>
      </c>
      <c r="G421" s="7" t="str">
        <f>RawData!G421</f>
        <v>885 Main St</v>
      </c>
      <c r="H421" s="7" t="str">
        <f>RawData!H421</f>
        <v>Debit Card</v>
      </c>
      <c r="I421" s="7" t="str">
        <f>RawData!I421</f>
        <v>Pending</v>
      </c>
      <c r="J421" s="7" t="str">
        <f>RawData!J421</f>
        <v>TRK75644156</v>
      </c>
      <c r="K421" s="7">
        <f>RawData!K421</f>
        <v>6</v>
      </c>
      <c r="L421" s="7" t="str">
        <f>IF(RawData!L421="","No Coupon",RawData!L421)</f>
        <v>FREESHIP</v>
      </c>
      <c r="M421" s="7" t="str">
        <f>RawData!M421</f>
        <v>Instagram</v>
      </c>
      <c r="N421" s="7">
        <f>RawData!N421</f>
        <v>433.32</v>
      </c>
    </row>
    <row r="422" spans="1:14" x14ac:dyDescent="0.3">
      <c r="A422" s="7" t="str">
        <f>RawData!A422</f>
        <v>ORD200420</v>
      </c>
      <c r="B422" s="11">
        <f>RawData!B422</f>
        <v>45625</v>
      </c>
      <c r="C422" s="7" t="str">
        <f>RawData!C422</f>
        <v>C11921</v>
      </c>
      <c r="D422" s="7" t="str">
        <f>RawData!D422</f>
        <v>Phone</v>
      </c>
      <c r="E422" s="7">
        <f>RawData!E422</f>
        <v>1</v>
      </c>
      <c r="F422" s="7">
        <f>RawData!F422</f>
        <v>452.7</v>
      </c>
      <c r="G422" s="7" t="str">
        <f>RawData!G422</f>
        <v>439 Main St</v>
      </c>
      <c r="H422" s="7" t="str">
        <f>RawData!H422</f>
        <v>Debit Card</v>
      </c>
      <c r="I422" s="7" t="str">
        <f>RawData!I422</f>
        <v>Shipped</v>
      </c>
      <c r="J422" s="7" t="str">
        <f>RawData!J422</f>
        <v>TRK91362635</v>
      </c>
      <c r="K422" s="7">
        <f>RawData!K422</f>
        <v>5</v>
      </c>
      <c r="L422" s="7" t="str">
        <f>IF(RawData!L422="","No Coupon",RawData!L422)</f>
        <v>FREESHIP</v>
      </c>
      <c r="M422" s="7" t="str">
        <f>RawData!M422</f>
        <v>Instagram</v>
      </c>
      <c r="N422" s="7">
        <f>RawData!N422</f>
        <v>452.7</v>
      </c>
    </row>
    <row r="423" spans="1:14" x14ac:dyDescent="0.3">
      <c r="A423" s="7" t="str">
        <f>RawData!A423</f>
        <v>ORD200421</v>
      </c>
      <c r="B423" s="11">
        <f>RawData!B423</f>
        <v>45214</v>
      </c>
      <c r="C423" s="7" t="str">
        <f>RawData!C423</f>
        <v>C50683</v>
      </c>
      <c r="D423" s="7" t="str">
        <f>RawData!D423</f>
        <v>Chair</v>
      </c>
      <c r="E423" s="7">
        <f>RawData!E423</f>
        <v>2</v>
      </c>
      <c r="F423" s="7">
        <f>RawData!F423</f>
        <v>288.20999999999998</v>
      </c>
      <c r="G423" s="7" t="str">
        <f>RawData!G423</f>
        <v>769 Main St</v>
      </c>
      <c r="H423" s="7" t="str">
        <f>RawData!H423</f>
        <v>Debit Card</v>
      </c>
      <c r="I423" s="7" t="str">
        <f>RawData!I423</f>
        <v>Cancelled</v>
      </c>
      <c r="J423" s="7" t="str">
        <f>RawData!J423</f>
        <v>TRK53032122</v>
      </c>
      <c r="K423" s="7">
        <f>RawData!K423</f>
        <v>5</v>
      </c>
      <c r="L423" s="7" t="str">
        <f>IF(RawData!L423="","No Coupon",RawData!L423)</f>
        <v>No Coupon</v>
      </c>
      <c r="M423" s="7" t="str">
        <f>RawData!M423</f>
        <v>Email</v>
      </c>
      <c r="N423" s="7">
        <f>RawData!N423</f>
        <v>576.41999999999996</v>
      </c>
    </row>
    <row r="424" spans="1:14" x14ac:dyDescent="0.3">
      <c r="A424" s="7" t="str">
        <f>RawData!A424</f>
        <v>ORD200422</v>
      </c>
      <c r="B424" s="11">
        <f>RawData!B424</f>
        <v>45082</v>
      </c>
      <c r="C424" s="7" t="str">
        <f>RawData!C424</f>
        <v>C76140</v>
      </c>
      <c r="D424" s="7" t="str">
        <f>RawData!D424</f>
        <v>Phone</v>
      </c>
      <c r="E424" s="7">
        <f>RawData!E424</f>
        <v>4</v>
      </c>
      <c r="F424" s="7">
        <f>RawData!F424</f>
        <v>206.6</v>
      </c>
      <c r="G424" s="7" t="str">
        <f>RawData!G424</f>
        <v>914 Main St</v>
      </c>
      <c r="H424" s="7" t="str">
        <f>RawData!H424</f>
        <v>Gift Card</v>
      </c>
      <c r="I424" s="7" t="str">
        <f>RawData!I424</f>
        <v>Returned</v>
      </c>
      <c r="J424" s="7" t="str">
        <f>RawData!J424</f>
        <v>TRK25861469</v>
      </c>
      <c r="K424" s="7">
        <f>RawData!K424</f>
        <v>6</v>
      </c>
      <c r="L424" s="7" t="str">
        <f>IF(RawData!L424="","No Coupon",RawData!L424)</f>
        <v>WINTER15</v>
      </c>
      <c r="M424" s="7" t="str">
        <f>RawData!M424</f>
        <v>Referral</v>
      </c>
      <c r="N424" s="7">
        <f>RawData!N424</f>
        <v>826.4</v>
      </c>
    </row>
    <row r="425" spans="1:14" x14ac:dyDescent="0.3">
      <c r="A425" s="7" t="str">
        <f>RawData!A425</f>
        <v>ORD200423</v>
      </c>
      <c r="B425" s="11">
        <f>RawData!B425</f>
        <v>45493</v>
      </c>
      <c r="C425" s="7" t="str">
        <f>RawData!C425</f>
        <v>C94311</v>
      </c>
      <c r="D425" s="7" t="str">
        <f>RawData!D425</f>
        <v>Printer</v>
      </c>
      <c r="E425" s="7">
        <f>RawData!E425</f>
        <v>4</v>
      </c>
      <c r="F425" s="7">
        <f>RawData!F425</f>
        <v>685.2</v>
      </c>
      <c r="G425" s="7" t="str">
        <f>RawData!G425</f>
        <v>195 Main St</v>
      </c>
      <c r="H425" s="7" t="str">
        <f>RawData!H425</f>
        <v>Gift Card</v>
      </c>
      <c r="I425" s="7" t="str">
        <f>RawData!I425</f>
        <v>Cancelled</v>
      </c>
      <c r="J425" s="7" t="str">
        <f>RawData!J425</f>
        <v>TRK97308771</v>
      </c>
      <c r="K425" s="7">
        <f>RawData!K425</f>
        <v>6</v>
      </c>
      <c r="L425" s="7" t="str">
        <f>IF(RawData!L425="","No Coupon",RawData!L425)</f>
        <v>WINTER15</v>
      </c>
      <c r="M425" s="7" t="str">
        <f>RawData!M425</f>
        <v>Google</v>
      </c>
      <c r="N425" s="7">
        <f>RawData!N425</f>
        <v>2740.8</v>
      </c>
    </row>
    <row r="426" spans="1:14" x14ac:dyDescent="0.3">
      <c r="A426" s="7" t="str">
        <f>RawData!A426</f>
        <v>ORD200424</v>
      </c>
      <c r="B426" s="11">
        <f>RawData!B426</f>
        <v>45028</v>
      </c>
      <c r="C426" s="7" t="str">
        <f>RawData!C426</f>
        <v>C49491</v>
      </c>
      <c r="D426" s="7" t="str">
        <f>RawData!D426</f>
        <v>Chair</v>
      </c>
      <c r="E426" s="7">
        <f>RawData!E426</f>
        <v>5</v>
      </c>
      <c r="F426" s="7">
        <f>RawData!F426</f>
        <v>22.94</v>
      </c>
      <c r="G426" s="7" t="str">
        <f>RawData!G426</f>
        <v>339 Main St</v>
      </c>
      <c r="H426" s="7" t="str">
        <f>RawData!H426</f>
        <v>Cash</v>
      </c>
      <c r="I426" s="7" t="str">
        <f>RawData!I426</f>
        <v>Pending</v>
      </c>
      <c r="J426" s="7" t="str">
        <f>RawData!J426</f>
        <v>TRK64012257</v>
      </c>
      <c r="K426" s="7">
        <f>RawData!K426</f>
        <v>10</v>
      </c>
      <c r="L426" s="7" t="str">
        <f>IF(RawData!L426="","No Coupon",RawData!L426)</f>
        <v>No Coupon</v>
      </c>
      <c r="M426" s="7" t="str">
        <f>RawData!M426</f>
        <v>Email</v>
      </c>
      <c r="N426" s="7">
        <f>RawData!N426</f>
        <v>114.7</v>
      </c>
    </row>
    <row r="427" spans="1:14" x14ac:dyDescent="0.3">
      <c r="A427" s="7" t="str">
        <f>RawData!A427</f>
        <v>ORD200425</v>
      </c>
      <c r="B427" s="11">
        <f>RawData!B427</f>
        <v>44994</v>
      </c>
      <c r="C427" s="7" t="str">
        <f>RawData!C427</f>
        <v>C40648</v>
      </c>
      <c r="D427" s="7" t="str">
        <f>RawData!D427</f>
        <v>Laptop</v>
      </c>
      <c r="E427" s="7">
        <f>RawData!E427</f>
        <v>2</v>
      </c>
      <c r="F427" s="7">
        <f>RawData!F427</f>
        <v>301.88</v>
      </c>
      <c r="G427" s="7" t="str">
        <f>RawData!G427</f>
        <v>488 Main St</v>
      </c>
      <c r="H427" s="7" t="str">
        <f>RawData!H427</f>
        <v>Gift Card</v>
      </c>
      <c r="I427" s="7" t="str">
        <f>RawData!I427</f>
        <v>Returned</v>
      </c>
      <c r="J427" s="7" t="str">
        <f>RawData!J427</f>
        <v>TRK25325993</v>
      </c>
      <c r="K427" s="7">
        <f>RawData!K427</f>
        <v>5</v>
      </c>
      <c r="L427" s="7" t="str">
        <f>IF(RawData!L427="","No Coupon",RawData!L427)</f>
        <v>WINTER15</v>
      </c>
      <c r="M427" s="7" t="str">
        <f>RawData!M427</f>
        <v>Email</v>
      </c>
      <c r="N427" s="7">
        <f>RawData!N427</f>
        <v>603.76</v>
      </c>
    </row>
    <row r="428" spans="1:14" x14ac:dyDescent="0.3">
      <c r="A428" s="7" t="str">
        <f>RawData!A428</f>
        <v>ORD200426</v>
      </c>
      <c r="B428" s="11">
        <f>RawData!B428</f>
        <v>45732</v>
      </c>
      <c r="C428" s="7" t="str">
        <f>RawData!C428</f>
        <v>C40967</v>
      </c>
      <c r="D428" s="7" t="str">
        <f>RawData!D428</f>
        <v>Monitor</v>
      </c>
      <c r="E428" s="7">
        <f>RawData!E428</f>
        <v>5</v>
      </c>
      <c r="F428" s="7">
        <f>RawData!F428</f>
        <v>57.45</v>
      </c>
      <c r="G428" s="7" t="str">
        <f>RawData!G428</f>
        <v>315 Main St</v>
      </c>
      <c r="H428" s="7" t="str">
        <f>RawData!H428</f>
        <v>Cash</v>
      </c>
      <c r="I428" s="7" t="str">
        <f>RawData!I428</f>
        <v>Cancelled</v>
      </c>
      <c r="J428" s="7" t="str">
        <f>RawData!J428</f>
        <v>TRK24839296</v>
      </c>
      <c r="K428" s="7">
        <f>RawData!K428</f>
        <v>10</v>
      </c>
      <c r="L428" s="7" t="str">
        <f>IF(RawData!L428="","No Coupon",RawData!L428)</f>
        <v>No Coupon</v>
      </c>
      <c r="M428" s="7" t="str">
        <f>RawData!M428</f>
        <v>Facebook</v>
      </c>
      <c r="N428" s="7">
        <f>RawData!N428</f>
        <v>287.25</v>
      </c>
    </row>
    <row r="429" spans="1:14" x14ac:dyDescent="0.3">
      <c r="A429" s="7" t="str">
        <f>RawData!A429</f>
        <v>ORD200427</v>
      </c>
      <c r="B429" s="11">
        <f>RawData!B429</f>
        <v>45644</v>
      </c>
      <c r="C429" s="7" t="str">
        <f>RawData!C429</f>
        <v>C25406</v>
      </c>
      <c r="D429" s="7" t="str">
        <f>RawData!D429</f>
        <v>Desk</v>
      </c>
      <c r="E429" s="7">
        <f>RawData!E429</f>
        <v>1</v>
      </c>
      <c r="F429" s="7">
        <f>RawData!F429</f>
        <v>161.24</v>
      </c>
      <c r="G429" s="7" t="str">
        <f>RawData!G429</f>
        <v>379 Main St</v>
      </c>
      <c r="H429" s="7" t="str">
        <f>RawData!H429</f>
        <v>Credit Card</v>
      </c>
      <c r="I429" s="7" t="str">
        <f>RawData!I429</f>
        <v>Pending</v>
      </c>
      <c r="J429" s="7" t="str">
        <f>RawData!J429</f>
        <v>TRK70952564</v>
      </c>
      <c r="K429" s="7">
        <f>RawData!K429</f>
        <v>3</v>
      </c>
      <c r="L429" s="7" t="str">
        <f>IF(RawData!L429="","No Coupon",RawData!L429)</f>
        <v>WINTER15</v>
      </c>
      <c r="M429" s="7" t="str">
        <f>RawData!M429</f>
        <v>Instagram</v>
      </c>
      <c r="N429" s="7">
        <f>RawData!N429</f>
        <v>161.24</v>
      </c>
    </row>
    <row r="430" spans="1:14" x14ac:dyDescent="0.3">
      <c r="A430" s="7" t="str">
        <f>RawData!A430</f>
        <v>ORD200428</v>
      </c>
      <c r="B430" s="11">
        <f>RawData!B430</f>
        <v>45622</v>
      </c>
      <c r="C430" s="7" t="str">
        <f>RawData!C430</f>
        <v>C77085</v>
      </c>
      <c r="D430" s="7" t="str">
        <f>RawData!D430</f>
        <v>Chair</v>
      </c>
      <c r="E430" s="7">
        <f>RawData!E430</f>
        <v>4</v>
      </c>
      <c r="F430" s="7">
        <f>RawData!F430</f>
        <v>262.58</v>
      </c>
      <c r="G430" s="7" t="str">
        <f>RawData!G430</f>
        <v>895 Main St</v>
      </c>
      <c r="H430" s="7" t="str">
        <f>RawData!H430</f>
        <v>Online</v>
      </c>
      <c r="I430" s="7" t="str">
        <f>RawData!I430</f>
        <v>Cancelled</v>
      </c>
      <c r="J430" s="7" t="str">
        <f>RawData!J430</f>
        <v>TRK57227640</v>
      </c>
      <c r="K430" s="7">
        <f>RawData!K430</f>
        <v>8</v>
      </c>
      <c r="L430" s="7" t="str">
        <f>IF(RawData!L430="","No Coupon",RawData!L430)</f>
        <v>WINTER15</v>
      </c>
      <c r="M430" s="7" t="str">
        <f>RawData!M430</f>
        <v>Email</v>
      </c>
      <c r="N430" s="7">
        <f>RawData!N430</f>
        <v>1050.32</v>
      </c>
    </row>
    <row r="431" spans="1:14" x14ac:dyDescent="0.3">
      <c r="A431" s="7" t="str">
        <f>RawData!A431</f>
        <v>ORD200429</v>
      </c>
      <c r="B431" s="11">
        <f>RawData!B431</f>
        <v>45645</v>
      </c>
      <c r="C431" s="7" t="str">
        <f>RawData!C431</f>
        <v>C38126</v>
      </c>
      <c r="D431" s="7" t="str">
        <f>RawData!D431</f>
        <v>Printer</v>
      </c>
      <c r="E431" s="7">
        <f>RawData!E431</f>
        <v>4</v>
      </c>
      <c r="F431" s="7">
        <f>RawData!F431</f>
        <v>515.19000000000005</v>
      </c>
      <c r="G431" s="7" t="str">
        <f>RawData!G431</f>
        <v>522 Main St</v>
      </c>
      <c r="H431" s="7" t="str">
        <f>RawData!H431</f>
        <v>Credit Card</v>
      </c>
      <c r="I431" s="7" t="str">
        <f>RawData!I431</f>
        <v>Pending</v>
      </c>
      <c r="J431" s="7" t="str">
        <f>RawData!J431</f>
        <v>TRK90838498</v>
      </c>
      <c r="K431" s="7">
        <f>RawData!K431</f>
        <v>9</v>
      </c>
      <c r="L431" s="7" t="str">
        <f>IF(RawData!L431="","No Coupon",RawData!L431)</f>
        <v>SAVE10</v>
      </c>
      <c r="M431" s="7" t="str">
        <f>RawData!M431</f>
        <v>Facebook</v>
      </c>
      <c r="N431" s="7">
        <f>RawData!N431</f>
        <v>2060.7600000000002</v>
      </c>
    </row>
    <row r="432" spans="1:14" x14ac:dyDescent="0.3">
      <c r="A432" s="7" t="str">
        <f>RawData!A432</f>
        <v>ORD200430</v>
      </c>
      <c r="B432" s="11">
        <f>RawData!B432</f>
        <v>45084</v>
      </c>
      <c r="C432" s="7" t="str">
        <f>RawData!C432</f>
        <v>C87448</v>
      </c>
      <c r="D432" s="7" t="str">
        <f>RawData!D432</f>
        <v>Phone</v>
      </c>
      <c r="E432" s="7">
        <f>RawData!E432</f>
        <v>1</v>
      </c>
      <c r="F432" s="7">
        <f>RawData!F432</f>
        <v>450.07</v>
      </c>
      <c r="G432" s="7" t="str">
        <f>RawData!G432</f>
        <v>433 Main St</v>
      </c>
      <c r="H432" s="7" t="str">
        <f>RawData!H432</f>
        <v>Gift Card</v>
      </c>
      <c r="I432" s="7" t="str">
        <f>RawData!I432</f>
        <v>Shipped</v>
      </c>
      <c r="J432" s="7" t="str">
        <f>RawData!J432</f>
        <v>TRK44134016</v>
      </c>
      <c r="K432" s="7">
        <f>RawData!K432</f>
        <v>6</v>
      </c>
      <c r="L432" s="7" t="str">
        <f>IF(RawData!L432="","No Coupon",RawData!L432)</f>
        <v>FREESHIP</v>
      </c>
      <c r="M432" s="7" t="str">
        <f>RawData!M432</f>
        <v>Google</v>
      </c>
      <c r="N432" s="7">
        <f>RawData!N432</f>
        <v>450.07</v>
      </c>
    </row>
    <row r="433" spans="1:14" x14ac:dyDescent="0.3">
      <c r="A433" s="7" t="str">
        <f>RawData!A433</f>
        <v>ORD200431</v>
      </c>
      <c r="B433" s="11">
        <f>RawData!B433</f>
        <v>45571</v>
      </c>
      <c r="C433" s="7" t="str">
        <f>RawData!C433</f>
        <v>C62312</v>
      </c>
      <c r="D433" s="7" t="str">
        <f>RawData!D433</f>
        <v>Printer</v>
      </c>
      <c r="E433" s="7">
        <f>RawData!E433</f>
        <v>1</v>
      </c>
      <c r="F433" s="7">
        <f>RawData!F433</f>
        <v>52.54</v>
      </c>
      <c r="G433" s="7" t="str">
        <f>RawData!G433</f>
        <v>651 Main St</v>
      </c>
      <c r="H433" s="7" t="str">
        <f>RawData!H433</f>
        <v>Debit Card</v>
      </c>
      <c r="I433" s="7" t="str">
        <f>RawData!I433</f>
        <v>Cancelled</v>
      </c>
      <c r="J433" s="7" t="str">
        <f>RawData!J433</f>
        <v>TRK59623037</v>
      </c>
      <c r="K433" s="7">
        <f>RawData!K433</f>
        <v>6</v>
      </c>
      <c r="L433" s="7" t="str">
        <f>IF(RawData!L433="","No Coupon",RawData!L433)</f>
        <v>WINTER15</v>
      </c>
      <c r="M433" s="7" t="str">
        <f>RawData!M433</f>
        <v>Facebook</v>
      </c>
      <c r="N433" s="7">
        <f>RawData!N433</f>
        <v>52.54</v>
      </c>
    </row>
    <row r="434" spans="1:14" x14ac:dyDescent="0.3">
      <c r="A434" s="7" t="str">
        <f>RawData!A434</f>
        <v>ORD200432</v>
      </c>
      <c r="B434" s="11">
        <f>RawData!B434</f>
        <v>45173</v>
      </c>
      <c r="C434" s="7" t="str">
        <f>RawData!C434</f>
        <v>C58443</v>
      </c>
      <c r="D434" s="7" t="str">
        <f>RawData!D434</f>
        <v>Tablet</v>
      </c>
      <c r="E434" s="7">
        <f>RawData!E434</f>
        <v>2</v>
      </c>
      <c r="F434" s="7">
        <f>RawData!F434</f>
        <v>424.32</v>
      </c>
      <c r="G434" s="7" t="str">
        <f>RawData!G434</f>
        <v>662 Main St</v>
      </c>
      <c r="H434" s="7" t="str">
        <f>RawData!H434</f>
        <v>Credit Card</v>
      </c>
      <c r="I434" s="7" t="str">
        <f>RawData!I434</f>
        <v>Returned</v>
      </c>
      <c r="J434" s="7" t="str">
        <f>RawData!J434</f>
        <v>TRK77163738</v>
      </c>
      <c r="K434" s="7">
        <f>RawData!K434</f>
        <v>6</v>
      </c>
      <c r="L434" s="7" t="str">
        <f>IF(RawData!L434="","No Coupon",RawData!L434)</f>
        <v>No Coupon</v>
      </c>
      <c r="M434" s="7" t="str">
        <f>RawData!M434</f>
        <v>Referral</v>
      </c>
      <c r="N434" s="7">
        <f>RawData!N434</f>
        <v>848.64</v>
      </c>
    </row>
    <row r="435" spans="1:14" x14ac:dyDescent="0.3">
      <c r="A435" s="7" t="str">
        <f>RawData!A435</f>
        <v>ORD200433</v>
      </c>
      <c r="B435" s="11">
        <f>RawData!B435</f>
        <v>45164</v>
      </c>
      <c r="C435" s="7" t="str">
        <f>RawData!C435</f>
        <v>C36613</v>
      </c>
      <c r="D435" s="7" t="str">
        <f>RawData!D435</f>
        <v>Monitor</v>
      </c>
      <c r="E435" s="7">
        <f>RawData!E435</f>
        <v>3</v>
      </c>
      <c r="F435" s="7">
        <f>RawData!F435</f>
        <v>631.64</v>
      </c>
      <c r="G435" s="7" t="str">
        <f>RawData!G435</f>
        <v>785 Main St</v>
      </c>
      <c r="H435" s="7" t="str">
        <f>RawData!H435</f>
        <v>Credit Card</v>
      </c>
      <c r="I435" s="7" t="str">
        <f>RawData!I435</f>
        <v>Returned</v>
      </c>
      <c r="J435" s="7" t="str">
        <f>RawData!J435</f>
        <v>TRK13282106</v>
      </c>
      <c r="K435" s="7">
        <f>RawData!K435</f>
        <v>3</v>
      </c>
      <c r="L435" s="7" t="str">
        <f>IF(RawData!L435="","No Coupon",RawData!L435)</f>
        <v>FREESHIP</v>
      </c>
      <c r="M435" s="7" t="str">
        <f>RawData!M435</f>
        <v>Facebook</v>
      </c>
      <c r="N435" s="7">
        <f>RawData!N435</f>
        <v>1894.92</v>
      </c>
    </row>
    <row r="436" spans="1:14" x14ac:dyDescent="0.3">
      <c r="A436" s="7" t="str">
        <f>RawData!A436</f>
        <v>ORD200434</v>
      </c>
      <c r="B436" s="11">
        <f>RawData!B436</f>
        <v>45221</v>
      </c>
      <c r="C436" s="7" t="str">
        <f>RawData!C436</f>
        <v>C73893</v>
      </c>
      <c r="D436" s="7" t="str">
        <f>RawData!D436</f>
        <v>Printer</v>
      </c>
      <c r="E436" s="7">
        <f>RawData!E436</f>
        <v>5</v>
      </c>
      <c r="F436" s="7">
        <f>RawData!F436</f>
        <v>327.68</v>
      </c>
      <c r="G436" s="7" t="str">
        <f>RawData!G436</f>
        <v>384 Main St</v>
      </c>
      <c r="H436" s="7" t="str">
        <f>RawData!H436</f>
        <v>Credit Card</v>
      </c>
      <c r="I436" s="7" t="str">
        <f>RawData!I436</f>
        <v>Returned</v>
      </c>
      <c r="J436" s="7" t="str">
        <f>RawData!J436</f>
        <v>TRK85939879</v>
      </c>
      <c r="K436" s="7">
        <f>RawData!K436</f>
        <v>6</v>
      </c>
      <c r="L436" s="7" t="str">
        <f>IF(RawData!L436="","No Coupon",RawData!L436)</f>
        <v>No Coupon</v>
      </c>
      <c r="M436" s="7" t="str">
        <f>RawData!M436</f>
        <v>Facebook</v>
      </c>
      <c r="N436" s="7">
        <f>RawData!N436</f>
        <v>1638.4</v>
      </c>
    </row>
    <row r="437" spans="1:14" x14ac:dyDescent="0.3">
      <c r="A437" s="7" t="str">
        <f>RawData!A437</f>
        <v>ORD200435</v>
      </c>
      <c r="B437" s="11">
        <f>RawData!B437</f>
        <v>45073</v>
      </c>
      <c r="C437" s="7" t="str">
        <f>RawData!C437</f>
        <v>C48601</v>
      </c>
      <c r="D437" s="7" t="str">
        <f>RawData!D437</f>
        <v>Printer</v>
      </c>
      <c r="E437" s="7">
        <f>RawData!E437</f>
        <v>1</v>
      </c>
      <c r="F437" s="7">
        <f>RawData!F437</f>
        <v>414.47</v>
      </c>
      <c r="G437" s="7" t="str">
        <f>RawData!G437</f>
        <v>101 Main St</v>
      </c>
      <c r="H437" s="7" t="str">
        <f>RawData!H437</f>
        <v>Debit Card</v>
      </c>
      <c r="I437" s="7" t="str">
        <f>RawData!I437</f>
        <v>Returned</v>
      </c>
      <c r="J437" s="7" t="str">
        <f>RawData!J437</f>
        <v>TRK97868309</v>
      </c>
      <c r="K437" s="7">
        <f>RawData!K437</f>
        <v>3</v>
      </c>
      <c r="L437" s="7" t="str">
        <f>IF(RawData!L437="","No Coupon",RawData!L437)</f>
        <v>FREESHIP</v>
      </c>
      <c r="M437" s="7" t="str">
        <f>RawData!M437</f>
        <v>Instagram</v>
      </c>
      <c r="N437" s="7">
        <f>RawData!N437</f>
        <v>414.47</v>
      </c>
    </row>
    <row r="438" spans="1:14" x14ac:dyDescent="0.3">
      <c r="A438" s="7" t="str">
        <f>RawData!A438</f>
        <v>ORD200436</v>
      </c>
      <c r="B438" s="11">
        <f>RawData!B438</f>
        <v>44968</v>
      </c>
      <c r="C438" s="7" t="str">
        <f>RawData!C438</f>
        <v>C14568</v>
      </c>
      <c r="D438" s="7" t="str">
        <f>RawData!D438</f>
        <v>Laptop</v>
      </c>
      <c r="E438" s="7">
        <f>RawData!E438</f>
        <v>4</v>
      </c>
      <c r="F438" s="7">
        <f>RawData!F438</f>
        <v>221.33</v>
      </c>
      <c r="G438" s="7" t="str">
        <f>RawData!G438</f>
        <v>651 Main St</v>
      </c>
      <c r="H438" s="7" t="str">
        <f>RawData!H438</f>
        <v>Online</v>
      </c>
      <c r="I438" s="7" t="str">
        <f>RawData!I438</f>
        <v>Pending</v>
      </c>
      <c r="J438" s="7" t="str">
        <f>RawData!J438</f>
        <v>TRK73545796</v>
      </c>
      <c r="K438" s="7">
        <f>RawData!K438</f>
        <v>5</v>
      </c>
      <c r="L438" s="7" t="str">
        <f>IF(RawData!L438="","No Coupon",RawData!L438)</f>
        <v>No Coupon</v>
      </c>
      <c r="M438" s="7" t="str">
        <f>RawData!M438</f>
        <v>Google</v>
      </c>
      <c r="N438" s="7">
        <f>RawData!N438</f>
        <v>885.32</v>
      </c>
    </row>
    <row r="439" spans="1:14" x14ac:dyDescent="0.3">
      <c r="A439" s="7" t="str">
        <f>RawData!A439</f>
        <v>ORD200437</v>
      </c>
      <c r="B439" s="11">
        <f>RawData!B439</f>
        <v>45400</v>
      </c>
      <c r="C439" s="7" t="str">
        <f>RawData!C439</f>
        <v>C63378</v>
      </c>
      <c r="D439" s="7" t="str">
        <f>RawData!D439</f>
        <v>Phone</v>
      </c>
      <c r="E439" s="7">
        <f>RawData!E439</f>
        <v>1</v>
      </c>
      <c r="F439" s="7">
        <f>RawData!F439</f>
        <v>512.39</v>
      </c>
      <c r="G439" s="7" t="str">
        <f>RawData!G439</f>
        <v>955 Main St</v>
      </c>
      <c r="H439" s="7" t="str">
        <f>RawData!H439</f>
        <v>Online</v>
      </c>
      <c r="I439" s="7" t="str">
        <f>RawData!I439</f>
        <v>Delivered</v>
      </c>
      <c r="J439" s="7" t="str">
        <f>RawData!J439</f>
        <v>TRK20863705</v>
      </c>
      <c r="K439" s="7">
        <f>RawData!K439</f>
        <v>2</v>
      </c>
      <c r="L439" s="7" t="str">
        <f>IF(RawData!L439="","No Coupon",RawData!L439)</f>
        <v>FREESHIP</v>
      </c>
      <c r="M439" s="7" t="str">
        <f>RawData!M439</f>
        <v>Instagram</v>
      </c>
      <c r="N439" s="7">
        <f>RawData!N439</f>
        <v>512.39</v>
      </c>
    </row>
    <row r="440" spans="1:14" x14ac:dyDescent="0.3">
      <c r="A440" s="7" t="str">
        <f>RawData!A440</f>
        <v>ORD200438</v>
      </c>
      <c r="B440" s="11">
        <f>RawData!B440</f>
        <v>45660</v>
      </c>
      <c r="C440" s="7" t="str">
        <f>RawData!C440</f>
        <v>C77800</v>
      </c>
      <c r="D440" s="7" t="str">
        <f>RawData!D440</f>
        <v>Tablet</v>
      </c>
      <c r="E440" s="7">
        <f>RawData!E440</f>
        <v>3</v>
      </c>
      <c r="F440" s="7">
        <f>RawData!F440</f>
        <v>459.34</v>
      </c>
      <c r="G440" s="7" t="str">
        <f>RawData!G440</f>
        <v>436 Main St</v>
      </c>
      <c r="H440" s="7" t="str">
        <f>RawData!H440</f>
        <v>Gift Card</v>
      </c>
      <c r="I440" s="7" t="str">
        <f>RawData!I440</f>
        <v>Pending</v>
      </c>
      <c r="J440" s="7" t="str">
        <f>RawData!J440</f>
        <v>TRK27439574</v>
      </c>
      <c r="K440" s="7">
        <f>RawData!K440</f>
        <v>3</v>
      </c>
      <c r="L440" s="7" t="str">
        <f>IF(RawData!L440="","No Coupon",RawData!L440)</f>
        <v>SAVE10</v>
      </c>
      <c r="M440" s="7" t="str">
        <f>RawData!M440</f>
        <v>Instagram</v>
      </c>
      <c r="N440" s="7">
        <f>RawData!N440</f>
        <v>1378.02</v>
      </c>
    </row>
    <row r="441" spans="1:14" x14ac:dyDescent="0.3">
      <c r="A441" s="7" t="str">
        <f>RawData!A441</f>
        <v>ORD200439</v>
      </c>
      <c r="B441" s="11">
        <f>RawData!B441</f>
        <v>45543</v>
      </c>
      <c r="C441" s="7" t="str">
        <f>RawData!C441</f>
        <v>C91155</v>
      </c>
      <c r="D441" s="7" t="str">
        <f>RawData!D441</f>
        <v>Tablet</v>
      </c>
      <c r="E441" s="7">
        <f>RawData!E441</f>
        <v>1</v>
      </c>
      <c r="F441" s="7">
        <f>RawData!F441</f>
        <v>146.32</v>
      </c>
      <c r="G441" s="7" t="str">
        <f>RawData!G441</f>
        <v>321 Main St</v>
      </c>
      <c r="H441" s="7" t="str">
        <f>RawData!H441</f>
        <v>Online</v>
      </c>
      <c r="I441" s="7" t="str">
        <f>RawData!I441</f>
        <v>Shipped</v>
      </c>
      <c r="J441" s="7" t="str">
        <f>RawData!J441</f>
        <v>TRK36260319</v>
      </c>
      <c r="K441" s="7">
        <f>RawData!K441</f>
        <v>4</v>
      </c>
      <c r="L441" s="7" t="str">
        <f>IF(RawData!L441="","No Coupon",RawData!L441)</f>
        <v>WINTER15</v>
      </c>
      <c r="M441" s="7" t="str">
        <f>RawData!M441</f>
        <v>Facebook</v>
      </c>
      <c r="N441" s="7">
        <f>RawData!N441</f>
        <v>146.32</v>
      </c>
    </row>
    <row r="442" spans="1:14" x14ac:dyDescent="0.3">
      <c r="A442" s="7" t="str">
        <f>RawData!A442</f>
        <v>ORD200440</v>
      </c>
      <c r="B442" s="11">
        <f>RawData!B442</f>
        <v>45601</v>
      </c>
      <c r="C442" s="7" t="str">
        <f>RawData!C442</f>
        <v>C60215</v>
      </c>
      <c r="D442" s="7" t="str">
        <f>RawData!D442</f>
        <v>Desk</v>
      </c>
      <c r="E442" s="7">
        <f>RawData!E442</f>
        <v>4</v>
      </c>
      <c r="F442" s="7">
        <f>RawData!F442</f>
        <v>83.6</v>
      </c>
      <c r="G442" s="7" t="str">
        <f>RawData!G442</f>
        <v>978 Main St</v>
      </c>
      <c r="H442" s="7" t="str">
        <f>RawData!H442</f>
        <v>Debit Card</v>
      </c>
      <c r="I442" s="7" t="str">
        <f>RawData!I442</f>
        <v>Pending</v>
      </c>
      <c r="J442" s="7" t="str">
        <f>RawData!J442</f>
        <v>TRK31727767</v>
      </c>
      <c r="K442" s="7">
        <f>RawData!K442</f>
        <v>4</v>
      </c>
      <c r="L442" s="7" t="str">
        <f>IF(RawData!L442="","No Coupon",RawData!L442)</f>
        <v>SAVE10</v>
      </c>
      <c r="M442" s="7" t="str">
        <f>RawData!M442</f>
        <v>Facebook</v>
      </c>
      <c r="N442" s="7">
        <f>RawData!N442</f>
        <v>334.4</v>
      </c>
    </row>
    <row r="443" spans="1:14" x14ac:dyDescent="0.3">
      <c r="A443" s="7" t="str">
        <f>RawData!A443</f>
        <v>ORD200441</v>
      </c>
      <c r="B443" s="11">
        <f>RawData!B443</f>
        <v>45273</v>
      </c>
      <c r="C443" s="7" t="str">
        <f>RawData!C443</f>
        <v>C52915</v>
      </c>
      <c r="D443" s="7" t="str">
        <f>RawData!D443</f>
        <v>Printer</v>
      </c>
      <c r="E443" s="7">
        <f>RawData!E443</f>
        <v>2</v>
      </c>
      <c r="F443" s="7">
        <f>RawData!F443</f>
        <v>328.54</v>
      </c>
      <c r="G443" s="7" t="str">
        <f>RawData!G443</f>
        <v>475 Main St</v>
      </c>
      <c r="H443" s="7" t="str">
        <f>RawData!H443</f>
        <v>Gift Card</v>
      </c>
      <c r="I443" s="7" t="str">
        <f>RawData!I443</f>
        <v>Returned</v>
      </c>
      <c r="J443" s="7" t="str">
        <f>RawData!J443</f>
        <v>TRK79466982</v>
      </c>
      <c r="K443" s="7">
        <f>RawData!K443</f>
        <v>6</v>
      </c>
      <c r="L443" s="7" t="str">
        <f>IF(RawData!L443="","No Coupon",RawData!L443)</f>
        <v>FREESHIP</v>
      </c>
      <c r="M443" s="7" t="str">
        <f>RawData!M443</f>
        <v>Email</v>
      </c>
      <c r="N443" s="7">
        <f>RawData!N443</f>
        <v>657.08</v>
      </c>
    </row>
    <row r="444" spans="1:14" x14ac:dyDescent="0.3">
      <c r="A444" s="7" t="str">
        <f>RawData!A444</f>
        <v>ORD200442</v>
      </c>
      <c r="B444" s="11">
        <f>RawData!B444</f>
        <v>45418</v>
      </c>
      <c r="C444" s="7" t="str">
        <f>RawData!C444</f>
        <v>C72588</v>
      </c>
      <c r="D444" s="7" t="str">
        <f>RawData!D444</f>
        <v>Chair</v>
      </c>
      <c r="E444" s="7">
        <f>RawData!E444</f>
        <v>5</v>
      </c>
      <c r="F444" s="7">
        <f>RawData!F444</f>
        <v>314.94</v>
      </c>
      <c r="G444" s="7" t="str">
        <f>RawData!G444</f>
        <v>661 Main St</v>
      </c>
      <c r="H444" s="7" t="str">
        <f>RawData!H444</f>
        <v>Cash</v>
      </c>
      <c r="I444" s="7" t="str">
        <f>RawData!I444</f>
        <v>Pending</v>
      </c>
      <c r="J444" s="7" t="str">
        <f>RawData!J444</f>
        <v>TRK43410829</v>
      </c>
      <c r="K444" s="7">
        <f>RawData!K444</f>
        <v>8</v>
      </c>
      <c r="L444" s="7" t="str">
        <f>IF(RawData!L444="","No Coupon",RawData!L444)</f>
        <v>SAVE10</v>
      </c>
      <c r="M444" s="7" t="str">
        <f>RawData!M444</f>
        <v>Instagram</v>
      </c>
      <c r="N444" s="7">
        <f>RawData!N444</f>
        <v>1574.7</v>
      </c>
    </row>
    <row r="445" spans="1:14" x14ac:dyDescent="0.3">
      <c r="A445" s="7" t="str">
        <f>RawData!A445</f>
        <v>ORD200443</v>
      </c>
      <c r="B445" s="11">
        <f>RawData!B445</f>
        <v>45426</v>
      </c>
      <c r="C445" s="7" t="str">
        <f>RawData!C445</f>
        <v>C61668</v>
      </c>
      <c r="D445" s="7" t="str">
        <f>RawData!D445</f>
        <v>Chair</v>
      </c>
      <c r="E445" s="7">
        <f>RawData!E445</f>
        <v>2</v>
      </c>
      <c r="F445" s="7">
        <f>RawData!F445</f>
        <v>69.64</v>
      </c>
      <c r="G445" s="7" t="str">
        <f>RawData!G445</f>
        <v>813 Main St</v>
      </c>
      <c r="H445" s="7" t="str">
        <f>RawData!H445</f>
        <v>Cash</v>
      </c>
      <c r="I445" s="7" t="str">
        <f>RawData!I445</f>
        <v>Returned</v>
      </c>
      <c r="J445" s="7" t="str">
        <f>RawData!J445</f>
        <v>TRK58970302</v>
      </c>
      <c r="K445" s="7">
        <f>RawData!K445</f>
        <v>6</v>
      </c>
      <c r="L445" s="7" t="str">
        <f>IF(RawData!L445="","No Coupon",RawData!L445)</f>
        <v>No Coupon</v>
      </c>
      <c r="M445" s="7" t="str">
        <f>RawData!M445</f>
        <v>Facebook</v>
      </c>
      <c r="N445" s="7">
        <f>RawData!N445</f>
        <v>139.28</v>
      </c>
    </row>
    <row r="446" spans="1:14" x14ac:dyDescent="0.3">
      <c r="A446" s="7" t="str">
        <f>RawData!A446</f>
        <v>ORD200444</v>
      </c>
      <c r="B446" s="11">
        <f>RawData!B446</f>
        <v>45451</v>
      </c>
      <c r="C446" s="7" t="str">
        <f>RawData!C446</f>
        <v>C79508</v>
      </c>
      <c r="D446" s="7" t="str">
        <f>RawData!D446</f>
        <v>Printer</v>
      </c>
      <c r="E446" s="7">
        <f>RawData!E446</f>
        <v>1</v>
      </c>
      <c r="F446" s="7">
        <f>RawData!F446</f>
        <v>135.16999999999999</v>
      </c>
      <c r="G446" s="7" t="str">
        <f>RawData!G446</f>
        <v>585 Main St</v>
      </c>
      <c r="H446" s="7" t="str">
        <f>RawData!H446</f>
        <v>Online</v>
      </c>
      <c r="I446" s="7" t="str">
        <f>RawData!I446</f>
        <v>Shipped</v>
      </c>
      <c r="J446" s="7" t="str">
        <f>RawData!J446</f>
        <v>TRK61882353</v>
      </c>
      <c r="K446" s="7">
        <f>RawData!K446</f>
        <v>6</v>
      </c>
      <c r="L446" s="7" t="str">
        <f>IF(RawData!L446="","No Coupon",RawData!L446)</f>
        <v>FREESHIP</v>
      </c>
      <c r="M446" s="7" t="str">
        <f>RawData!M446</f>
        <v>Instagram</v>
      </c>
      <c r="N446" s="7">
        <f>RawData!N446</f>
        <v>135.16999999999999</v>
      </c>
    </row>
    <row r="447" spans="1:14" x14ac:dyDescent="0.3">
      <c r="A447" s="7" t="str">
        <f>RawData!A447</f>
        <v>ORD200445</v>
      </c>
      <c r="B447" s="11">
        <f>RawData!B447</f>
        <v>45374</v>
      </c>
      <c r="C447" s="7" t="str">
        <f>RawData!C447</f>
        <v>C94569</v>
      </c>
      <c r="D447" s="7" t="str">
        <f>RawData!D447</f>
        <v>Phone</v>
      </c>
      <c r="E447" s="7">
        <f>RawData!E447</f>
        <v>1</v>
      </c>
      <c r="F447" s="7">
        <f>RawData!F447</f>
        <v>487.21</v>
      </c>
      <c r="G447" s="7" t="str">
        <f>RawData!G447</f>
        <v>227 Main St</v>
      </c>
      <c r="H447" s="7" t="str">
        <f>RawData!H447</f>
        <v>Cash</v>
      </c>
      <c r="I447" s="7" t="str">
        <f>RawData!I447</f>
        <v>Delivered</v>
      </c>
      <c r="J447" s="7" t="str">
        <f>RawData!J447</f>
        <v>TRK31351770</v>
      </c>
      <c r="K447" s="7">
        <f>RawData!K447</f>
        <v>3</v>
      </c>
      <c r="L447" s="7" t="str">
        <f>IF(RawData!L447="","No Coupon",RawData!L447)</f>
        <v>SAVE10</v>
      </c>
      <c r="M447" s="7" t="str">
        <f>RawData!M447</f>
        <v>Referral</v>
      </c>
      <c r="N447" s="7">
        <f>RawData!N447</f>
        <v>487.21</v>
      </c>
    </row>
    <row r="448" spans="1:14" x14ac:dyDescent="0.3">
      <c r="A448" s="7" t="str">
        <f>RawData!A448</f>
        <v>ORD200446</v>
      </c>
      <c r="B448" s="11">
        <f>RawData!B448</f>
        <v>45217</v>
      </c>
      <c r="C448" s="7" t="str">
        <f>RawData!C448</f>
        <v>C89592</v>
      </c>
      <c r="D448" s="7" t="str">
        <f>RawData!D448</f>
        <v>Laptop</v>
      </c>
      <c r="E448" s="7">
        <f>RawData!E448</f>
        <v>5</v>
      </c>
      <c r="F448" s="7">
        <f>RawData!F448</f>
        <v>509.58</v>
      </c>
      <c r="G448" s="7" t="str">
        <f>RawData!G448</f>
        <v>262 Main St</v>
      </c>
      <c r="H448" s="7" t="str">
        <f>RawData!H448</f>
        <v>Online</v>
      </c>
      <c r="I448" s="7" t="str">
        <f>RawData!I448</f>
        <v>Delivered</v>
      </c>
      <c r="J448" s="7" t="str">
        <f>RawData!J448</f>
        <v>TRK49442402</v>
      </c>
      <c r="K448" s="7">
        <f>RawData!K448</f>
        <v>6</v>
      </c>
      <c r="L448" s="7" t="str">
        <f>IF(RawData!L448="","No Coupon",RawData!L448)</f>
        <v>FREESHIP</v>
      </c>
      <c r="M448" s="7" t="str">
        <f>RawData!M448</f>
        <v>Instagram</v>
      </c>
      <c r="N448" s="7">
        <f>RawData!N448</f>
        <v>2547.9</v>
      </c>
    </row>
    <row r="449" spans="1:14" x14ac:dyDescent="0.3">
      <c r="A449" s="7" t="str">
        <f>RawData!A449</f>
        <v>ORD200447</v>
      </c>
      <c r="B449" s="11">
        <f>RawData!B449</f>
        <v>45389</v>
      </c>
      <c r="C449" s="7" t="str">
        <f>RawData!C449</f>
        <v>C48207</v>
      </c>
      <c r="D449" s="7" t="str">
        <f>RawData!D449</f>
        <v>Printer</v>
      </c>
      <c r="E449" s="7">
        <f>RawData!E449</f>
        <v>2</v>
      </c>
      <c r="F449" s="7">
        <f>RawData!F449</f>
        <v>416.81</v>
      </c>
      <c r="G449" s="7" t="str">
        <f>RawData!G449</f>
        <v>356 Main St</v>
      </c>
      <c r="H449" s="7" t="str">
        <f>RawData!H449</f>
        <v>Cash</v>
      </c>
      <c r="I449" s="7" t="str">
        <f>RawData!I449</f>
        <v>Returned</v>
      </c>
      <c r="J449" s="7" t="str">
        <f>RawData!J449</f>
        <v>TRK45355655</v>
      </c>
      <c r="K449" s="7">
        <f>RawData!K449</f>
        <v>2</v>
      </c>
      <c r="L449" s="7" t="str">
        <f>IF(RawData!L449="","No Coupon",RawData!L449)</f>
        <v>No Coupon</v>
      </c>
      <c r="M449" s="7" t="str">
        <f>RawData!M449</f>
        <v>Facebook</v>
      </c>
      <c r="N449" s="7">
        <f>RawData!N449</f>
        <v>833.62</v>
      </c>
    </row>
    <row r="450" spans="1:14" x14ac:dyDescent="0.3">
      <c r="A450" s="7" t="str">
        <f>RawData!A450</f>
        <v>ORD200448</v>
      </c>
      <c r="B450" s="11">
        <f>RawData!B450</f>
        <v>45173</v>
      </c>
      <c r="C450" s="7" t="str">
        <f>RawData!C450</f>
        <v>C16776</v>
      </c>
      <c r="D450" s="7" t="str">
        <f>RawData!D450</f>
        <v>Laptop</v>
      </c>
      <c r="E450" s="7">
        <f>RawData!E450</f>
        <v>2</v>
      </c>
      <c r="F450" s="7">
        <f>RawData!F450</f>
        <v>160</v>
      </c>
      <c r="G450" s="7" t="str">
        <f>RawData!G450</f>
        <v>854 Main St</v>
      </c>
      <c r="H450" s="7" t="str">
        <f>RawData!H450</f>
        <v>Cash</v>
      </c>
      <c r="I450" s="7" t="str">
        <f>RawData!I450</f>
        <v>Pending</v>
      </c>
      <c r="J450" s="7" t="str">
        <f>RawData!J450</f>
        <v>TRK12860600</v>
      </c>
      <c r="K450" s="7">
        <f>RawData!K450</f>
        <v>4</v>
      </c>
      <c r="L450" s="7" t="str">
        <f>IF(RawData!L450="","No Coupon",RawData!L450)</f>
        <v>SAVE10</v>
      </c>
      <c r="M450" s="7" t="str">
        <f>RawData!M450</f>
        <v>Instagram</v>
      </c>
      <c r="N450" s="7">
        <f>RawData!N450</f>
        <v>320</v>
      </c>
    </row>
    <row r="451" spans="1:14" x14ac:dyDescent="0.3">
      <c r="A451" s="7" t="str">
        <f>RawData!A451</f>
        <v>ORD200449</v>
      </c>
      <c r="B451" s="11">
        <f>RawData!B451</f>
        <v>45530</v>
      </c>
      <c r="C451" s="7" t="str">
        <f>RawData!C451</f>
        <v>C91518</v>
      </c>
      <c r="D451" s="7" t="str">
        <f>RawData!D451</f>
        <v>Tablet</v>
      </c>
      <c r="E451" s="7">
        <f>RawData!E451</f>
        <v>3</v>
      </c>
      <c r="F451" s="7">
        <f>RawData!F451</f>
        <v>253.05</v>
      </c>
      <c r="G451" s="7" t="str">
        <f>RawData!G451</f>
        <v>286 Main St</v>
      </c>
      <c r="H451" s="7" t="str">
        <f>RawData!H451</f>
        <v>Online</v>
      </c>
      <c r="I451" s="7" t="str">
        <f>RawData!I451</f>
        <v>Pending</v>
      </c>
      <c r="J451" s="7" t="str">
        <f>RawData!J451</f>
        <v>TRK48688724</v>
      </c>
      <c r="K451" s="7">
        <f>RawData!K451</f>
        <v>3</v>
      </c>
      <c r="L451" s="7" t="str">
        <f>IF(RawData!L451="","No Coupon",RawData!L451)</f>
        <v>No Coupon</v>
      </c>
      <c r="M451" s="7" t="str">
        <f>RawData!M451</f>
        <v>Instagram</v>
      </c>
      <c r="N451" s="7">
        <f>RawData!N451</f>
        <v>759.15</v>
      </c>
    </row>
    <row r="452" spans="1:14" x14ac:dyDescent="0.3">
      <c r="A452" s="7" t="str">
        <f>RawData!A452</f>
        <v>ORD200450</v>
      </c>
      <c r="B452" s="11">
        <f>RawData!B452</f>
        <v>45306</v>
      </c>
      <c r="C452" s="7" t="str">
        <f>RawData!C452</f>
        <v>C36408</v>
      </c>
      <c r="D452" s="7" t="str">
        <f>RawData!D452</f>
        <v>Monitor</v>
      </c>
      <c r="E452" s="7">
        <f>RawData!E452</f>
        <v>5</v>
      </c>
      <c r="F452" s="7">
        <f>RawData!F452</f>
        <v>615.1</v>
      </c>
      <c r="G452" s="7" t="str">
        <f>RawData!G452</f>
        <v>160 Main St</v>
      </c>
      <c r="H452" s="7" t="str">
        <f>RawData!H452</f>
        <v>Gift Card</v>
      </c>
      <c r="I452" s="7" t="str">
        <f>RawData!I452</f>
        <v>Returned</v>
      </c>
      <c r="J452" s="7" t="str">
        <f>RawData!J452</f>
        <v>TRK94023253</v>
      </c>
      <c r="K452" s="7">
        <f>RawData!K452</f>
        <v>10</v>
      </c>
      <c r="L452" s="7" t="str">
        <f>IF(RawData!L452="","No Coupon",RawData!L452)</f>
        <v>WINTER15</v>
      </c>
      <c r="M452" s="7" t="str">
        <f>RawData!M452</f>
        <v>Instagram</v>
      </c>
      <c r="N452" s="7">
        <f>RawData!N452</f>
        <v>3075.5</v>
      </c>
    </row>
    <row r="453" spans="1:14" x14ac:dyDescent="0.3">
      <c r="A453" s="7" t="str">
        <f>RawData!A453</f>
        <v>ORD200451</v>
      </c>
      <c r="B453" s="11">
        <f>RawData!B453</f>
        <v>45017</v>
      </c>
      <c r="C453" s="7" t="str">
        <f>RawData!C453</f>
        <v>C14837</v>
      </c>
      <c r="D453" s="7" t="str">
        <f>RawData!D453</f>
        <v>Monitor</v>
      </c>
      <c r="E453" s="7">
        <f>RawData!E453</f>
        <v>1</v>
      </c>
      <c r="F453" s="7">
        <f>RawData!F453</f>
        <v>183.18</v>
      </c>
      <c r="G453" s="7" t="str">
        <f>RawData!G453</f>
        <v>647 Main St</v>
      </c>
      <c r="H453" s="7" t="str">
        <f>RawData!H453</f>
        <v>Debit Card</v>
      </c>
      <c r="I453" s="7" t="str">
        <f>RawData!I453</f>
        <v>Cancelled</v>
      </c>
      <c r="J453" s="7" t="str">
        <f>RawData!J453</f>
        <v>TRK17501136</v>
      </c>
      <c r="K453" s="7">
        <f>RawData!K453</f>
        <v>6</v>
      </c>
      <c r="L453" s="7" t="str">
        <f>IF(RawData!L453="","No Coupon",RawData!L453)</f>
        <v>SAVE10</v>
      </c>
      <c r="M453" s="7" t="str">
        <f>RawData!M453</f>
        <v>Email</v>
      </c>
      <c r="N453" s="7">
        <f>RawData!N453</f>
        <v>183.18</v>
      </c>
    </row>
    <row r="454" spans="1:14" x14ac:dyDescent="0.3">
      <c r="A454" s="7" t="str">
        <f>RawData!A454</f>
        <v>ORD200452</v>
      </c>
      <c r="B454" s="11">
        <f>RawData!B454</f>
        <v>45130</v>
      </c>
      <c r="C454" s="7" t="str">
        <f>RawData!C454</f>
        <v>C36467</v>
      </c>
      <c r="D454" s="7" t="str">
        <f>RawData!D454</f>
        <v>Printer</v>
      </c>
      <c r="E454" s="7">
        <f>RawData!E454</f>
        <v>1</v>
      </c>
      <c r="F454" s="7">
        <f>RawData!F454</f>
        <v>75.78</v>
      </c>
      <c r="G454" s="7" t="str">
        <f>RawData!G454</f>
        <v>581 Main St</v>
      </c>
      <c r="H454" s="7" t="str">
        <f>RawData!H454</f>
        <v>Cash</v>
      </c>
      <c r="I454" s="7" t="str">
        <f>RawData!I454</f>
        <v>Pending</v>
      </c>
      <c r="J454" s="7" t="str">
        <f>RawData!J454</f>
        <v>TRK20863987</v>
      </c>
      <c r="K454" s="7">
        <f>RawData!K454</f>
        <v>5</v>
      </c>
      <c r="L454" s="7" t="str">
        <f>IF(RawData!L454="","No Coupon",RawData!L454)</f>
        <v>SAVE10</v>
      </c>
      <c r="M454" s="7" t="str">
        <f>RawData!M454</f>
        <v>Google</v>
      </c>
      <c r="N454" s="7">
        <f>RawData!N454</f>
        <v>75.78</v>
      </c>
    </row>
    <row r="455" spans="1:14" x14ac:dyDescent="0.3">
      <c r="A455" s="7" t="str">
        <f>RawData!A455</f>
        <v>ORD200453</v>
      </c>
      <c r="B455" s="11">
        <f>RawData!B455</f>
        <v>45779</v>
      </c>
      <c r="C455" s="7" t="str">
        <f>RawData!C455</f>
        <v>C15017</v>
      </c>
      <c r="D455" s="7" t="str">
        <f>RawData!D455</f>
        <v>Tablet</v>
      </c>
      <c r="E455" s="7">
        <f>RawData!E455</f>
        <v>1</v>
      </c>
      <c r="F455" s="7">
        <f>RawData!F455</f>
        <v>675.57</v>
      </c>
      <c r="G455" s="7" t="str">
        <f>RawData!G455</f>
        <v>492 Main St</v>
      </c>
      <c r="H455" s="7" t="str">
        <f>RawData!H455</f>
        <v>Cash</v>
      </c>
      <c r="I455" s="7" t="str">
        <f>RawData!I455</f>
        <v>Shipped</v>
      </c>
      <c r="J455" s="7" t="str">
        <f>RawData!J455</f>
        <v>TRK51241924</v>
      </c>
      <c r="K455" s="7">
        <f>RawData!K455</f>
        <v>1</v>
      </c>
      <c r="L455" s="7" t="str">
        <f>IF(RawData!L455="","No Coupon",RawData!L455)</f>
        <v>WINTER15</v>
      </c>
      <c r="M455" s="7" t="str">
        <f>RawData!M455</f>
        <v>Facebook</v>
      </c>
      <c r="N455" s="7">
        <f>RawData!N455</f>
        <v>675.57</v>
      </c>
    </row>
    <row r="456" spans="1:14" x14ac:dyDescent="0.3">
      <c r="A456" s="7" t="str">
        <f>RawData!A456</f>
        <v>ORD200454</v>
      </c>
      <c r="B456" s="11">
        <f>RawData!B456</f>
        <v>45623</v>
      </c>
      <c r="C456" s="7" t="str">
        <f>RawData!C456</f>
        <v>C54759</v>
      </c>
      <c r="D456" s="7" t="str">
        <f>RawData!D456</f>
        <v>Laptop</v>
      </c>
      <c r="E456" s="7">
        <f>RawData!E456</f>
        <v>1</v>
      </c>
      <c r="F456" s="7">
        <f>RawData!F456</f>
        <v>109.29</v>
      </c>
      <c r="G456" s="7" t="str">
        <f>RawData!G456</f>
        <v>686 Main St</v>
      </c>
      <c r="H456" s="7" t="str">
        <f>RawData!H456</f>
        <v>Debit Card</v>
      </c>
      <c r="I456" s="7" t="str">
        <f>RawData!I456</f>
        <v>Cancelled</v>
      </c>
      <c r="J456" s="7" t="str">
        <f>RawData!J456</f>
        <v>TRK75583042</v>
      </c>
      <c r="K456" s="7">
        <f>RawData!K456</f>
        <v>5</v>
      </c>
      <c r="L456" s="7" t="str">
        <f>IF(RawData!L456="","No Coupon",RawData!L456)</f>
        <v>FREESHIP</v>
      </c>
      <c r="M456" s="7" t="str">
        <f>RawData!M456</f>
        <v>Google</v>
      </c>
      <c r="N456" s="7">
        <f>RawData!N456</f>
        <v>109.29</v>
      </c>
    </row>
    <row r="457" spans="1:14" x14ac:dyDescent="0.3">
      <c r="A457" s="7" t="str">
        <f>RawData!A457</f>
        <v>ORD200455</v>
      </c>
      <c r="B457" s="11">
        <f>RawData!B457</f>
        <v>45377</v>
      </c>
      <c r="C457" s="7" t="str">
        <f>RawData!C457</f>
        <v>C58341</v>
      </c>
      <c r="D457" s="7" t="str">
        <f>RawData!D457</f>
        <v>Phone</v>
      </c>
      <c r="E457" s="7">
        <f>RawData!E457</f>
        <v>1</v>
      </c>
      <c r="F457" s="7">
        <f>RawData!F457</f>
        <v>639.83000000000004</v>
      </c>
      <c r="G457" s="7" t="str">
        <f>RawData!G457</f>
        <v>874 Main St</v>
      </c>
      <c r="H457" s="7" t="str">
        <f>RawData!H457</f>
        <v>Debit Card</v>
      </c>
      <c r="I457" s="7" t="str">
        <f>RawData!I457</f>
        <v>Pending</v>
      </c>
      <c r="J457" s="7" t="str">
        <f>RawData!J457</f>
        <v>TRK32856728</v>
      </c>
      <c r="K457" s="7">
        <f>RawData!K457</f>
        <v>2</v>
      </c>
      <c r="L457" s="7" t="str">
        <f>IF(RawData!L457="","No Coupon",RawData!L457)</f>
        <v>SAVE10</v>
      </c>
      <c r="M457" s="7" t="str">
        <f>RawData!M457</f>
        <v>Referral</v>
      </c>
      <c r="N457" s="7">
        <f>RawData!N457</f>
        <v>639.83000000000004</v>
      </c>
    </row>
    <row r="458" spans="1:14" x14ac:dyDescent="0.3">
      <c r="A458" s="7" t="str">
        <f>RawData!A458</f>
        <v>ORD200456</v>
      </c>
      <c r="B458" s="11">
        <f>RawData!B458</f>
        <v>45103</v>
      </c>
      <c r="C458" s="7" t="str">
        <f>RawData!C458</f>
        <v>C94479</v>
      </c>
      <c r="D458" s="7" t="str">
        <f>RawData!D458</f>
        <v>Desk</v>
      </c>
      <c r="E458" s="7">
        <f>RawData!E458</f>
        <v>5</v>
      </c>
      <c r="F458" s="7">
        <f>RawData!F458</f>
        <v>62.81</v>
      </c>
      <c r="G458" s="7" t="str">
        <f>RawData!G458</f>
        <v>259 Main St</v>
      </c>
      <c r="H458" s="7" t="str">
        <f>RawData!H458</f>
        <v>Credit Card</v>
      </c>
      <c r="I458" s="7" t="str">
        <f>RawData!I458</f>
        <v>Shipped</v>
      </c>
      <c r="J458" s="7" t="str">
        <f>RawData!J458</f>
        <v>TRK69089975</v>
      </c>
      <c r="K458" s="7">
        <f>RawData!K458</f>
        <v>9</v>
      </c>
      <c r="L458" s="7" t="str">
        <f>IF(RawData!L458="","No Coupon",RawData!L458)</f>
        <v>SAVE10</v>
      </c>
      <c r="M458" s="7" t="str">
        <f>RawData!M458</f>
        <v>Facebook</v>
      </c>
      <c r="N458" s="7">
        <f>RawData!N458</f>
        <v>314.05</v>
      </c>
    </row>
    <row r="459" spans="1:14" x14ac:dyDescent="0.3">
      <c r="A459" s="7" t="str">
        <f>RawData!A459</f>
        <v>ORD200457</v>
      </c>
      <c r="B459" s="11">
        <f>RawData!B459</f>
        <v>45802</v>
      </c>
      <c r="C459" s="7" t="str">
        <f>RawData!C459</f>
        <v>C50236</v>
      </c>
      <c r="D459" s="7" t="str">
        <f>RawData!D459</f>
        <v>Desk</v>
      </c>
      <c r="E459" s="7">
        <f>RawData!E459</f>
        <v>4</v>
      </c>
      <c r="F459" s="7">
        <f>RawData!F459</f>
        <v>615.83000000000004</v>
      </c>
      <c r="G459" s="7" t="str">
        <f>RawData!G459</f>
        <v>545 Main St</v>
      </c>
      <c r="H459" s="7" t="str">
        <f>RawData!H459</f>
        <v>Online</v>
      </c>
      <c r="I459" s="7" t="str">
        <f>RawData!I459</f>
        <v>Returned</v>
      </c>
      <c r="J459" s="7" t="str">
        <f>RawData!J459</f>
        <v>TRK67692578</v>
      </c>
      <c r="K459" s="7">
        <f>RawData!K459</f>
        <v>4</v>
      </c>
      <c r="L459" s="7" t="str">
        <f>IF(RawData!L459="","No Coupon",RawData!L459)</f>
        <v>WINTER15</v>
      </c>
      <c r="M459" s="7" t="str">
        <f>RawData!M459</f>
        <v>Instagram</v>
      </c>
      <c r="N459" s="7">
        <f>RawData!N459</f>
        <v>2463.3200000000002</v>
      </c>
    </row>
    <row r="460" spans="1:14" x14ac:dyDescent="0.3">
      <c r="A460" s="7" t="str">
        <f>RawData!A460</f>
        <v>ORD200458</v>
      </c>
      <c r="B460" s="11">
        <f>RawData!B460</f>
        <v>45475</v>
      </c>
      <c r="C460" s="7" t="str">
        <f>RawData!C460</f>
        <v>C31412</v>
      </c>
      <c r="D460" s="7" t="str">
        <f>RawData!D460</f>
        <v>Monitor</v>
      </c>
      <c r="E460" s="7">
        <f>RawData!E460</f>
        <v>4</v>
      </c>
      <c r="F460" s="7">
        <f>RawData!F460</f>
        <v>510.58</v>
      </c>
      <c r="G460" s="7" t="str">
        <f>RawData!G460</f>
        <v>196 Main St</v>
      </c>
      <c r="H460" s="7" t="str">
        <f>RawData!H460</f>
        <v>Credit Card</v>
      </c>
      <c r="I460" s="7" t="str">
        <f>RawData!I460</f>
        <v>Returned</v>
      </c>
      <c r="J460" s="7" t="str">
        <f>RawData!J460</f>
        <v>TRK61946127</v>
      </c>
      <c r="K460" s="7">
        <f>RawData!K460</f>
        <v>7</v>
      </c>
      <c r="L460" s="7" t="str">
        <f>IF(RawData!L460="","No Coupon",RawData!L460)</f>
        <v>WINTER15</v>
      </c>
      <c r="M460" s="7" t="str">
        <f>RawData!M460</f>
        <v>Email</v>
      </c>
      <c r="N460" s="7">
        <f>RawData!N460</f>
        <v>2042.32</v>
      </c>
    </row>
    <row r="461" spans="1:14" x14ac:dyDescent="0.3">
      <c r="A461" s="7" t="str">
        <f>RawData!A461</f>
        <v>ORD200459</v>
      </c>
      <c r="B461" s="11">
        <f>RawData!B461</f>
        <v>45497</v>
      </c>
      <c r="C461" s="7" t="str">
        <f>RawData!C461</f>
        <v>C90142</v>
      </c>
      <c r="D461" s="7" t="str">
        <f>RawData!D461</f>
        <v>Desk</v>
      </c>
      <c r="E461" s="7">
        <f>RawData!E461</f>
        <v>1</v>
      </c>
      <c r="F461" s="7">
        <f>RawData!F461</f>
        <v>334.39</v>
      </c>
      <c r="G461" s="7" t="str">
        <f>RawData!G461</f>
        <v>433 Main St</v>
      </c>
      <c r="H461" s="7" t="str">
        <f>RawData!H461</f>
        <v>Credit Card</v>
      </c>
      <c r="I461" s="7" t="str">
        <f>RawData!I461</f>
        <v>Returned</v>
      </c>
      <c r="J461" s="7" t="str">
        <f>RawData!J461</f>
        <v>TRK39717191</v>
      </c>
      <c r="K461" s="7">
        <f>RawData!K461</f>
        <v>2</v>
      </c>
      <c r="L461" s="7" t="str">
        <f>IF(RawData!L461="","No Coupon",RawData!L461)</f>
        <v>No Coupon</v>
      </c>
      <c r="M461" s="7" t="str">
        <f>RawData!M461</f>
        <v>Instagram</v>
      </c>
      <c r="N461" s="7">
        <f>RawData!N461</f>
        <v>334.39</v>
      </c>
    </row>
    <row r="462" spans="1:14" x14ac:dyDescent="0.3">
      <c r="A462" s="7" t="str">
        <f>RawData!A462</f>
        <v>ORD200460</v>
      </c>
      <c r="B462" s="11">
        <f>RawData!B462</f>
        <v>45571</v>
      </c>
      <c r="C462" s="7" t="str">
        <f>RawData!C462</f>
        <v>C83548</v>
      </c>
      <c r="D462" s="7" t="str">
        <f>RawData!D462</f>
        <v>Laptop</v>
      </c>
      <c r="E462" s="7">
        <f>RawData!E462</f>
        <v>1</v>
      </c>
      <c r="F462" s="7">
        <f>RawData!F462</f>
        <v>144.25</v>
      </c>
      <c r="G462" s="7" t="str">
        <f>RawData!G462</f>
        <v>474 Main St</v>
      </c>
      <c r="H462" s="7" t="str">
        <f>RawData!H462</f>
        <v>Cash</v>
      </c>
      <c r="I462" s="7" t="str">
        <f>RawData!I462</f>
        <v>Returned</v>
      </c>
      <c r="J462" s="7" t="str">
        <f>RawData!J462</f>
        <v>TRK93822942</v>
      </c>
      <c r="K462" s="7">
        <f>RawData!K462</f>
        <v>2</v>
      </c>
      <c r="L462" s="7" t="str">
        <f>IF(RawData!L462="","No Coupon",RawData!L462)</f>
        <v>WINTER15</v>
      </c>
      <c r="M462" s="7" t="str">
        <f>RawData!M462</f>
        <v>Referral</v>
      </c>
      <c r="N462" s="7">
        <f>RawData!N462</f>
        <v>144.25</v>
      </c>
    </row>
    <row r="463" spans="1:14" x14ac:dyDescent="0.3">
      <c r="A463" s="7" t="str">
        <f>RawData!A463</f>
        <v>ORD200461</v>
      </c>
      <c r="B463" s="11">
        <f>RawData!B463</f>
        <v>45451</v>
      </c>
      <c r="C463" s="7" t="str">
        <f>RawData!C463</f>
        <v>C29697</v>
      </c>
      <c r="D463" s="7" t="str">
        <f>RawData!D463</f>
        <v>Tablet</v>
      </c>
      <c r="E463" s="7">
        <f>RawData!E463</f>
        <v>1</v>
      </c>
      <c r="F463" s="7">
        <f>RawData!F463</f>
        <v>401.82</v>
      </c>
      <c r="G463" s="7" t="str">
        <f>RawData!G463</f>
        <v>407 Main St</v>
      </c>
      <c r="H463" s="7" t="str">
        <f>RawData!H463</f>
        <v>Credit Card</v>
      </c>
      <c r="I463" s="7" t="str">
        <f>RawData!I463</f>
        <v>Shipped</v>
      </c>
      <c r="J463" s="7" t="str">
        <f>RawData!J463</f>
        <v>TRK47776482</v>
      </c>
      <c r="K463" s="7">
        <f>RawData!K463</f>
        <v>5</v>
      </c>
      <c r="L463" s="7" t="str">
        <f>IF(RawData!L463="","No Coupon",RawData!L463)</f>
        <v>FREESHIP</v>
      </c>
      <c r="M463" s="7" t="str">
        <f>RawData!M463</f>
        <v>Google</v>
      </c>
      <c r="N463" s="7">
        <f>RawData!N463</f>
        <v>401.82</v>
      </c>
    </row>
    <row r="464" spans="1:14" x14ac:dyDescent="0.3">
      <c r="A464" s="7" t="str">
        <f>RawData!A464</f>
        <v>ORD200462</v>
      </c>
      <c r="B464" s="11">
        <f>RawData!B464</f>
        <v>45747</v>
      </c>
      <c r="C464" s="7" t="str">
        <f>RawData!C464</f>
        <v>C22991</v>
      </c>
      <c r="D464" s="7" t="str">
        <f>RawData!D464</f>
        <v>Phone</v>
      </c>
      <c r="E464" s="7">
        <f>RawData!E464</f>
        <v>1</v>
      </c>
      <c r="F464" s="7">
        <f>RawData!F464</f>
        <v>252.68</v>
      </c>
      <c r="G464" s="7" t="str">
        <f>RawData!G464</f>
        <v>731 Main St</v>
      </c>
      <c r="H464" s="7" t="str">
        <f>RawData!H464</f>
        <v>Online</v>
      </c>
      <c r="I464" s="7" t="str">
        <f>RawData!I464</f>
        <v>Cancelled</v>
      </c>
      <c r="J464" s="7" t="str">
        <f>RawData!J464</f>
        <v>TRK32796086</v>
      </c>
      <c r="K464" s="7">
        <f>RawData!K464</f>
        <v>1</v>
      </c>
      <c r="L464" s="7" t="str">
        <f>IF(RawData!L464="","No Coupon",RawData!L464)</f>
        <v>No Coupon</v>
      </c>
      <c r="M464" s="7" t="str">
        <f>RawData!M464</f>
        <v>Referral</v>
      </c>
      <c r="N464" s="7">
        <f>RawData!N464</f>
        <v>252.68</v>
      </c>
    </row>
    <row r="465" spans="1:14" x14ac:dyDescent="0.3">
      <c r="A465" s="7" t="str">
        <f>RawData!A465</f>
        <v>ORD200463</v>
      </c>
      <c r="B465" s="11">
        <f>RawData!B465</f>
        <v>45072</v>
      </c>
      <c r="C465" s="7" t="str">
        <f>RawData!C465</f>
        <v>C25276</v>
      </c>
      <c r="D465" s="7" t="str">
        <f>RawData!D465</f>
        <v>Laptop</v>
      </c>
      <c r="E465" s="7">
        <f>RawData!E465</f>
        <v>5</v>
      </c>
      <c r="F465" s="7">
        <f>RawData!F465</f>
        <v>662.78</v>
      </c>
      <c r="G465" s="7" t="str">
        <f>RawData!G465</f>
        <v>214 Main St</v>
      </c>
      <c r="H465" s="7" t="str">
        <f>RawData!H465</f>
        <v>Debit Card</v>
      </c>
      <c r="I465" s="7" t="str">
        <f>RawData!I465</f>
        <v>Shipped</v>
      </c>
      <c r="J465" s="7" t="str">
        <f>RawData!J465</f>
        <v>TRK14011732</v>
      </c>
      <c r="K465" s="7">
        <f>RawData!K465</f>
        <v>9</v>
      </c>
      <c r="L465" s="7" t="str">
        <f>IF(RawData!L465="","No Coupon",RawData!L465)</f>
        <v>SAVE10</v>
      </c>
      <c r="M465" s="7" t="str">
        <f>RawData!M465</f>
        <v>Instagram</v>
      </c>
      <c r="N465" s="7">
        <f>RawData!N465</f>
        <v>3313.9</v>
      </c>
    </row>
    <row r="466" spans="1:14" x14ac:dyDescent="0.3">
      <c r="A466" s="7" t="str">
        <f>RawData!A466</f>
        <v>ORD200464</v>
      </c>
      <c r="B466" s="11">
        <f>RawData!B466</f>
        <v>44999</v>
      </c>
      <c r="C466" s="7" t="str">
        <f>RawData!C466</f>
        <v>C39176</v>
      </c>
      <c r="D466" s="7" t="str">
        <f>RawData!D466</f>
        <v>Tablet</v>
      </c>
      <c r="E466" s="7">
        <f>RawData!E466</f>
        <v>4</v>
      </c>
      <c r="F466" s="7">
        <f>RawData!F466</f>
        <v>434.42</v>
      </c>
      <c r="G466" s="7" t="str">
        <f>RawData!G466</f>
        <v>739 Main St</v>
      </c>
      <c r="H466" s="7" t="str">
        <f>RawData!H466</f>
        <v>Online</v>
      </c>
      <c r="I466" s="7" t="str">
        <f>RawData!I466</f>
        <v>Cancelled</v>
      </c>
      <c r="J466" s="7" t="str">
        <f>RawData!J466</f>
        <v>TRK71418686</v>
      </c>
      <c r="K466" s="7">
        <f>RawData!K466</f>
        <v>6</v>
      </c>
      <c r="L466" s="7" t="str">
        <f>IF(RawData!L466="","No Coupon",RawData!L466)</f>
        <v>FREESHIP</v>
      </c>
      <c r="M466" s="7" t="str">
        <f>RawData!M466</f>
        <v>Google</v>
      </c>
      <c r="N466" s="7">
        <f>RawData!N466</f>
        <v>1737.68</v>
      </c>
    </row>
    <row r="467" spans="1:14" x14ac:dyDescent="0.3">
      <c r="A467" s="7" t="str">
        <f>RawData!A467</f>
        <v>ORD200465</v>
      </c>
      <c r="B467" s="11">
        <f>RawData!B467</f>
        <v>45348</v>
      </c>
      <c r="C467" s="7" t="str">
        <f>RawData!C467</f>
        <v>C58773</v>
      </c>
      <c r="D467" s="7" t="str">
        <f>RawData!D467</f>
        <v>Printer</v>
      </c>
      <c r="E467" s="7">
        <f>RawData!E467</f>
        <v>5</v>
      </c>
      <c r="F467" s="7">
        <f>RawData!F467</f>
        <v>513.49</v>
      </c>
      <c r="G467" s="7" t="str">
        <f>RawData!G467</f>
        <v>391 Main St</v>
      </c>
      <c r="H467" s="7" t="str">
        <f>RawData!H467</f>
        <v>Gift Card</v>
      </c>
      <c r="I467" s="7" t="str">
        <f>RawData!I467</f>
        <v>Cancelled</v>
      </c>
      <c r="J467" s="7" t="str">
        <f>RawData!J467</f>
        <v>TRK65438300</v>
      </c>
      <c r="K467" s="7">
        <f>RawData!K467</f>
        <v>8</v>
      </c>
      <c r="L467" s="7" t="str">
        <f>IF(RawData!L467="","No Coupon",RawData!L467)</f>
        <v>No Coupon</v>
      </c>
      <c r="M467" s="7" t="str">
        <f>RawData!M467</f>
        <v>Google</v>
      </c>
      <c r="N467" s="7">
        <f>RawData!N467</f>
        <v>2567.4499999999998</v>
      </c>
    </row>
    <row r="468" spans="1:14" x14ac:dyDescent="0.3">
      <c r="A468" s="7" t="str">
        <f>RawData!A468</f>
        <v>ORD200466</v>
      </c>
      <c r="B468" s="11">
        <f>RawData!B468</f>
        <v>45125</v>
      </c>
      <c r="C468" s="7" t="str">
        <f>RawData!C468</f>
        <v>C37412</v>
      </c>
      <c r="D468" s="7" t="str">
        <f>RawData!D468</f>
        <v>Phone</v>
      </c>
      <c r="E468" s="7">
        <f>RawData!E468</f>
        <v>1</v>
      </c>
      <c r="F468" s="7">
        <f>RawData!F468</f>
        <v>432.47</v>
      </c>
      <c r="G468" s="7" t="str">
        <f>RawData!G468</f>
        <v>895 Main St</v>
      </c>
      <c r="H468" s="7" t="str">
        <f>RawData!H468</f>
        <v>Cash</v>
      </c>
      <c r="I468" s="7" t="str">
        <f>RawData!I468</f>
        <v>Delivered</v>
      </c>
      <c r="J468" s="7" t="str">
        <f>RawData!J468</f>
        <v>TRK97829604</v>
      </c>
      <c r="K468" s="7">
        <f>RawData!K468</f>
        <v>4</v>
      </c>
      <c r="L468" s="7" t="str">
        <f>IF(RawData!L468="","No Coupon",RawData!L468)</f>
        <v>FREESHIP</v>
      </c>
      <c r="M468" s="7" t="str">
        <f>RawData!M468</f>
        <v>Referral</v>
      </c>
      <c r="N468" s="7">
        <f>RawData!N468</f>
        <v>432.47</v>
      </c>
    </row>
    <row r="469" spans="1:14" x14ac:dyDescent="0.3">
      <c r="A469" s="7" t="str">
        <f>RawData!A469</f>
        <v>ORD200467</v>
      </c>
      <c r="B469" s="11">
        <f>RawData!B469</f>
        <v>45534</v>
      </c>
      <c r="C469" s="7" t="str">
        <f>RawData!C469</f>
        <v>C36492</v>
      </c>
      <c r="D469" s="7" t="str">
        <f>RawData!D469</f>
        <v>Desk</v>
      </c>
      <c r="E469" s="7">
        <f>RawData!E469</f>
        <v>1</v>
      </c>
      <c r="F469" s="7">
        <f>RawData!F469</f>
        <v>45.94</v>
      </c>
      <c r="G469" s="7" t="str">
        <f>RawData!G469</f>
        <v>572 Main St</v>
      </c>
      <c r="H469" s="7" t="str">
        <f>RawData!H469</f>
        <v>Cash</v>
      </c>
      <c r="I469" s="7" t="str">
        <f>RawData!I469</f>
        <v>Cancelled</v>
      </c>
      <c r="J469" s="7" t="str">
        <f>RawData!J469</f>
        <v>TRK44350440</v>
      </c>
      <c r="K469" s="7">
        <f>RawData!K469</f>
        <v>2</v>
      </c>
      <c r="L469" s="7" t="str">
        <f>IF(RawData!L469="","No Coupon",RawData!L469)</f>
        <v>WINTER15</v>
      </c>
      <c r="M469" s="7" t="str">
        <f>RawData!M469</f>
        <v>Email</v>
      </c>
      <c r="N469" s="7">
        <f>RawData!N469</f>
        <v>45.94</v>
      </c>
    </row>
    <row r="470" spans="1:14" x14ac:dyDescent="0.3">
      <c r="A470" s="7" t="str">
        <f>RawData!A470</f>
        <v>ORD200468</v>
      </c>
      <c r="B470" s="11">
        <f>RawData!B470</f>
        <v>45829</v>
      </c>
      <c r="C470" s="7" t="str">
        <f>RawData!C470</f>
        <v>C90110</v>
      </c>
      <c r="D470" s="7" t="str">
        <f>RawData!D470</f>
        <v>Phone</v>
      </c>
      <c r="E470" s="7">
        <f>RawData!E470</f>
        <v>1</v>
      </c>
      <c r="F470" s="7">
        <f>RawData!F470</f>
        <v>418.36</v>
      </c>
      <c r="G470" s="7" t="str">
        <f>RawData!G470</f>
        <v>998 Main St</v>
      </c>
      <c r="H470" s="7" t="str">
        <f>RawData!H470</f>
        <v>Credit Card</v>
      </c>
      <c r="I470" s="7" t="str">
        <f>RawData!I470</f>
        <v>Delivered</v>
      </c>
      <c r="J470" s="7" t="str">
        <f>RawData!J470</f>
        <v>TRK60203957</v>
      </c>
      <c r="K470" s="7">
        <f>RawData!K470</f>
        <v>5</v>
      </c>
      <c r="L470" s="7" t="str">
        <f>IF(RawData!L470="","No Coupon",RawData!L470)</f>
        <v>FREESHIP</v>
      </c>
      <c r="M470" s="7" t="str">
        <f>RawData!M470</f>
        <v>Email</v>
      </c>
      <c r="N470" s="7">
        <f>RawData!N470</f>
        <v>418.36</v>
      </c>
    </row>
    <row r="471" spans="1:14" x14ac:dyDescent="0.3">
      <c r="A471" s="7" t="str">
        <f>RawData!A471</f>
        <v>ORD200469</v>
      </c>
      <c r="B471" s="11">
        <f>RawData!B471</f>
        <v>45256</v>
      </c>
      <c r="C471" s="7" t="str">
        <f>RawData!C471</f>
        <v>C13877</v>
      </c>
      <c r="D471" s="7" t="str">
        <f>RawData!D471</f>
        <v>Chair</v>
      </c>
      <c r="E471" s="7">
        <f>RawData!E471</f>
        <v>5</v>
      </c>
      <c r="F471" s="7">
        <f>RawData!F471</f>
        <v>676.98</v>
      </c>
      <c r="G471" s="7" t="str">
        <f>RawData!G471</f>
        <v>893 Main St</v>
      </c>
      <c r="H471" s="7" t="str">
        <f>RawData!H471</f>
        <v>Cash</v>
      </c>
      <c r="I471" s="7" t="str">
        <f>RawData!I471</f>
        <v>Cancelled</v>
      </c>
      <c r="J471" s="7" t="str">
        <f>RawData!J471</f>
        <v>TRK17254691</v>
      </c>
      <c r="K471" s="7">
        <f>RawData!K471</f>
        <v>5</v>
      </c>
      <c r="L471" s="7" t="str">
        <f>IF(RawData!L471="","No Coupon",RawData!L471)</f>
        <v>No Coupon</v>
      </c>
      <c r="M471" s="7" t="str">
        <f>RawData!M471</f>
        <v>Facebook</v>
      </c>
      <c r="N471" s="7">
        <f>RawData!N471</f>
        <v>3384.9</v>
      </c>
    </row>
    <row r="472" spans="1:14" x14ac:dyDescent="0.3">
      <c r="A472" s="7" t="str">
        <f>RawData!A472</f>
        <v>ORD200470</v>
      </c>
      <c r="B472" s="11">
        <f>RawData!B472</f>
        <v>45198</v>
      </c>
      <c r="C472" s="7" t="str">
        <f>RawData!C472</f>
        <v>C25149</v>
      </c>
      <c r="D472" s="7" t="str">
        <f>RawData!D472</f>
        <v>Tablet</v>
      </c>
      <c r="E472" s="7">
        <f>RawData!E472</f>
        <v>4</v>
      </c>
      <c r="F472" s="7">
        <f>RawData!F472</f>
        <v>263.62</v>
      </c>
      <c r="G472" s="7" t="str">
        <f>RawData!G472</f>
        <v>672 Main St</v>
      </c>
      <c r="H472" s="7" t="str">
        <f>RawData!H472</f>
        <v>Cash</v>
      </c>
      <c r="I472" s="7" t="str">
        <f>RawData!I472</f>
        <v>Shipped</v>
      </c>
      <c r="J472" s="7" t="str">
        <f>RawData!J472</f>
        <v>TRK33538608</v>
      </c>
      <c r="K472" s="7">
        <f>RawData!K472</f>
        <v>5</v>
      </c>
      <c r="L472" s="7" t="str">
        <f>IF(RawData!L472="","No Coupon",RawData!L472)</f>
        <v>SAVE10</v>
      </c>
      <c r="M472" s="7" t="str">
        <f>RawData!M472</f>
        <v>Email</v>
      </c>
      <c r="N472" s="7">
        <f>RawData!N472</f>
        <v>1054.48</v>
      </c>
    </row>
    <row r="473" spans="1:14" x14ac:dyDescent="0.3">
      <c r="A473" s="7" t="str">
        <f>RawData!A473</f>
        <v>ORD200471</v>
      </c>
      <c r="B473" s="11">
        <f>RawData!B473</f>
        <v>45766</v>
      </c>
      <c r="C473" s="7" t="str">
        <f>RawData!C473</f>
        <v>C52717</v>
      </c>
      <c r="D473" s="7" t="str">
        <f>RawData!D473</f>
        <v>Desk</v>
      </c>
      <c r="E473" s="7">
        <f>RawData!E473</f>
        <v>5</v>
      </c>
      <c r="F473" s="7">
        <f>RawData!F473</f>
        <v>551.27</v>
      </c>
      <c r="G473" s="7" t="str">
        <f>RawData!G473</f>
        <v>395 Main St</v>
      </c>
      <c r="H473" s="7" t="str">
        <f>RawData!H473</f>
        <v>Online</v>
      </c>
      <c r="I473" s="7" t="str">
        <f>RawData!I473</f>
        <v>Cancelled</v>
      </c>
      <c r="J473" s="7" t="str">
        <f>RawData!J473</f>
        <v>TRK27625571</v>
      </c>
      <c r="K473" s="7">
        <f>RawData!K473</f>
        <v>7</v>
      </c>
      <c r="L473" s="7" t="str">
        <f>IF(RawData!L473="","No Coupon",RawData!L473)</f>
        <v>FREESHIP</v>
      </c>
      <c r="M473" s="7" t="str">
        <f>RawData!M473</f>
        <v>Referral</v>
      </c>
      <c r="N473" s="7">
        <f>RawData!N473</f>
        <v>2756.35</v>
      </c>
    </row>
    <row r="474" spans="1:14" x14ac:dyDescent="0.3">
      <c r="A474" s="7" t="str">
        <f>RawData!A474</f>
        <v>ORD200472</v>
      </c>
      <c r="B474" s="11">
        <f>RawData!B474</f>
        <v>44932</v>
      </c>
      <c r="C474" s="7" t="str">
        <f>RawData!C474</f>
        <v>C60029</v>
      </c>
      <c r="D474" s="7" t="str">
        <f>RawData!D474</f>
        <v>Chair</v>
      </c>
      <c r="E474" s="7">
        <f>RawData!E474</f>
        <v>3</v>
      </c>
      <c r="F474" s="7">
        <f>RawData!F474</f>
        <v>508.12</v>
      </c>
      <c r="G474" s="7" t="str">
        <f>RawData!G474</f>
        <v>796 Main St</v>
      </c>
      <c r="H474" s="7" t="str">
        <f>RawData!H474</f>
        <v>Credit Card</v>
      </c>
      <c r="I474" s="7" t="str">
        <f>RawData!I474</f>
        <v>Cancelled</v>
      </c>
      <c r="J474" s="7" t="str">
        <f>RawData!J474</f>
        <v>TRK86461316</v>
      </c>
      <c r="K474" s="7">
        <f>RawData!K474</f>
        <v>8</v>
      </c>
      <c r="L474" s="7" t="str">
        <f>IF(RawData!L474="","No Coupon",RawData!L474)</f>
        <v>FREESHIP</v>
      </c>
      <c r="M474" s="7" t="str">
        <f>RawData!M474</f>
        <v>Referral</v>
      </c>
      <c r="N474" s="7">
        <f>RawData!N474</f>
        <v>1524.36</v>
      </c>
    </row>
    <row r="475" spans="1:14" x14ac:dyDescent="0.3">
      <c r="A475" s="7" t="str">
        <f>RawData!A475</f>
        <v>ORD200473</v>
      </c>
      <c r="B475" s="11">
        <f>RawData!B475</f>
        <v>45713</v>
      </c>
      <c r="C475" s="7" t="str">
        <f>RawData!C475</f>
        <v>C28552</v>
      </c>
      <c r="D475" s="7" t="str">
        <f>RawData!D475</f>
        <v>Chair</v>
      </c>
      <c r="E475" s="7">
        <f>RawData!E475</f>
        <v>2</v>
      </c>
      <c r="F475" s="7">
        <f>RawData!F475</f>
        <v>14.93</v>
      </c>
      <c r="G475" s="7" t="str">
        <f>RawData!G475</f>
        <v>449 Main St</v>
      </c>
      <c r="H475" s="7" t="str">
        <f>RawData!H475</f>
        <v>Online</v>
      </c>
      <c r="I475" s="7" t="str">
        <f>RawData!I475</f>
        <v>Shipped</v>
      </c>
      <c r="J475" s="7" t="str">
        <f>RawData!J475</f>
        <v>TRK71597160</v>
      </c>
      <c r="K475" s="7">
        <f>RawData!K475</f>
        <v>4</v>
      </c>
      <c r="L475" s="7" t="str">
        <f>IF(RawData!L475="","No Coupon",RawData!L475)</f>
        <v>No Coupon</v>
      </c>
      <c r="M475" s="7" t="str">
        <f>RawData!M475</f>
        <v>Facebook</v>
      </c>
      <c r="N475" s="7">
        <f>RawData!N475</f>
        <v>29.86</v>
      </c>
    </row>
    <row r="476" spans="1:14" x14ac:dyDescent="0.3">
      <c r="A476" s="7" t="str">
        <f>RawData!A476</f>
        <v>ORD200474</v>
      </c>
      <c r="B476" s="11">
        <f>RawData!B476</f>
        <v>45245</v>
      </c>
      <c r="C476" s="7" t="str">
        <f>RawData!C476</f>
        <v>C72293</v>
      </c>
      <c r="D476" s="7" t="str">
        <f>RawData!D476</f>
        <v>Printer</v>
      </c>
      <c r="E476" s="7">
        <f>RawData!E476</f>
        <v>3</v>
      </c>
      <c r="F476" s="7">
        <f>RawData!F476</f>
        <v>229.34</v>
      </c>
      <c r="G476" s="7" t="str">
        <f>RawData!G476</f>
        <v>398 Main St</v>
      </c>
      <c r="H476" s="7" t="str">
        <f>RawData!H476</f>
        <v>Credit Card</v>
      </c>
      <c r="I476" s="7" t="str">
        <f>RawData!I476</f>
        <v>Shipped</v>
      </c>
      <c r="J476" s="7" t="str">
        <f>RawData!J476</f>
        <v>TRK84378003</v>
      </c>
      <c r="K476" s="7">
        <f>RawData!K476</f>
        <v>6</v>
      </c>
      <c r="L476" s="7" t="str">
        <f>IF(RawData!L476="","No Coupon",RawData!L476)</f>
        <v>SAVE10</v>
      </c>
      <c r="M476" s="7" t="str">
        <f>RawData!M476</f>
        <v>Referral</v>
      </c>
      <c r="N476" s="7">
        <f>RawData!N476</f>
        <v>688.02</v>
      </c>
    </row>
    <row r="477" spans="1:14" x14ac:dyDescent="0.3">
      <c r="A477" s="7" t="str">
        <f>RawData!A477</f>
        <v>ORD200475</v>
      </c>
      <c r="B477" s="11">
        <f>RawData!B477</f>
        <v>45766</v>
      </c>
      <c r="C477" s="7" t="str">
        <f>RawData!C477</f>
        <v>C29844</v>
      </c>
      <c r="D477" s="7" t="str">
        <f>RawData!D477</f>
        <v>Tablet</v>
      </c>
      <c r="E477" s="7">
        <f>RawData!E477</f>
        <v>2</v>
      </c>
      <c r="F477" s="7">
        <f>RawData!F477</f>
        <v>438.62</v>
      </c>
      <c r="G477" s="7" t="str">
        <f>RawData!G477</f>
        <v>363 Main St</v>
      </c>
      <c r="H477" s="7" t="str">
        <f>RawData!H477</f>
        <v>Cash</v>
      </c>
      <c r="I477" s="7" t="str">
        <f>RawData!I477</f>
        <v>Cancelled</v>
      </c>
      <c r="J477" s="7" t="str">
        <f>RawData!J477</f>
        <v>TRK91642337</v>
      </c>
      <c r="K477" s="7">
        <f>RawData!K477</f>
        <v>3</v>
      </c>
      <c r="L477" s="7" t="str">
        <f>IF(RawData!L477="","No Coupon",RawData!L477)</f>
        <v>SAVE10</v>
      </c>
      <c r="M477" s="7" t="str">
        <f>RawData!M477</f>
        <v>Facebook</v>
      </c>
      <c r="N477" s="7">
        <f>RawData!N477</f>
        <v>877.24</v>
      </c>
    </row>
    <row r="478" spans="1:14" x14ac:dyDescent="0.3">
      <c r="A478" s="7" t="str">
        <f>RawData!A478</f>
        <v>ORD200476</v>
      </c>
      <c r="B478" s="11">
        <f>RawData!B478</f>
        <v>45306</v>
      </c>
      <c r="C478" s="7" t="str">
        <f>RawData!C478</f>
        <v>C77872</v>
      </c>
      <c r="D478" s="7" t="str">
        <f>RawData!D478</f>
        <v>Phone</v>
      </c>
      <c r="E478" s="7">
        <f>RawData!E478</f>
        <v>2</v>
      </c>
      <c r="F478" s="7">
        <f>RawData!F478</f>
        <v>513.59</v>
      </c>
      <c r="G478" s="7" t="str">
        <f>RawData!G478</f>
        <v>867 Main St</v>
      </c>
      <c r="H478" s="7" t="str">
        <f>RawData!H478</f>
        <v>Online</v>
      </c>
      <c r="I478" s="7" t="str">
        <f>RawData!I478</f>
        <v>Returned</v>
      </c>
      <c r="J478" s="7" t="str">
        <f>RawData!J478</f>
        <v>TRK19292184</v>
      </c>
      <c r="K478" s="7">
        <f>RawData!K478</f>
        <v>4</v>
      </c>
      <c r="L478" s="7" t="str">
        <f>IF(RawData!L478="","No Coupon",RawData!L478)</f>
        <v>FREESHIP</v>
      </c>
      <c r="M478" s="7" t="str">
        <f>RawData!M478</f>
        <v>Referral</v>
      </c>
      <c r="N478" s="7">
        <f>RawData!N478</f>
        <v>1027.18</v>
      </c>
    </row>
    <row r="479" spans="1:14" x14ac:dyDescent="0.3">
      <c r="A479" s="7" t="str">
        <f>RawData!A479</f>
        <v>ORD200477</v>
      </c>
      <c r="B479" s="11">
        <f>RawData!B479</f>
        <v>45721</v>
      </c>
      <c r="C479" s="7" t="str">
        <f>RawData!C479</f>
        <v>C56564</v>
      </c>
      <c r="D479" s="7" t="str">
        <f>RawData!D479</f>
        <v>Phone</v>
      </c>
      <c r="E479" s="7">
        <f>RawData!E479</f>
        <v>2</v>
      </c>
      <c r="F479" s="7">
        <f>RawData!F479</f>
        <v>253.74</v>
      </c>
      <c r="G479" s="7" t="str">
        <f>RawData!G479</f>
        <v>481 Main St</v>
      </c>
      <c r="H479" s="7" t="str">
        <f>RawData!H479</f>
        <v>Online</v>
      </c>
      <c r="I479" s="7" t="str">
        <f>RawData!I479</f>
        <v>Shipped</v>
      </c>
      <c r="J479" s="7" t="str">
        <f>RawData!J479</f>
        <v>TRK13166044</v>
      </c>
      <c r="K479" s="7">
        <f>RawData!K479</f>
        <v>5</v>
      </c>
      <c r="L479" s="7" t="str">
        <f>IF(RawData!L479="","No Coupon",RawData!L479)</f>
        <v>SAVE10</v>
      </c>
      <c r="M479" s="7" t="str">
        <f>RawData!M479</f>
        <v>Google</v>
      </c>
      <c r="N479" s="7">
        <f>RawData!N479</f>
        <v>507.48</v>
      </c>
    </row>
    <row r="480" spans="1:14" x14ac:dyDescent="0.3">
      <c r="A480" s="7" t="str">
        <f>RawData!A480</f>
        <v>ORD200478</v>
      </c>
      <c r="B480" s="11">
        <f>RawData!B480</f>
        <v>45597</v>
      </c>
      <c r="C480" s="7" t="str">
        <f>RawData!C480</f>
        <v>C16758</v>
      </c>
      <c r="D480" s="7" t="str">
        <f>RawData!D480</f>
        <v>Tablet</v>
      </c>
      <c r="E480" s="7">
        <f>RawData!E480</f>
        <v>3</v>
      </c>
      <c r="F480" s="7">
        <f>RawData!F480</f>
        <v>62.77</v>
      </c>
      <c r="G480" s="7" t="str">
        <f>RawData!G480</f>
        <v>914 Main St</v>
      </c>
      <c r="H480" s="7" t="str">
        <f>RawData!H480</f>
        <v>Gift Card</v>
      </c>
      <c r="I480" s="7" t="str">
        <f>RawData!I480</f>
        <v>Shipped</v>
      </c>
      <c r="J480" s="7" t="str">
        <f>RawData!J480</f>
        <v>TRK88544431</v>
      </c>
      <c r="K480" s="7">
        <f>RawData!K480</f>
        <v>6</v>
      </c>
      <c r="L480" s="7" t="str">
        <f>IF(RawData!L480="","No Coupon",RawData!L480)</f>
        <v>FREESHIP</v>
      </c>
      <c r="M480" s="7" t="str">
        <f>RawData!M480</f>
        <v>Referral</v>
      </c>
      <c r="N480" s="7">
        <f>RawData!N480</f>
        <v>188.31</v>
      </c>
    </row>
    <row r="481" spans="1:14" x14ac:dyDescent="0.3">
      <c r="A481" s="7" t="str">
        <f>RawData!A481</f>
        <v>ORD200479</v>
      </c>
      <c r="B481" s="11">
        <f>RawData!B481</f>
        <v>44975</v>
      </c>
      <c r="C481" s="7" t="str">
        <f>RawData!C481</f>
        <v>C87011</v>
      </c>
      <c r="D481" s="7" t="str">
        <f>RawData!D481</f>
        <v>Monitor</v>
      </c>
      <c r="E481" s="7">
        <f>RawData!E481</f>
        <v>4</v>
      </c>
      <c r="F481" s="7">
        <f>RawData!F481</f>
        <v>25.29</v>
      </c>
      <c r="G481" s="7" t="str">
        <f>RawData!G481</f>
        <v>943 Main St</v>
      </c>
      <c r="H481" s="7" t="str">
        <f>RawData!H481</f>
        <v>Credit Card</v>
      </c>
      <c r="I481" s="7" t="str">
        <f>RawData!I481</f>
        <v>Pending</v>
      </c>
      <c r="J481" s="7" t="str">
        <f>RawData!J481</f>
        <v>TRK21429162</v>
      </c>
      <c r="K481" s="7">
        <f>RawData!K481</f>
        <v>8</v>
      </c>
      <c r="L481" s="7" t="str">
        <f>IF(RawData!L481="","No Coupon",RawData!L481)</f>
        <v>No Coupon</v>
      </c>
      <c r="M481" s="7" t="str">
        <f>RawData!M481</f>
        <v>Google</v>
      </c>
      <c r="N481" s="7">
        <f>RawData!N481</f>
        <v>101.16</v>
      </c>
    </row>
    <row r="482" spans="1:14" x14ac:dyDescent="0.3">
      <c r="A482" s="7" t="str">
        <f>RawData!A482</f>
        <v>ORD200480</v>
      </c>
      <c r="B482" s="11">
        <f>RawData!B482</f>
        <v>45093</v>
      </c>
      <c r="C482" s="7" t="str">
        <f>RawData!C482</f>
        <v>C21147</v>
      </c>
      <c r="D482" s="7" t="str">
        <f>RawData!D482</f>
        <v>Chair</v>
      </c>
      <c r="E482" s="7">
        <f>RawData!E482</f>
        <v>1</v>
      </c>
      <c r="F482" s="7">
        <f>RawData!F482</f>
        <v>335.1</v>
      </c>
      <c r="G482" s="7" t="str">
        <f>RawData!G482</f>
        <v>126 Main St</v>
      </c>
      <c r="H482" s="7" t="str">
        <f>RawData!H482</f>
        <v>Debit Card</v>
      </c>
      <c r="I482" s="7" t="str">
        <f>RawData!I482</f>
        <v>Pending</v>
      </c>
      <c r="J482" s="7" t="str">
        <f>RawData!J482</f>
        <v>TRK93171043</v>
      </c>
      <c r="K482" s="7">
        <f>RawData!K482</f>
        <v>6</v>
      </c>
      <c r="L482" s="7" t="str">
        <f>IF(RawData!L482="","No Coupon",RawData!L482)</f>
        <v>FREESHIP</v>
      </c>
      <c r="M482" s="7" t="str">
        <f>RawData!M482</f>
        <v>Referral</v>
      </c>
      <c r="N482" s="7">
        <f>RawData!N482</f>
        <v>335.1</v>
      </c>
    </row>
    <row r="483" spans="1:14" x14ac:dyDescent="0.3">
      <c r="A483" s="7" t="str">
        <f>RawData!A483</f>
        <v>ORD200481</v>
      </c>
      <c r="B483" s="11">
        <f>RawData!B483</f>
        <v>45039</v>
      </c>
      <c r="C483" s="7" t="str">
        <f>RawData!C483</f>
        <v>C94568</v>
      </c>
      <c r="D483" s="7" t="str">
        <f>RawData!D483</f>
        <v>Laptop</v>
      </c>
      <c r="E483" s="7">
        <f>RawData!E483</f>
        <v>4</v>
      </c>
      <c r="F483" s="7">
        <f>RawData!F483</f>
        <v>484.85</v>
      </c>
      <c r="G483" s="7" t="str">
        <f>RawData!G483</f>
        <v>317 Main St</v>
      </c>
      <c r="H483" s="7" t="str">
        <f>RawData!H483</f>
        <v>Debit Card</v>
      </c>
      <c r="I483" s="7" t="str">
        <f>RawData!I483</f>
        <v>Delivered</v>
      </c>
      <c r="J483" s="7" t="str">
        <f>RawData!J483</f>
        <v>TRK58653915</v>
      </c>
      <c r="K483" s="7">
        <f>RawData!K483</f>
        <v>5</v>
      </c>
      <c r="L483" s="7" t="str">
        <f>IF(RawData!L483="","No Coupon",RawData!L483)</f>
        <v>WINTER15</v>
      </c>
      <c r="M483" s="7" t="str">
        <f>RawData!M483</f>
        <v>Referral</v>
      </c>
      <c r="N483" s="7">
        <f>RawData!N483</f>
        <v>1939.4</v>
      </c>
    </row>
    <row r="484" spans="1:14" x14ac:dyDescent="0.3">
      <c r="A484" s="7" t="str">
        <f>RawData!A484</f>
        <v>ORD200482</v>
      </c>
      <c r="B484" s="11">
        <f>RawData!B484</f>
        <v>45718</v>
      </c>
      <c r="C484" s="7" t="str">
        <f>RawData!C484</f>
        <v>C35852</v>
      </c>
      <c r="D484" s="7" t="str">
        <f>RawData!D484</f>
        <v>Monitor</v>
      </c>
      <c r="E484" s="7">
        <f>RawData!E484</f>
        <v>3</v>
      </c>
      <c r="F484" s="7">
        <f>RawData!F484</f>
        <v>381.41</v>
      </c>
      <c r="G484" s="7" t="str">
        <f>RawData!G484</f>
        <v>989 Main St</v>
      </c>
      <c r="H484" s="7" t="str">
        <f>RawData!H484</f>
        <v>Online</v>
      </c>
      <c r="I484" s="7" t="str">
        <f>RawData!I484</f>
        <v>Pending</v>
      </c>
      <c r="J484" s="7" t="str">
        <f>RawData!J484</f>
        <v>TRK22302049</v>
      </c>
      <c r="K484" s="7">
        <f>RawData!K484</f>
        <v>6</v>
      </c>
      <c r="L484" s="7" t="str">
        <f>IF(RawData!L484="","No Coupon",RawData!L484)</f>
        <v>No Coupon</v>
      </c>
      <c r="M484" s="7" t="str">
        <f>RawData!M484</f>
        <v>Instagram</v>
      </c>
      <c r="N484" s="7">
        <f>RawData!N484</f>
        <v>1144.23</v>
      </c>
    </row>
    <row r="485" spans="1:14" x14ac:dyDescent="0.3">
      <c r="A485" s="7" t="str">
        <f>RawData!A485</f>
        <v>ORD200483</v>
      </c>
      <c r="B485" s="11">
        <f>RawData!B485</f>
        <v>44944</v>
      </c>
      <c r="C485" s="7" t="str">
        <f>RawData!C485</f>
        <v>C66462</v>
      </c>
      <c r="D485" s="7" t="str">
        <f>RawData!D485</f>
        <v>Phone</v>
      </c>
      <c r="E485" s="7">
        <f>RawData!E485</f>
        <v>5</v>
      </c>
      <c r="F485" s="7">
        <f>RawData!F485</f>
        <v>347.92</v>
      </c>
      <c r="G485" s="7" t="str">
        <f>RawData!G485</f>
        <v>982 Main St</v>
      </c>
      <c r="H485" s="7" t="str">
        <f>RawData!H485</f>
        <v>Cash</v>
      </c>
      <c r="I485" s="7" t="str">
        <f>RawData!I485</f>
        <v>Pending</v>
      </c>
      <c r="J485" s="7" t="str">
        <f>RawData!J485</f>
        <v>TRK52743700</v>
      </c>
      <c r="K485" s="7">
        <f>RawData!K485</f>
        <v>6</v>
      </c>
      <c r="L485" s="7" t="str">
        <f>IF(RawData!L485="","No Coupon",RawData!L485)</f>
        <v>WINTER15</v>
      </c>
      <c r="M485" s="7" t="str">
        <f>RawData!M485</f>
        <v>Google</v>
      </c>
      <c r="N485" s="7">
        <f>RawData!N485</f>
        <v>1739.6</v>
      </c>
    </row>
    <row r="486" spans="1:14" x14ac:dyDescent="0.3">
      <c r="A486" s="7" t="str">
        <f>RawData!A486</f>
        <v>ORD200484</v>
      </c>
      <c r="B486" s="11">
        <f>RawData!B486</f>
        <v>45441</v>
      </c>
      <c r="C486" s="7" t="str">
        <f>RawData!C486</f>
        <v>C29092</v>
      </c>
      <c r="D486" s="7" t="str">
        <f>RawData!D486</f>
        <v>Chair</v>
      </c>
      <c r="E486" s="7">
        <f>RawData!E486</f>
        <v>4</v>
      </c>
      <c r="F486" s="7">
        <f>RawData!F486</f>
        <v>15.01</v>
      </c>
      <c r="G486" s="7" t="str">
        <f>RawData!G486</f>
        <v>767 Main St</v>
      </c>
      <c r="H486" s="7" t="str">
        <f>RawData!H486</f>
        <v>Cash</v>
      </c>
      <c r="I486" s="7" t="str">
        <f>RawData!I486</f>
        <v>Cancelled</v>
      </c>
      <c r="J486" s="7" t="str">
        <f>RawData!J486</f>
        <v>TRK90455340</v>
      </c>
      <c r="K486" s="7">
        <f>RawData!K486</f>
        <v>6</v>
      </c>
      <c r="L486" s="7" t="str">
        <f>IF(RawData!L486="","No Coupon",RawData!L486)</f>
        <v>No Coupon</v>
      </c>
      <c r="M486" s="7" t="str">
        <f>RawData!M486</f>
        <v>Facebook</v>
      </c>
      <c r="N486" s="7">
        <f>RawData!N486</f>
        <v>60.04</v>
      </c>
    </row>
    <row r="487" spans="1:14" x14ac:dyDescent="0.3">
      <c r="A487" s="7" t="str">
        <f>RawData!A487</f>
        <v>ORD200485</v>
      </c>
      <c r="B487" s="11">
        <f>RawData!B487</f>
        <v>45139</v>
      </c>
      <c r="C487" s="7" t="str">
        <f>RawData!C487</f>
        <v>C46651</v>
      </c>
      <c r="D487" s="7" t="str">
        <f>RawData!D487</f>
        <v>Chair</v>
      </c>
      <c r="E487" s="7">
        <f>RawData!E487</f>
        <v>3</v>
      </c>
      <c r="F487" s="7">
        <f>RawData!F487</f>
        <v>404.79</v>
      </c>
      <c r="G487" s="7" t="str">
        <f>RawData!G487</f>
        <v>764 Main St</v>
      </c>
      <c r="H487" s="7" t="str">
        <f>RawData!H487</f>
        <v>Cash</v>
      </c>
      <c r="I487" s="7" t="str">
        <f>RawData!I487</f>
        <v>Shipped</v>
      </c>
      <c r="J487" s="7" t="str">
        <f>RawData!J487</f>
        <v>TRK67679195</v>
      </c>
      <c r="K487" s="7">
        <f>RawData!K487</f>
        <v>6</v>
      </c>
      <c r="L487" s="7" t="str">
        <f>IF(RawData!L487="","No Coupon",RawData!L487)</f>
        <v>SAVE10</v>
      </c>
      <c r="M487" s="7" t="str">
        <f>RawData!M487</f>
        <v>Instagram</v>
      </c>
      <c r="N487" s="7">
        <f>RawData!N487</f>
        <v>1214.3699999999999</v>
      </c>
    </row>
    <row r="488" spans="1:14" x14ac:dyDescent="0.3">
      <c r="A488" s="7" t="str">
        <f>RawData!A488</f>
        <v>ORD200486</v>
      </c>
      <c r="B488" s="11">
        <f>RawData!B488</f>
        <v>44960</v>
      </c>
      <c r="C488" s="7" t="str">
        <f>RawData!C488</f>
        <v>C88981</v>
      </c>
      <c r="D488" s="7" t="str">
        <f>RawData!D488</f>
        <v>Printer</v>
      </c>
      <c r="E488" s="7">
        <f>RawData!E488</f>
        <v>4</v>
      </c>
      <c r="F488" s="7">
        <f>RawData!F488</f>
        <v>611.26</v>
      </c>
      <c r="G488" s="7" t="str">
        <f>RawData!G488</f>
        <v>558 Main St</v>
      </c>
      <c r="H488" s="7" t="str">
        <f>RawData!H488</f>
        <v>Cash</v>
      </c>
      <c r="I488" s="7" t="str">
        <f>RawData!I488</f>
        <v>Shipped</v>
      </c>
      <c r="J488" s="7" t="str">
        <f>RawData!J488</f>
        <v>TRK75267873</v>
      </c>
      <c r="K488" s="7">
        <f>RawData!K488</f>
        <v>5</v>
      </c>
      <c r="L488" s="7" t="str">
        <f>IF(RawData!L488="","No Coupon",RawData!L488)</f>
        <v>SAVE10</v>
      </c>
      <c r="M488" s="7" t="str">
        <f>RawData!M488</f>
        <v>Referral</v>
      </c>
      <c r="N488" s="7">
        <f>RawData!N488</f>
        <v>2445.04</v>
      </c>
    </row>
    <row r="489" spans="1:14" x14ac:dyDescent="0.3">
      <c r="A489" s="7" t="str">
        <f>RawData!A489</f>
        <v>ORD200487</v>
      </c>
      <c r="B489" s="11">
        <f>RawData!B489</f>
        <v>44994</v>
      </c>
      <c r="C489" s="7" t="str">
        <f>RawData!C489</f>
        <v>C40136</v>
      </c>
      <c r="D489" s="7" t="str">
        <f>RawData!D489</f>
        <v>Printer</v>
      </c>
      <c r="E489" s="7">
        <f>RawData!E489</f>
        <v>3</v>
      </c>
      <c r="F489" s="7">
        <f>RawData!F489</f>
        <v>346.52</v>
      </c>
      <c r="G489" s="7" t="str">
        <f>RawData!G489</f>
        <v>211 Main St</v>
      </c>
      <c r="H489" s="7" t="str">
        <f>RawData!H489</f>
        <v>Credit Card</v>
      </c>
      <c r="I489" s="7" t="str">
        <f>RawData!I489</f>
        <v>Pending</v>
      </c>
      <c r="J489" s="7" t="str">
        <f>RawData!J489</f>
        <v>TRK92924852</v>
      </c>
      <c r="K489" s="7">
        <f>RawData!K489</f>
        <v>3</v>
      </c>
      <c r="L489" s="7" t="str">
        <f>IF(RawData!L489="","No Coupon",RawData!L489)</f>
        <v>SAVE10</v>
      </c>
      <c r="M489" s="7" t="str">
        <f>RawData!M489</f>
        <v>Google</v>
      </c>
      <c r="N489" s="7">
        <f>RawData!N489</f>
        <v>1039.56</v>
      </c>
    </row>
    <row r="490" spans="1:14" x14ac:dyDescent="0.3">
      <c r="A490" s="7" t="str">
        <f>RawData!A490</f>
        <v>ORD200488</v>
      </c>
      <c r="B490" s="11">
        <f>RawData!B490</f>
        <v>45631</v>
      </c>
      <c r="C490" s="7" t="str">
        <f>RawData!C490</f>
        <v>C81573</v>
      </c>
      <c r="D490" s="7" t="str">
        <f>RawData!D490</f>
        <v>Chair</v>
      </c>
      <c r="E490" s="7">
        <f>RawData!E490</f>
        <v>1</v>
      </c>
      <c r="F490" s="7">
        <f>RawData!F490</f>
        <v>36.65</v>
      </c>
      <c r="G490" s="7" t="str">
        <f>RawData!G490</f>
        <v>556 Main St</v>
      </c>
      <c r="H490" s="7" t="str">
        <f>RawData!H490</f>
        <v>Online</v>
      </c>
      <c r="I490" s="7" t="str">
        <f>RawData!I490</f>
        <v>Cancelled</v>
      </c>
      <c r="J490" s="7" t="str">
        <f>RawData!J490</f>
        <v>TRK96522994</v>
      </c>
      <c r="K490" s="7">
        <f>RawData!K490</f>
        <v>1</v>
      </c>
      <c r="L490" s="7" t="str">
        <f>IF(RawData!L490="","No Coupon",RawData!L490)</f>
        <v>WINTER15</v>
      </c>
      <c r="M490" s="7" t="str">
        <f>RawData!M490</f>
        <v>Email</v>
      </c>
      <c r="N490" s="7">
        <f>RawData!N490</f>
        <v>36.65</v>
      </c>
    </row>
    <row r="491" spans="1:14" x14ac:dyDescent="0.3">
      <c r="A491" s="7" t="str">
        <f>RawData!A491</f>
        <v>ORD200489</v>
      </c>
      <c r="B491" s="11">
        <f>RawData!B491</f>
        <v>45174</v>
      </c>
      <c r="C491" s="7" t="str">
        <f>RawData!C491</f>
        <v>C11940</v>
      </c>
      <c r="D491" s="7" t="str">
        <f>RawData!D491</f>
        <v>Tablet</v>
      </c>
      <c r="E491" s="7">
        <f>RawData!E491</f>
        <v>3</v>
      </c>
      <c r="F491" s="7">
        <f>RawData!F491</f>
        <v>149.34</v>
      </c>
      <c r="G491" s="7" t="str">
        <f>RawData!G491</f>
        <v>589 Main St</v>
      </c>
      <c r="H491" s="7" t="str">
        <f>RawData!H491</f>
        <v>Gift Card</v>
      </c>
      <c r="I491" s="7" t="str">
        <f>RawData!I491</f>
        <v>Cancelled</v>
      </c>
      <c r="J491" s="7" t="str">
        <f>RawData!J491</f>
        <v>TRK85466461</v>
      </c>
      <c r="K491" s="7">
        <f>RawData!K491</f>
        <v>7</v>
      </c>
      <c r="L491" s="7" t="str">
        <f>IF(RawData!L491="","No Coupon",RawData!L491)</f>
        <v>WINTER15</v>
      </c>
      <c r="M491" s="7" t="str">
        <f>RawData!M491</f>
        <v>Email</v>
      </c>
      <c r="N491" s="7">
        <f>RawData!N491</f>
        <v>448.02</v>
      </c>
    </row>
    <row r="492" spans="1:14" x14ac:dyDescent="0.3">
      <c r="A492" s="7" t="str">
        <f>RawData!A492</f>
        <v>ORD200490</v>
      </c>
      <c r="B492" s="11">
        <f>RawData!B492</f>
        <v>45495</v>
      </c>
      <c r="C492" s="7" t="str">
        <f>RawData!C492</f>
        <v>C50097</v>
      </c>
      <c r="D492" s="7" t="str">
        <f>RawData!D492</f>
        <v>Chair</v>
      </c>
      <c r="E492" s="7">
        <f>RawData!E492</f>
        <v>5</v>
      </c>
      <c r="F492" s="7">
        <f>RawData!F492</f>
        <v>467.81</v>
      </c>
      <c r="G492" s="7" t="str">
        <f>RawData!G492</f>
        <v>539 Main St</v>
      </c>
      <c r="H492" s="7" t="str">
        <f>RawData!H492</f>
        <v>Online</v>
      </c>
      <c r="I492" s="7" t="str">
        <f>RawData!I492</f>
        <v>Cancelled</v>
      </c>
      <c r="J492" s="7" t="str">
        <f>RawData!J492</f>
        <v>TRK62785150</v>
      </c>
      <c r="K492" s="7">
        <f>RawData!K492</f>
        <v>10</v>
      </c>
      <c r="L492" s="7" t="str">
        <f>IF(RawData!L492="","No Coupon",RawData!L492)</f>
        <v>No Coupon</v>
      </c>
      <c r="M492" s="7" t="str">
        <f>RawData!M492</f>
        <v>Facebook</v>
      </c>
      <c r="N492" s="7">
        <f>RawData!N492</f>
        <v>2339.0500000000002</v>
      </c>
    </row>
    <row r="493" spans="1:14" x14ac:dyDescent="0.3">
      <c r="A493" s="7" t="str">
        <f>RawData!A493</f>
        <v>ORD200491</v>
      </c>
      <c r="B493" s="11">
        <f>RawData!B493</f>
        <v>44931</v>
      </c>
      <c r="C493" s="7" t="str">
        <f>RawData!C493</f>
        <v>C98168</v>
      </c>
      <c r="D493" s="7" t="str">
        <f>RawData!D493</f>
        <v>Phone</v>
      </c>
      <c r="E493" s="7">
        <f>RawData!E493</f>
        <v>5</v>
      </c>
      <c r="F493" s="7">
        <f>RawData!F493</f>
        <v>420.7</v>
      </c>
      <c r="G493" s="7" t="str">
        <f>RawData!G493</f>
        <v>481 Main St</v>
      </c>
      <c r="H493" s="7" t="str">
        <f>RawData!H493</f>
        <v>Cash</v>
      </c>
      <c r="I493" s="7" t="str">
        <f>RawData!I493</f>
        <v>Pending</v>
      </c>
      <c r="J493" s="7" t="str">
        <f>RawData!J493</f>
        <v>TRK56423359</v>
      </c>
      <c r="K493" s="7">
        <f>RawData!K493</f>
        <v>5</v>
      </c>
      <c r="L493" s="7" t="str">
        <f>IF(RawData!L493="","No Coupon",RawData!L493)</f>
        <v>WINTER15</v>
      </c>
      <c r="M493" s="7" t="str">
        <f>RawData!M493</f>
        <v>Facebook</v>
      </c>
      <c r="N493" s="7">
        <f>RawData!N493</f>
        <v>2103.5</v>
      </c>
    </row>
    <row r="494" spans="1:14" x14ac:dyDescent="0.3">
      <c r="A494" s="7" t="str">
        <f>RawData!A494</f>
        <v>ORD200492</v>
      </c>
      <c r="B494" s="11">
        <f>RawData!B494</f>
        <v>45224</v>
      </c>
      <c r="C494" s="7" t="str">
        <f>RawData!C494</f>
        <v>C39074</v>
      </c>
      <c r="D494" s="7" t="str">
        <f>RawData!D494</f>
        <v>Laptop</v>
      </c>
      <c r="E494" s="7">
        <f>RawData!E494</f>
        <v>5</v>
      </c>
      <c r="F494" s="7">
        <f>RawData!F494</f>
        <v>606.52</v>
      </c>
      <c r="G494" s="7" t="str">
        <f>RawData!G494</f>
        <v>103 Main St</v>
      </c>
      <c r="H494" s="7" t="str">
        <f>RawData!H494</f>
        <v>Debit Card</v>
      </c>
      <c r="I494" s="7" t="str">
        <f>RawData!I494</f>
        <v>Shipped</v>
      </c>
      <c r="J494" s="7" t="str">
        <f>RawData!J494</f>
        <v>TRK13027036</v>
      </c>
      <c r="K494" s="7">
        <f>RawData!K494</f>
        <v>6</v>
      </c>
      <c r="L494" s="7" t="str">
        <f>IF(RawData!L494="","No Coupon",RawData!L494)</f>
        <v>SAVE10</v>
      </c>
      <c r="M494" s="7" t="str">
        <f>RawData!M494</f>
        <v>Instagram</v>
      </c>
      <c r="N494" s="7">
        <f>RawData!N494</f>
        <v>3032.6</v>
      </c>
    </row>
    <row r="495" spans="1:14" x14ac:dyDescent="0.3">
      <c r="A495" s="7" t="str">
        <f>RawData!A495</f>
        <v>ORD200493</v>
      </c>
      <c r="B495" s="11">
        <f>RawData!B495</f>
        <v>45685</v>
      </c>
      <c r="C495" s="7" t="str">
        <f>RawData!C495</f>
        <v>C84908</v>
      </c>
      <c r="D495" s="7" t="str">
        <f>RawData!D495</f>
        <v>Phone</v>
      </c>
      <c r="E495" s="7">
        <f>RawData!E495</f>
        <v>1</v>
      </c>
      <c r="F495" s="7">
        <f>RawData!F495</f>
        <v>420.26</v>
      </c>
      <c r="G495" s="7" t="str">
        <f>RawData!G495</f>
        <v>372 Main St</v>
      </c>
      <c r="H495" s="7" t="str">
        <f>RawData!H495</f>
        <v>Credit Card</v>
      </c>
      <c r="I495" s="7" t="str">
        <f>RawData!I495</f>
        <v>Pending</v>
      </c>
      <c r="J495" s="7" t="str">
        <f>RawData!J495</f>
        <v>TRK64135970</v>
      </c>
      <c r="K495" s="7">
        <f>RawData!K495</f>
        <v>4</v>
      </c>
      <c r="L495" s="7" t="str">
        <f>IF(RawData!L495="","No Coupon",RawData!L495)</f>
        <v>FREESHIP</v>
      </c>
      <c r="M495" s="7" t="str">
        <f>RawData!M495</f>
        <v>Facebook</v>
      </c>
      <c r="N495" s="7">
        <f>RawData!N495</f>
        <v>420.26</v>
      </c>
    </row>
    <row r="496" spans="1:14" x14ac:dyDescent="0.3">
      <c r="A496" s="7" t="str">
        <f>RawData!A496</f>
        <v>ORD200494</v>
      </c>
      <c r="B496" s="11">
        <f>RawData!B496</f>
        <v>45126</v>
      </c>
      <c r="C496" s="7" t="str">
        <f>RawData!C496</f>
        <v>C64516</v>
      </c>
      <c r="D496" s="7" t="str">
        <f>RawData!D496</f>
        <v>Laptop</v>
      </c>
      <c r="E496" s="7">
        <f>RawData!E496</f>
        <v>3</v>
      </c>
      <c r="F496" s="7">
        <f>RawData!F496</f>
        <v>505.79</v>
      </c>
      <c r="G496" s="7" t="str">
        <f>RawData!G496</f>
        <v>459 Main St</v>
      </c>
      <c r="H496" s="7" t="str">
        <f>RawData!H496</f>
        <v>Debit Card</v>
      </c>
      <c r="I496" s="7" t="str">
        <f>RawData!I496</f>
        <v>Pending</v>
      </c>
      <c r="J496" s="7" t="str">
        <f>RawData!J496</f>
        <v>TRK63920573</v>
      </c>
      <c r="K496" s="7">
        <f>RawData!K496</f>
        <v>3</v>
      </c>
      <c r="L496" s="7" t="str">
        <f>IF(RawData!L496="","No Coupon",RawData!L496)</f>
        <v>FREESHIP</v>
      </c>
      <c r="M496" s="7" t="str">
        <f>RawData!M496</f>
        <v>Referral</v>
      </c>
      <c r="N496" s="7">
        <f>RawData!N496</f>
        <v>1517.37</v>
      </c>
    </row>
    <row r="497" spans="1:14" x14ac:dyDescent="0.3">
      <c r="A497" s="7" t="str">
        <f>RawData!A497</f>
        <v>ORD200495</v>
      </c>
      <c r="B497" s="11">
        <f>RawData!B497</f>
        <v>45813</v>
      </c>
      <c r="C497" s="7" t="str">
        <f>RawData!C497</f>
        <v>C63827</v>
      </c>
      <c r="D497" s="7" t="str">
        <f>RawData!D497</f>
        <v>Phone</v>
      </c>
      <c r="E497" s="7">
        <f>RawData!E497</f>
        <v>4</v>
      </c>
      <c r="F497" s="7">
        <f>RawData!F497</f>
        <v>493.73</v>
      </c>
      <c r="G497" s="7" t="str">
        <f>RawData!G497</f>
        <v>947 Main St</v>
      </c>
      <c r="H497" s="7" t="str">
        <f>RawData!H497</f>
        <v>Debit Card</v>
      </c>
      <c r="I497" s="7" t="str">
        <f>RawData!I497</f>
        <v>Pending</v>
      </c>
      <c r="J497" s="7" t="str">
        <f>RawData!J497</f>
        <v>TRK35730581</v>
      </c>
      <c r="K497" s="7">
        <f>RawData!K497</f>
        <v>6</v>
      </c>
      <c r="L497" s="7" t="str">
        <f>IF(RawData!L497="","No Coupon",RawData!L497)</f>
        <v>SAVE10</v>
      </c>
      <c r="M497" s="7" t="str">
        <f>RawData!M497</f>
        <v>Facebook</v>
      </c>
      <c r="N497" s="7">
        <f>RawData!N497</f>
        <v>1974.92</v>
      </c>
    </row>
    <row r="498" spans="1:14" x14ac:dyDescent="0.3">
      <c r="A498" s="7" t="str">
        <f>RawData!A498</f>
        <v>ORD200496</v>
      </c>
      <c r="B498" s="11">
        <f>RawData!B498</f>
        <v>45730</v>
      </c>
      <c r="C498" s="7" t="str">
        <f>RawData!C498</f>
        <v>C93618</v>
      </c>
      <c r="D498" s="7" t="str">
        <f>RawData!D498</f>
        <v>Printer</v>
      </c>
      <c r="E498" s="7">
        <f>RawData!E498</f>
        <v>3</v>
      </c>
      <c r="F498" s="7">
        <f>RawData!F498</f>
        <v>201.21</v>
      </c>
      <c r="G498" s="7" t="str">
        <f>RawData!G498</f>
        <v>249 Main St</v>
      </c>
      <c r="H498" s="7" t="str">
        <f>RawData!H498</f>
        <v>Online</v>
      </c>
      <c r="I498" s="7" t="str">
        <f>RawData!I498</f>
        <v>Cancelled</v>
      </c>
      <c r="J498" s="7" t="str">
        <f>RawData!J498</f>
        <v>TRK66129326</v>
      </c>
      <c r="K498" s="7">
        <f>RawData!K498</f>
        <v>3</v>
      </c>
      <c r="L498" s="7" t="str">
        <f>IF(RawData!L498="","No Coupon",RawData!L498)</f>
        <v>SAVE10</v>
      </c>
      <c r="M498" s="7" t="str">
        <f>RawData!M498</f>
        <v>Google</v>
      </c>
      <c r="N498" s="7">
        <f>RawData!N498</f>
        <v>603.63</v>
      </c>
    </row>
    <row r="499" spans="1:14" x14ac:dyDescent="0.3">
      <c r="A499" s="7" t="str">
        <f>RawData!A499</f>
        <v>ORD200497</v>
      </c>
      <c r="B499" s="11">
        <f>RawData!B499</f>
        <v>45589</v>
      </c>
      <c r="C499" s="7" t="str">
        <f>RawData!C499</f>
        <v>C93948</v>
      </c>
      <c r="D499" s="7" t="str">
        <f>RawData!D499</f>
        <v>Printer</v>
      </c>
      <c r="E499" s="7">
        <f>RawData!E499</f>
        <v>3</v>
      </c>
      <c r="F499" s="7">
        <f>RawData!F499</f>
        <v>112.29</v>
      </c>
      <c r="G499" s="7" t="str">
        <f>RawData!G499</f>
        <v>454 Main St</v>
      </c>
      <c r="H499" s="7" t="str">
        <f>RawData!H499</f>
        <v>Gift Card</v>
      </c>
      <c r="I499" s="7" t="str">
        <f>RawData!I499</f>
        <v>Shipped</v>
      </c>
      <c r="J499" s="7" t="str">
        <f>RawData!J499</f>
        <v>TRK77358113</v>
      </c>
      <c r="K499" s="7">
        <f>RawData!K499</f>
        <v>6</v>
      </c>
      <c r="L499" s="7" t="str">
        <f>IF(RawData!L499="","No Coupon",RawData!L499)</f>
        <v>No Coupon</v>
      </c>
      <c r="M499" s="7" t="str">
        <f>RawData!M499</f>
        <v>Google</v>
      </c>
      <c r="N499" s="7">
        <f>RawData!N499</f>
        <v>336.87</v>
      </c>
    </row>
    <row r="500" spans="1:14" x14ac:dyDescent="0.3">
      <c r="A500" s="7" t="str">
        <f>RawData!A500</f>
        <v>ORD200498</v>
      </c>
      <c r="B500" s="11">
        <f>RawData!B500</f>
        <v>45119</v>
      </c>
      <c r="C500" s="7" t="str">
        <f>RawData!C500</f>
        <v>C73961</v>
      </c>
      <c r="D500" s="7" t="str">
        <f>RawData!D500</f>
        <v>Tablet</v>
      </c>
      <c r="E500" s="7">
        <f>RawData!E500</f>
        <v>4</v>
      </c>
      <c r="F500" s="7">
        <f>RawData!F500</f>
        <v>132.56</v>
      </c>
      <c r="G500" s="7" t="str">
        <f>RawData!G500</f>
        <v>306 Main St</v>
      </c>
      <c r="H500" s="7" t="str">
        <f>RawData!H500</f>
        <v>Cash</v>
      </c>
      <c r="I500" s="7" t="str">
        <f>RawData!I500</f>
        <v>Returned</v>
      </c>
      <c r="J500" s="7" t="str">
        <f>RawData!J500</f>
        <v>TRK32607173</v>
      </c>
      <c r="K500" s="7">
        <f>RawData!K500</f>
        <v>8</v>
      </c>
      <c r="L500" s="7" t="str">
        <f>IF(RawData!L500="","No Coupon",RawData!L500)</f>
        <v>WINTER15</v>
      </c>
      <c r="M500" s="7" t="str">
        <f>RawData!M500</f>
        <v>Instagram</v>
      </c>
      <c r="N500" s="7">
        <f>RawData!N500</f>
        <v>530.24</v>
      </c>
    </row>
    <row r="501" spans="1:14" x14ac:dyDescent="0.3">
      <c r="A501" s="7" t="str">
        <f>RawData!A501</f>
        <v>ORD200499</v>
      </c>
      <c r="B501" s="11">
        <f>RawData!B501</f>
        <v>45022</v>
      </c>
      <c r="C501" s="7" t="str">
        <f>RawData!C501</f>
        <v>C18138</v>
      </c>
      <c r="D501" s="7" t="str">
        <f>RawData!D501</f>
        <v>Printer</v>
      </c>
      <c r="E501" s="7">
        <f>RawData!E501</f>
        <v>3</v>
      </c>
      <c r="F501" s="7">
        <f>RawData!F501</f>
        <v>539.46</v>
      </c>
      <c r="G501" s="7" t="str">
        <f>RawData!G501</f>
        <v>520 Main St</v>
      </c>
      <c r="H501" s="7" t="str">
        <f>RawData!H501</f>
        <v>Credit Card</v>
      </c>
      <c r="I501" s="7" t="str">
        <f>RawData!I501</f>
        <v>Shipped</v>
      </c>
      <c r="J501" s="7" t="str">
        <f>RawData!J501</f>
        <v>TRK20289483</v>
      </c>
      <c r="K501" s="7">
        <f>RawData!K501</f>
        <v>4</v>
      </c>
      <c r="L501" s="7" t="str">
        <f>IF(RawData!L501="","No Coupon",RawData!L501)</f>
        <v>SAVE10</v>
      </c>
      <c r="M501" s="7" t="str">
        <f>RawData!M501</f>
        <v>Facebook</v>
      </c>
      <c r="N501" s="7">
        <f>RawData!N501</f>
        <v>1618.38</v>
      </c>
    </row>
    <row r="502" spans="1:14" x14ac:dyDescent="0.3">
      <c r="A502" s="7" t="str">
        <f>RawData!A502</f>
        <v>ORD200500</v>
      </c>
      <c r="B502" s="11">
        <f>RawData!B502</f>
        <v>45389</v>
      </c>
      <c r="C502" s="7" t="str">
        <f>RawData!C502</f>
        <v>C79475</v>
      </c>
      <c r="D502" s="7" t="str">
        <f>RawData!D502</f>
        <v>Laptop</v>
      </c>
      <c r="E502" s="7">
        <f>RawData!E502</f>
        <v>5</v>
      </c>
      <c r="F502" s="7">
        <f>RawData!F502</f>
        <v>508.59</v>
      </c>
      <c r="G502" s="7" t="str">
        <f>RawData!G502</f>
        <v>169 Main St</v>
      </c>
      <c r="H502" s="7" t="str">
        <f>RawData!H502</f>
        <v>Cash</v>
      </c>
      <c r="I502" s="7" t="str">
        <f>RawData!I502</f>
        <v>Returned</v>
      </c>
      <c r="J502" s="7" t="str">
        <f>RawData!J502</f>
        <v>TRK42168516</v>
      </c>
      <c r="K502" s="7">
        <f>RawData!K502</f>
        <v>8</v>
      </c>
      <c r="L502" s="7" t="str">
        <f>IF(RawData!L502="","No Coupon",RawData!L502)</f>
        <v>WINTER15</v>
      </c>
      <c r="M502" s="7" t="str">
        <f>RawData!M502</f>
        <v>Facebook</v>
      </c>
      <c r="N502" s="7">
        <f>RawData!N502</f>
        <v>2542.9499999999998</v>
      </c>
    </row>
    <row r="503" spans="1:14" x14ac:dyDescent="0.3">
      <c r="A503" s="7" t="str">
        <f>RawData!A503</f>
        <v>ORD200501</v>
      </c>
      <c r="B503" s="11">
        <f>RawData!B503</f>
        <v>45326</v>
      </c>
      <c r="C503" s="7" t="str">
        <f>RawData!C503</f>
        <v>C88546</v>
      </c>
      <c r="D503" s="7" t="str">
        <f>RawData!D503</f>
        <v>Desk</v>
      </c>
      <c r="E503" s="7">
        <f>RawData!E503</f>
        <v>4</v>
      </c>
      <c r="F503" s="7">
        <f>RawData!F503</f>
        <v>203.46</v>
      </c>
      <c r="G503" s="7" t="str">
        <f>RawData!G503</f>
        <v>226 Main St</v>
      </c>
      <c r="H503" s="7" t="str">
        <f>RawData!H503</f>
        <v>Credit Card</v>
      </c>
      <c r="I503" s="7" t="str">
        <f>RawData!I503</f>
        <v>Pending</v>
      </c>
      <c r="J503" s="7" t="str">
        <f>RawData!J503</f>
        <v>TRK19867754</v>
      </c>
      <c r="K503" s="7">
        <f>RawData!K503</f>
        <v>7</v>
      </c>
      <c r="L503" s="7" t="str">
        <f>IF(RawData!L503="","No Coupon",RawData!L503)</f>
        <v>SAVE10</v>
      </c>
      <c r="M503" s="7" t="str">
        <f>RawData!M503</f>
        <v>Referral</v>
      </c>
      <c r="N503" s="7">
        <f>RawData!N503</f>
        <v>813.84</v>
      </c>
    </row>
    <row r="504" spans="1:14" x14ac:dyDescent="0.3">
      <c r="A504" s="7" t="str">
        <f>RawData!A504</f>
        <v>ORD200502</v>
      </c>
      <c r="B504" s="11">
        <f>RawData!B504</f>
        <v>45066</v>
      </c>
      <c r="C504" s="7" t="str">
        <f>RawData!C504</f>
        <v>C69332</v>
      </c>
      <c r="D504" s="7" t="str">
        <f>RawData!D504</f>
        <v>Monitor</v>
      </c>
      <c r="E504" s="7">
        <f>RawData!E504</f>
        <v>3</v>
      </c>
      <c r="F504" s="7">
        <f>RawData!F504</f>
        <v>565.25</v>
      </c>
      <c r="G504" s="7" t="str">
        <f>RawData!G504</f>
        <v>745 Main St</v>
      </c>
      <c r="H504" s="7" t="str">
        <f>RawData!H504</f>
        <v>Debit Card</v>
      </c>
      <c r="I504" s="7" t="str">
        <f>RawData!I504</f>
        <v>Returned</v>
      </c>
      <c r="J504" s="7" t="str">
        <f>RawData!J504</f>
        <v>TRK65718848</v>
      </c>
      <c r="K504" s="7">
        <f>RawData!K504</f>
        <v>7</v>
      </c>
      <c r="L504" s="7" t="str">
        <f>IF(RawData!L504="","No Coupon",RawData!L504)</f>
        <v>SAVE10</v>
      </c>
      <c r="M504" s="7" t="str">
        <f>RawData!M504</f>
        <v>Email</v>
      </c>
      <c r="N504" s="7">
        <f>RawData!N504</f>
        <v>1695.75</v>
      </c>
    </row>
    <row r="505" spans="1:14" x14ac:dyDescent="0.3">
      <c r="A505" s="7" t="str">
        <f>RawData!A505</f>
        <v>ORD200503</v>
      </c>
      <c r="B505" s="11">
        <f>RawData!B505</f>
        <v>45169</v>
      </c>
      <c r="C505" s="7" t="str">
        <f>RawData!C505</f>
        <v>C64554</v>
      </c>
      <c r="D505" s="7" t="str">
        <f>RawData!D505</f>
        <v>Tablet</v>
      </c>
      <c r="E505" s="7">
        <f>RawData!E505</f>
        <v>3</v>
      </c>
      <c r="F505" s="7">
        <f>RawData!F505</f>
        <v>136.84</v>
      </c>
      <c r="G505" s="7" t="str">
        <f>RawData!G505</f>
        <v>498 Main St</v>
      </c>
      <c r="H505" s="7" t="str">
        <f>RawData!H505</f>
        <v>Online</v>
      </c>
      <c r="I505" s="7" t="str">
        <f>RawData!I505</f>
        <v>Pending</v>
      </c>
      <c r="J505" s="7" t="str">
        <f>RawData!J505</f>
        <v>TRK95384568</v>
      </c>
      <c r="K505" s="7">
        <f>RawData!K505</f>
        <v>4</v>
      </c>
      <c r="L505" s="7" t="str">
        <f>IF(RawData!L505="","No Coupon",RawData!L505)</f>
        <v>FREESHIP</v>
      </c>
      <c r="M505" s="7" t="str">
        <f>RawData!M505</f>
        <v>Facebook</v>
      </c>
      <c r="N505" s="7">
        <f>RawData!N505</f>
        <v>410.52</v>
      </c>
    </row>
    <row r="506" spans="1:14" x14ac:dyDescent="0.3">
      <c r="A506" s="7" t="str">
        <f>RawData!A506</f>
        <v>ORD200504</v>
      </c>
      <c r="B506" s="11">
        <f>RawData!B506</f>
        <v>45819</v>
      </c>
      <c r="C506" s="7" t="str">
        <f>RawData!C506</f>
        <v>C11676</v>
      </c>
      <c r="D506" s="7" t="str">
        <f>RawData!D506</f>
        <v>Monitor</v>
      </c>
      <c r="E506" s="7">
        <f>RawData!E506</f>
        <v>2</v>
      </c>
      <c r="F506" s="7">
        <f>RawData!F506</f>
        <v>464.5</v>
      </c>
      <c r="G506" s="7" t="str">
        <f>RawData!G506</f>
        <v>805 Main St</v>
      </c>
      <c r="H506" s="7" t="str">
        <f>RawData!H506</f>
        <v>Online</v>
      </c>
      <c r="I506" s="7" t="str">
        <f>RawData!I506</f>
        <v>Cancelled</v>
      </c>
      <c r="J506" s="7" t="str">
        <f>RawData!J506</f>
        <v>TRK35726395</v>
      </c>
      <c r="K506" s="7">
        <f>RawData!K506</f>
        <v>2</v>
      </c>
      <c r="L506" s="7" t="str">
        <f>IF(RawData!L506="","No Coupon",RawData!L506)</f>
        <v>WINTER15</v>
      </c>
      <c r="M506" s="7" t="str">
        <f>RawData!M506</f>
        <v>Instagram</v>
      </c>
      <c r="N506" s="7">
        <f>RawData!N506</f>
        <v>929</v>
      </c>
    </row>
    <row r="507" spans="1:14" x14ac:dyDescent="0.3">
      <c r="A507" s="7" t="str">
        <f>RawData!A507</f>
        <v>ORD200505</v>
      </c>
      <c r="B507" s="11">
        <f>RawData!B507</f>
        <v>45088</v>
      </c>
      <c r="C507" s="7" t="str">
        <f>RawData!C507</f>
        <v>C36014</v>
      </c>
      <c r="D507" s="7" t="str">
        <f>RawData!D507</f>
        <v>Printer</v>
      </c>
      <c r="E507" s="7">
        <f>RawData!E507</f>
        <v>2</v>
      </c>
      <c r="F507" s="7">
        <f>RawData!F507</f>
        <v>434.97</v>
      </c>
      <c r="G507" s="7" t="str">
        <f>RawData!G507</f>
        <v>558 Main St</v>
      </c>
      <c r="H507" s="7" t="str">
        <f>RawData!H507</f>
        <v>Online</v>
      </c>
      <c r="I507" s="7" t="str">
        <f>RawData!I507</f>
        <v>Shipped</v>
      </c>
      <c r="J507" s="7" t="str">
        <f>RawData!J507</f>
        <v>TRK97246526</v>
      </c>
      <c r="K507" s="7">
        <f>RawData!K507</f>
        <v>7</v>
      </c>
      <c r="L507" s="7" t="str">
        <f>IF(RawData!L507="","No Coupon",RawData!L507)</f>
        <v>No Coupon</v>
      </c>
      <c r="M507" s="7" t="str">
        <f>RawData!M507</f>
        <v>Email</v>
      </c>
      <c r="N507" s="7">
        <f>RawData!N507</f>
        <v>869.94</v>
      </c>
    </row>
    <row r="508" spans="1:14" x14ac:dyDescent="0.3">
      <c r="A508" s="7" t="str">
        <f>RawData!A508</f>
        <v>ORD200506</v>
      </c>
      <c r="B508" s="11">
        <f>RawData!B508</f>
        <v>45132</v>
      </c>
      <c r="C508" s="7" t="str">
        <f>RawData!C508</f>
        <v>C23279</v>
      </c>
      <c r="D508" s="7" t="str">
        <f>RawData!D508</f>
        <v>Monitor</v>
      </c>
      <c r="E508" s="7">
        <f>RawData!E508</f>
        <v>2</v>
      </c>
      <c r="F508" s="7">
        <f>RawData!F508</f>
        <v>43.67</v>
      </c>
      <c r="G508" s="7" t="str">
        <f>RawData!G508</f>
        <v>696 Main St</v>
      </c>
      <c r="H508" s="7" t="str">
        <f>RawData!H508</f>
        <v>Cash</v>
      </c>
      <c r="I508" s="7" t="str">
        <f>RawData!I508</f>
        <v>Returned</v>
      </c>
      <c r="J508" s="7" t="str">
        <f>RawData!J508</f>
        <v>TRK58039693</v>
      </c>
      <c r="K508" s="7">
        <f>RawData!K508</f>
        <v>4</v>
      </c>
      <c r="L508" s="7" t="str">
        <f>IF(RawData!L508="","No Coupon",RawData!L508)</f>
        <v>WINTER15</v>
      </c>
      <c r="M508" s="7" t="str">
        <f>RawData!M508</f>
        <v>Instagram</v>
      </c>
      <c r="N508" s="7">
        <f>RawData!N508</f>
        <v>87.34</v>
      </c>
    </row>
    <row r="509" spans="1:14" x14ac:dyDescent="0.3">
      <c r="A509" s="7" t="str">
        <f>RawData!A509</f>
        <v>ORD200507</v>
      </c>
      <c r="B509" s="11">
        <f>RawData!B509</f>
        <v>45112</v>
      </c>
      <c r="C509" s="7" t="str">
        <f>RawData!C509</f>
        <v>C86481</v>
      </c>
      <c r="D509" s="7" t="str">
        <f>RawData!D509</f>
        <v>Phone</v>
      </c>
      <c r="E509" s="7">
        <f>RawData!E509</f>
        <v>1</v>
      </c>
      <c r="F509" s="7">
        <f>RawData!F509</f>
        <v>171.59</v>
      </c>
      <c r="G509" s="7" t="str">
        <f>RawData!G509</f>
        <v>546 Main St</v>
      </c>
      <c r="H509" s="7" t="str">
        <f>RawData!H509</f>
        <v>Credit Card</v>
      </c>
      <c r="I509" s="7" t="str">
        <f>RawData!I509</f>
        <v>Pending</v>
      </c>
      <c r="J509" s="7" t="str">
        <f>RawData!J509</f>
        <v>TRK87513944</v>
      </c>
      <c r="K509" s="7">
        <f>RawData!K509</f>
        <v>5</v>
      </c>
      <c r="L509" s="7" t="str">
        <f>IF(RawData!L509="","No Coupon",RawData!L509)</f>
        <v>WINTER15</v>
      </c>
      <c r="M509" s="7" t="str">
        <f>RawData!M509</f>
        <v>Email</v>
      </c>
      <c r="N509" s="7">
        <f>RawData!N509</f>
        <v>171.59</v>
      </c>
    </row>
    <row r="510" spans="1:14" x14ac:dyDescent="0.3">
      <c r="A510" s="7" t="str">
        <f>RawData!A510</f>
        <v>ORD200508</v>
      </c>
      <c r="B510" s="11">
        <f>RawData!B510</f>
        <v>45791</v>
      </c>
      <c r="C510" s="7" t="str">
        <f>RawData!C510</f>
        <v>C39550</v>
      </c>
      <c r="D510" s="7" t="str">
        <f>RawData!D510</f>
        <v>Phone</v>
      </c>
      <c r="E510" s="7">
        <f>RawData!E510</f>
        <v>1</v>
      </c>
      <c r="F510" s="7">
        <f>RawData!F510</f>
        <v>558.27</v>
      </c>
      <c r="G510" s="7" t="str">
        <f>RawData!G510</f>
        <v>976 Main St</v>
      </c>
      <c r="H510" s="7" t="str">
        <f>RawData!H510</f>
        <v>Online</v>
      </c>
      <c r="I510" s="7" t="str">
        <f>RawData!I510</f>
        <v>Delivered</v>
      </c>
      <c r="J510" s="7" t="str">
        <f>RawData!J510</f>
        <v>TRK24120267</v>
      </c>
      <c r="K510" s="7">
        <f>RawData!K510</f>
        <v>1</v>
      </c>
      <c r="L510" s="7" t="str">
        <f>IF(RawData!L510="","No Coupon",RawData!L510)</f>
        <v>No Coupon</v>
      </c>
      <c r="M510" s="7" t="str">
        <f>RawData!M510</f>
        <v>Referral</v>
      </c>
      <c r="N510" s="7">
        <f>RawData!N510</f>
        <v>558.27</v>
      </c>
    </row>
    <row r="511" spans="1:14" x14ac:dyDescent="0.3">
      <c r="A511" s="7" t="str">
        <f>RawData!A511</f>
        <v>ORD200509</v>
      </c>
      <c r="B511" s="11">
        <f>RawData!B511</f>
        <v>44972</v>
      </c>
      <c r="C511" s="7" t="str">
        <f>RawData!C511</f>
        <v>C68937</v>
      </c>
      <c r="D511" s="7" t="str">
        <f>RawData!D511</f>
        <v>Laptop</v>
      </c>
      <c r="E511" s="7">
        <f>RawData!E511</f>
        <v>2</v>
      </c>
      <c r="F511" s="7">
        <f>RawData!F511</f>
        <v>425.03</v>
      </c>
      <c r="G511" s="7" t="str">
        <f>RawData!G511</f>
        <v>560 Main St</v>
      </c>
      <c r="H511" s="7" t="str">
        <f>RawData!H511</f>
        <v>Cash</v>
      </c>
      <c r="I511" s="7" t="str">
        <f>RawData!I511</f>
        <v>Returned</v>
      </c>
      <c r="J511" s="7" t="str">
        <f>RawData!J511</f>
        <v>TRK31908657</v>
      </c>
      <c r="K511" s="7">
        <f>RawData!K511</f>
        <v>2</v>
      </c>
      <c r="L511" s="7" t="str">
        <f>IF(RawData!L511="","No Coupon",RawData!L511)</f>
        <v>WINTER15</v>
      </c>
      <c r="M511" s="7" t="str">
        <f>RawData!M511</f>
        <v>Google</v>
      </c>
      <c r="N511" s="7">
        <f>RawData!N511</f>
        <v>850.06</v>
      </c>
    </row>
    <row r="512" spans="1:14" x14ac:dyDescent="0.3">
      <c r="A512" s="7" t="str">
        <f>RawData!A512</f>
        <v>ORD200510</v>
      </c>
      <c r="B512" s="11">
        <f>RawData!B512</f>
        <v>45642</v>
      </c>
      <c r="C512" s="7" t="str">
        <f>RawData!C512</f>
        <v>C72533</v>
      </c>
      <c r="D512" s="7" t="str">
        <f>RawData!D512</f>
        <v>Printer</v>
      </c>
      <c r="E512" s="7">
        <f>RawData!E512</f>
        <v>1</v>
      </c>
      <c r="F512" s="7">
        <f>RawData!F512</f>
        <v>376.76</v>
      </c>
      <c r="G512" s="7" t="str">
        <f>RawData!G512</f>
        <v>389 Main St</v>
      </c>
      <c r="H512" s="7" t="str">
        <f>RawData!H512</f>
        <v>Debit Card</v>
      </c>
      <c r="I512" s="7" t="str">
        <f>RawData!I512</f>
        <v>Delivered</v>
      </c>
      <c r="J512" s="7" t="str">
        <f>RawData!J512</f>
        <v>TRK51288986</v>
      </c>
      <c r="K512" s="7">
        <f>RawData!K512</f>
        <v>5</v>
      </c>
      <c r="L512" s="7" t="str">
        <f>IF(RawData!L512="","No Coupon",RawData!L512)</f>
        <v>SAVE10</v>
      </c>
      <c r="M512" s="7" t="str">
        <f>RawData!M512</f>
        <v>Email</v>
      </c>
      <c r="N512" s="7">
        <f>RawData!N512</f>
        <v>376.76</v>
      </c>
    </row>
    <row r="513" spans="1:14" x14ac:dyDescent="0.3">
      <c r="A513" s="7" t="str">
        <f>RawData!A513</f>
        <v>ORD200511</v>
      </c>
      <c r="B513" s="11">
        <f>RawData!B513</f>
        <v>45366</v>
      </c>
      <c r="C513" s="7" t="str">
        <f>RawData!C513</f>
        <v>C11415</v>
      </c>
      <c r="D513" s="7" t="str">
        <f>RawData!D513</f>
        <v>Monitor</v>
      </c>
      <c r="E513" s="7">
        <f>RawData!E513</f>
        <v>5</v>
      </c>
      <c r="F513" s="7">
        <f>RawData!F513</f>
        <v>575.24</v>
      </c>
      <c r="G513" s="7" t="str">
        <f>RawData!G513</f>
        <v>267 Main St</v>
      </c>
      <c r="H513" s="7" t="str">
        <f>RawData!H513</f>
        <v>Cash</v>
      </c>
      <c r="I513" s="7" t="str">
        <f>RawData!I513</f>
        <v>Delivered</v>
      </c>
      <c r="J513" s="7" t="str">
        <f>RawData!J513</f>
        <v>TRK65061457</v>
      </c>
      <c r="K513" s="7">
        <f>RawData!K513</f>
        <v>7</v>
      </c>
      <c r="L513" s="7" t="str">
        <f>IF(RawData!L513="","No Coupon",RawData!L513)</f>
        <v>WINTER15</v>
      </c>
      <c r="M513" s="7" t="str">
        <f>RawData!M513</f>
        <v>Email</v>
      </c>
      <c r="N513" s="7">
        <f>RawData!N513</f>
        <v>2876.2</v>
      </c>
    </row>
    <row r="514" spans="1:14" x14ac:dyDescent="0.3">
      <c r="A514" s="7" t="str">
        <f>RawData!A514</f>
        <v>ORD200512</v>
      </c>
      <c r="B514" s="11">
        <f>RawData!B514</f>
        <v>45562</v>
      </c>
      <c r="C514" s="7" t="str">
        <f>RawData!C514</f>
        <v>C14114</v>
      </c>
      <c r="D514" s="7" t="str">
        <f>RawData!D514</f>
        <v>Desk</v>
      </c>
      <c r="E514" s="7">
        <f>RawData!E514</f>
        <v>3</v>
      </c>
      <c r="F514" s="7">
        <f>RawData!F514</f>
        <v>568.02</v>
      </c>
      <c r="G514" s="7" t="str">
        <f>RawData!G514</f>
        <v>856 Main St</v>
      </c>
      <c r="H514" s="7" t="str">
        <f>RawData!H514</f>
        <v>Online</v>
      </c>
      <c r="I514" s="7" t="str">
        <f>RawData!I514</f>
        <v>Pending</v>
      </c>
      <c r="J514" s="7" t="str">
        <f>RawData!J514</f>
        <v>TRK63290700</v>
      </c>
      <c r="K514" s="7">
        <f>RawData!K514</f>
        <v>3</v>
      </c>
      <c r="L514" s="7" t="str">
        <f>IF(RawData!L514="","No Coupon",RawData!L514)</f>
        <v>FREESHIP</v>
      </c>
      <c r="M514" s="7" t="str">
        <f>RawData!M514</f>
        <v>Instagram</v>
      </c>
      <c r="N514" s="7">
        <f>RawData!N514</f>
        <v>1704.06</v>
      </c>
    </row>
    <row r="515" spans="1:14" x14ac:dyDescent="0.3">
      <c r="A515" s="7" t="str">
        <f>RawData!A515</f>
        <v>ORD200513</v>
      </c>
      <c r="B515" s="11">
        <f>RawData!B515</f>
        <v>45697</v>
      </c>
      <c r="C515" s="7" t="str">
        <f>RawData!C515</f>
        <v>C64128</v>
      </c>
      <c r="D515" s="7" t="str">
        <f>RawData!D515</f>
        <v>Tablet</v>
      </c>
      <c r="E515" s="7">
        <f>RawData!E515</f>
        <v>3</v>
      </c>
      <c r="F515" s="7">
        <f>RawData!F515</f>
        <v>94.88</v>
      </c>
      <c r="G515" s="7" t="str">
        <f>RawData!G515</f>
        <v>533 Main St</v>
      </c>
      <c r="H515" s="7" t="str">
        <f>RawData!H515</f>
        <v>Gift Card</v>
      </c>
      <c r="I515" s="7" t="str">
        <f>RawData!I515</f>
        <v>Shipped</v>
      </c>
      <c r="J515" s="7" t="str">
        <f>RawData!J515</f>
        <v>TRK37053575</v>
      </c>
      <c r="K515" s="7">
        <f>RawData!K515</f>
        <v>8</v>
      </c>
      <c r="L515" s="7" t="str">
        <f>IF(RawData!L515="","No Coupon",RawData!L515)</f>
        <v>No Coupon</v>
      </c>
      <c r="M515" s="7" t="str">
        <f>RawData!M515</f>
        <v>Referral</v>
      </c>
      <c r="N515" s="7">
        <f>RawData!N515</f>
        <v>284.64</v>
      </c>
    </row>
    <row r="516" spans="1:14" x14ac:dyDescent="0.3">
      <c r="A516" s="7" t="str">
        <f>RawData!A516</f>
        <v>ORD200514</v>
      </c>
      <c r="B516" s="11">
        <f>RawData!B516</f>
        <v>45032</v>
      </c>
      <c r="C516" s="7" t="str">
        <f>RawData!C516</f>
        <v>C15629</v>
      </c>
      <c r="D516" s="7" t="str">
        <f>RawData!D516</f>
        <v>Printer</v>
      </c>
      <c r="E516" s="7">
        <f>RawData!E516</f>
        <v>3</v>
      </c>
      <c r="F516" s="7">
        <f>RawData!F516</f>
        <v>304.14999999999998</v>
      </c>
      <c r="G516" s="7" t="str">
        <f>RawData!G516</f>
        <v>492 Main St</v>
      </c>
      <c r="H516" s="7" t="str">
        <f>RawData!H516</f>
        <v>Gift Card</v>
      </c>
      <c r="I516" s="7" t="str">
        <f>RawData!I516</f>
        <v>Shipped</v>
      </c>
      <c r="J516" s="7" t="str">
        <f>RawData!J516</f>
        <v>TRK64926044</v>
      </c>
      <c r="K516" s="7">
        <f>RawData!K516</f>
        <v>3</v>
      </c>
      <c r="L516" s="7" t="str">
        <f>IF(RawData!L516="","No Coupon",RawData!L516)</f>
        <v>WINTER15</v>
      </c>
      <c r="M516" s="7" t="str">
        <f>RawData!M516</f>
        <v>Instagram</v>
      </c>
      <c r="N516" s="7">
        <f>RawData!N516</f>
        <v>912.45</v>
      </c>
    </row>
    <row r="517" spans="1:14" x14ac:dyDescent="0.3">
      <c r="A517" s="7" t="str">
        <f>RawData!A517</f>
        <v>ORD200515</v>
      </c>
      <c r="B517" s="11">
        <f>RawData!B517</f>
        <v>44999</v>
      </c>
      <c r="C517" s="7" t="str">
        <f>RawData!C517</f>
        <v>C67561</v>
      </c>
      <c r="D517" s="7" t="str">
        <f>RawData!D517</f>
        <v>Phone</v>
      </c>
      <c r="E517" s="7">
        <f>RawData!E517</f>
        <v>3</v>
      </c>
      <c r="F517" s="7">
        <f>RawData!F517</f>
        <v>553.52</v>
      </c>
      <c r="G517" s="7" t="str">
        <f>RawData!G517</f>
        <v>160 Main St</v>
      </c>
      <c r="H517" s="7" t="str">
        <f>RawData!H517</f>
        <v>Gift Card</v>
      </c>
      <c r="I517" s="7" t="str">
        <f>RawData!I517</f>
        <v>Shipped</v>
      </c>
      <c r="J517" s="7" t="str">
        <f>RawData!J517</f>
        <v>TRK75900717</v>
      </c>
      <c r="K517" s="7">
        <f>RawData!K517</f>
        <v>4</v>
      </c>
      <c r="L517" s="7" t="str">
        <f>IF(RawData!L517="","No Coupon",RawData!L517)</f>
        <v>FREESHIP</v>
      </c>
      <c r="M517" s="7" t="str">
        <f>RawData!M517</f>
        <v>Facebook</v>
      </c>
      <c r="N517" s="7">
        <f>RawData!N517</f>
        <v>1660.56</v>
      </c>
    </row>
    <row r="518" spans="1:14" x14ac:dyDescent="0.3">
      <c r="A518" s="7" t="str">
        <f>RawData!A518</f>
        <v>ORD200516</v>
      </c>
      <c r="B518" s="11">
        <f>RawData!B518</f>
        <v>45389</v>
      </c>
      <c r="C518" s="7" t="str">
        <f>RawData!C518</f>
        <v>C47022</v>
      </c>
      <c r="D518" s="7" t="str">
        <f>RawData!D518</f>
        <v>Monitor</v>
      </c>
      <c r="E518" s="7">
        <f>RawData!E518</f>
        <v>3</v>
      </c>
      <c r="F518" s="7">
        <f>RawData!F518</f>
        <v>166.99</v>
      </c>
      <c r="G518" s="7" t="str">
        <f>RawData!G518</f>
        <v>208 Main St</v>
      </c>
      <c r="H518" s="7" t="str">
        <f>RawData!H518</f>
        <v>Cash</v>
      </c>
      <c r="I518" s="7" t="str">
        <f>RawData!I518</f>
        <v>Returned</v>
      </c>
      <c r="J518" s="7" t="str">
        <f>RawData!J518</f>
        <v>TRK28855040</v>
      </c>
      <c r="K518" s="7">
        <f>RawData!K518</f>
        <v>8</v>
      </c>
      <c r="L518" s="7" t="str">
        <f>IF(RawData!L518="","No Coupon",RawData!L518)</f>
        <v>No Coupon</v>
      </c>
      <c r="M518" s="7" t="str">
        <f>RawData!M518</f>
        <v>Facebook</v>
      </c>
      <c r="N518" s="7">
        <f>RawData!N518</f>
        <v>500.97</v>
      </c>
    </row>
    <row r="519" spans="1:14" x14ac:dyDescent="0.3">
      <c r="A519" s="7" t="str">
        <f>RawData!A519</f>
        <v>ORD200517</v>
      </c>
      <c r="B519" s="11">
        <f>RawData!B519</f>
        <v>45391</v>
      </c>
      <c r="C519" s="7" t="str">
        <f>RawData!C519</f>
        <v>C55205</v>
      </c>
      <c r="D519" s="7" t="str">
        <f>RawData!D519</f>
        <v>Tablet</v>
      </c>
      <c r="E519" s="7">
        <f>RawData!E519</f>
        <v>4</v>
      </c>
      <c r="F519" s="7">
        <f>RawData!F519</f>
        <v>198.35</v>
      </c>
      <c r="G519" s="7" t="str">
        <f>RawData!G519</f>
        <v>943 Main St</v>
      </c>
      <c r="H519" s="7" t="str">
        <f>RawData!H519</f>
        <v>Cash</v>
      </c>
      <c r="I519" s="7" t="str">
        <f>RawData!I519</f>
        <v>Cancelled</v>
      </c>
      <c r="J519" s="7" t="str">
        <f>RawData!J519</f>
        <v>TRK88141634</v>
      </c>
      <c r="K519" s="7">
        <f>RawData!K519</f>
        <v>7</v>
      </c>
      <c r="L519" s="7" t="str">
        <f>IF(RawData!L519="","No Coupon",RawData!L519)</f>
        <v>FREESHIP</v>
      </c>
      <c r="M519" s="7" t="str">
        <f>RawData!M519</f>
        <v>Google</v>
      </c>
      <c r="N519" s="7">
        <f>RawData!N519</f>
        <v>793.4</v>
      </c>
    </row>
    <row r="520" spans="1:14" x14ac:dyDescent="0.3">
      <c r="A520" s="7" t="str">
        <f>RawData!A520</f>
        <v>ORD200518</v>
      </c>
      <c r="B520" s="11">
        <f>RawData!B520</f>
        <v>45821</v>
      </c>
      <c r="C520" s="7" t="str">
        <f>RawData!C520</f>
        <v>C30686</v>
      </c>
      <c r="D520" s="7" t="str">
        <f>RawData!D520</f>
        <v>Printer</v>
      </c>
      <c r="E520" s="7">
        <f>RawData!E520</f>
        <v>4</v>
      </c>
      <c r="F520" s="7">
        <f>RawData!F520</f>
        <v>403.58</v>
      </c>
      <c r="G520" s="7" t="str">
        <f>RawData!G520</f>
        <v>319 Main St</v>
      </c>
      <c r="H520" s="7" t="str">
        <f>RawData!H520</f>
        <v>Online</v>
      </c>
      <c r="I520" s="7" t="str">
        <f>RawData!I520</f>
        <v>Pending</v>
      </c>
      <c r="J520" s="7" t="str">
        <f>RawData!J520</f>
        <v>TRK59807273</v>
      </c>
      <c r="K520" s="7">
        <f>RawData!K520</f>
        <v>9</v>
      </c>
      <c r="L520" s="7" t="str">
        <f>IF(RawData!L520="","No Coupon",RawData!L520)</f>
        <v>SAVE10</v>
      </c>
      <c r="M520" s="7" t="str">
        <f>RawData!M520</f>
        <v>Referral</v>
      </c>
      <c r="N520" s="7">
        <f>RawData!N520</f>
        <v>1614.32</v>
      </c>
    </row>
    <row r="521" spans="1:14" x14ac:dyDescent="0.3">
      <c r="A521" s="7" t="str">
        <f>RawData!A521</f>
        <v>ORD200519</v>
      </c>
      <c r="B521" s="11">
        <f>RawData!B521</f>
        <v>45787</v>
      </c>
      <c r="C521" s="7" t="str">
        <f>RawData!C521</f>
        <v>C71797</v>
      </c>
      <c r="D521" s="7" t="str">
        <f>RawData!D521</f>
        <v>Laptop</v>
      </c>
      <c r="E521" s="7">
        <f>RawData!E521</f>
        <v>4</v>
      </c>
      <c r="F521" s="7">
        <f>RawData!F521</f>
        <v>464.29</v>
      </c>
      <c r="G521" s="7" t="str">
        <f>RawData!G521</f>
        <v>941 Main St</v>
      </c>
      <c r="H521" s="7" t="str">
        <f>RawData!H521</f>
        <v>Debit Card</v>
      </c>
      <c r="I521" s="7" t="str">
        <f>RawData!I521</f>
        <v>Returned</v>
      </c>
      <c r="J521" s="7" t="str">
        <f>RawData!J521</f>
        <v>TRK66010667</v>
      </c>
      <c r="K521" s="7">
        <f>RawData!K521</f>
        <v>5</v>
      </c>
      <c r="L521" s="7" t="str">
        <f>IF(RawData!L521="","No Coupon",RawData!L521)</f>
        <v>SAVE10</v>
      </c>
      <c r="M521" s="7" t="str">
        <f>RawData!M521</f>
        <v>Email</v>
      </c>
      <c r="N521" s="7">
        <f>RawData!N521</f>
        <v>1857.16</v>
      </c>
    </row>
    <row r="522" spans="1:14" x14ac:dyDescent="0.3">
      <c r="A522" s="7" t="str">
        <f>RawData!A522</f>
        <v>ORD200520</v>
      </c>
      <c r="B522" s="11">
        <f>RawData!B522</f>
        <v>44995</v>
      </c>
      <c r="C522" s="7" t="str">
        <f>RawData!C522</f>
        <v>C66332</v>
      </c>
      <c r="D522" s="7" t="str">
        <f>RawData!D522</f>
        <v>Monitor</v>
      </c>
      <c r="E522" s="7">
        <f>RawData!E522</f>
        <v>3</v>
      </c>
      <c r="F522" s="7">
        <f>RawData!F522</f>
        <v>635.98</v>
      </c>
      <c r="G522" s="7" t="str">
        <f>RawData!G522</f>
        <v>959 Main St</v>
      </c>
      <c r="H522" s="7" t="str">
        <f>RawData!H522</f>
        <v>Cash</v>
      </c>
      <c r="I522" s="7" t="str">
        <f>RawData!I522</f>
        <v>Returned</v>
      </c>
      <c r="J522" s="7" t="str">
        <f>RawData!J522</f>
        <v>TRK27063398</v>
      </c>
      <c r="K522" s="7">
        <f>RawData!K522</f>
        <v>5</v>
      </c>
      <c r="L522" s="7" t="str">
        <f>IF(RawData!L522="","No Coupon",RawData!L522)</f>
        <v>No Coupon</v>
      </c>
      <c r="M522" s="7" t="str">
        <f>RawData!M522</f>
        <v>Referral</v>
      </c>
      <c r="N522" s="7">
        <f>RawData!N522</f>
        <v>1907.94</v>
      </c>
    </row>
    <row r="523" spans="1:14" x14ac:dyDescent="0.3">
      <c r="A523" s="7" t="str">
        <f>RawData!A523</f>
        <v>ORD200521</v>
      </c>
      <c r="B523" s="11">
        <f>RawData!B523</f>
        <v>45347</v>
      </c>
      <c r="C523" s="7" t="str">
        <f>RawData!C523</f>
        <v>C82318</v>
      </c>
      <c r="D523" s="7" t="str">
        <f>RawData!D523</f>
        <v>Phone</v>
      </c>
      <c r="E523" s="7">
        <f>RawData!E523</f>
        <v>1</v>
      </c>
      <c r="F523" s="7">
        <f>RawData!F523</f>
        <v>528.05999999999995</v>
      </c>
      <c r="G523" s="7" t="str">
        <f>RawData!G523</f>
        <v>991 Main St</v>
      </c>
      <c r="H523" s="7" t="str">
        <f>RawData!H523</f>
        <v>Credit Card</v>
      </c>
      <c r="I523" s="7" t="str">
        <f>RawData!I523</f>
        <v>Shipped</v>
      </c>
      <c r="J523" s="7" t="str">
        <f>RawData!J523</f>
        <v>TRK37534165</v>
      </c>
      <c r="K523" s="7">
        <f>RawData!K523</f>
        <v>2</v>
      </c>
      <c r="L523" s="7" t="str">
        <f>IF(RawData!L523="","No Coupon",RawData!L523)</f>
        <v>No Coupon</v>
      </c>
      <c r="M523" s="7" t="str">
        <f>RawData!M523</f>
        <v>Facebook</v>
      </c>
      <c r="N523" s="7">
        <f>RawData!N523</f>
        <v>528.05999999999995</v>
      </c>
    </row>
    <row r="524" spans="1:14" x14ac:dyDescent="0.3">
      <c r="A524" s="7" t="str">
        <f>RawData!A524</f>
        <v>ORD200522</v>
      </c>
      <c r="B524" s="11">
        <f>RawData!B524</f>
        <v>45402</v>
      </c>
      <c r="C524" s="7" t="str">
        <f>RawData!C524</f>
        <v>C66254</v>
      </c>
      <c r="D524" s="7" t="str">
        <f>RawData!D524</f>
        <v>Chair</v>
      </c>
      <c r="E524" s="7">
        <f>RawData!E524</f>
        <v>1</v>
      </c>
      <c r="F524" s="7">
        <f>RawData!F524</f>
        <v>515.32000000000005</v>
      </c>
      <c r="G524" s="7" t="str">
        <f>RawData!G524</f>
        <v>740 Main St</v>
      </c>
      <c r="H524" s="7" t="str">
        <f>RawData!H524</f>
        <v>Gift Card</v>
      </c>
      <c r="I524" s="7" t="str">
        <f>RawData!I524</f>
        <v>Cancelled</v>
      </c>
      <c r="J524" s="7" t="str">
        <f>RawData!J524</f>
        <v>TRK82843861</v>
      </c>
      <c r="K524" s="7">
        <f>RawData!K524</f>
        <v>1</v>
      </c>
      <c r="L524" s="7" t="str">
        <f>IF(RawData!L524="","No Coupon",RawData!L524)</f>
        <v>FREESHIP</v>
      </c>
      <c r="M524" s="7" t="str">
        <f>RawData!M524</f>
        <v>Email</v>
      </c>
      <c r="N524" s="7">
        <f>RawData!N524</f>
        <v>515.32000000000005</v>
      </c>
    </row>
    <row r="525" spans="1:14" x14ac:dyDescent="0.3">
      <c r="A525" s="7" t="str">
        <f>RawData!A525</f>
        <v>ORD200523</v>
      </c>
      <c r="B525" s="11">
        <f>RawData!B525</f>
        <v>45706</v>
      </c>
      <c r="C525" s="7" t="str">
        <f>RawData!C525</f>
        <v>C65083</v>
      </c>
      <c r="D525" s="7" t="str">
        <f>RawData!D525</f>
        <v>Desk</v>
      </c>
      <c r="E525" s="7">
        <f>RawData!E525</f>
        <v>4</v>
      </c>
      <c r="F525" s="7">
        <f>RawData!F525</f>
        <v>657.79</v>
      </c>
      <c r="G525" s="7" t="str">
        <f>RawData!G525</f>
        <v>652 Main St</v>
      </c>
      <c r="H525" s="7" t="str">
        <f>RawData!H525</f>
        <v>Credit Card</v>
      </c>
      <c r="I525" s="7" t="str">
        <f>RawData!I525</f>
        <v>Returned</v>
      </c>
      <c r="J525" s="7" t="str">
        <f>RawData!J525</f>
        <v>TRK60937148</v>
      </c>
      <c r="K525" s="7">
        <f>RawData!K525</f>
        <v>6</v>
      </c>
      <c r="L525" s="7" t="str">
        <f>IF(RawData!L525="","No Coupon",RawData!L525)</f>
        <v>WINTER15</v>
      </c>
      <c r="M525" s="7" t="str">
        <f>RawData!M525</f>
        <v>Google</v>
      </c>
      <c r="N525" s="7">
        <f>RawData!N525</f>
        <v>2631.16</v>
      </c>
    </row>
    <row r="526" spans="1:14" x14ac:dyDescent="0.3">
      <c r="A526" s="7" t="str">
        <f>RawData!A526</f>
        <v>ORD200524</v>
      </c>
      <c r="B526" s="11">
        <f>RawData!B526</f>
        <v>45224</v>
      </c>
      <c r="C526" s="7" t="str">
        <f>RawData!C526</f>
        <v>C44778</v>
      </c>
      <c r="D526" s="7" t="str">
        <f>RawData!D526</f>
        <v>Phone</v>
      </c>
      <c r="E526" s="7">
        <f>RawData!E526</f>
        <v>1</v>
      </c>
      <c r="F526" s="7">
        <f>RawData!F526</f>
        <v>153</v>
      </c>
      <c r="G526" s="7" t="str">
        <f>RawData!G526</f>
        <v>103 Main St</v>
      </c>
      <c r="H526" s="7" t="str">
        <f>RawData!H526</f>
        <v>Credit Card</v>
      </c>
      <c r="I526" s="7" t="str">
        <f>RawData!I526</f>
        <v>Returned</v>
      </c>
      <c r="J526" s="7" t="str">
        <f>RawData!J526</f>
        <v>TRK92617366</v>
      </c>
      <c r="K526" s="7">
        <f>RawData!K526</f>
        <v>4</v>
      </c>
      <c r="L526" s="7" t="str">
        <f>IF(RawData!L526="","No Coupon",RawData!L526)</f>
        <v>No Coupon</v>
      </c>
      <c r="M526" s="7" t="str">
        <f>RawData!M526</f>
        <v>Referral</v>
      </c>
      <c r="N526" s="7">
        <f>RawData!N526</f>
        <v>153</v>
      </c>
    </row>
    <row r="527" spans="1:14" x14ac:dyDescent="0.3">
      <c r="A527" s="7" t="str">
        <f>RawData!A527</f>
        <v>ORD200525</v>
      </c>
      <c r="B527" s="11">
        <f>RawData!B527</f>
        <v>45263</v>
      </c>
      <c r="C527" s="7" t="str">
        <f>RawData!C527</f>
        <v>C54499</v>
      </c>
      <c r="D527" s="7" t="str">
        <f>RawData!D527</f>
        <v>Monitor</v>
      </c>
      <c r="E527" s="7">
        <f>RawData!E527</f>
        <v>1</v>
      </c>
      <c r="F527" s="7">
        <f>RawData!F527</f>
        <v>668.48</v>
      </c>
      <c r="G527" s="7" t="str">
        <f>RawData!G527</f>
        <v>160 Main St</v>
      </c>
      <c r="H527" s="7" t="str">
        <f>RawData!H527</f>
        <v>Debit Card</v>
      </c>
      <c r="I527" s="7" t="str">
        <f>RawData!I527</f>
        <v>Shipped</v>
      </c>
      <c r="J527" s="7" t="str">
        <f>RawData!J527</f>
        <v>TRK18061555</v>
      </c>
      <c r="K527" s="7">
        <f>RawData!K527</f>
        <v>1</v>
      </c>
      <c r="L527" s="7" t="str">
        <f>IF(RawData!L527="","No Coupon",RawData!L527)</f>
        <v>SAVE10</v>
      </c>
      <c r="M527" s="7" t="str">
        <f>RawData!M527</f>
        <v>Email</v>
      </c>
      <c r="N527" s="7">
        <f>RawData!N527</f>
        <v>668.48</v>
      </c>
    </row>
    <row r="528" spans="1:14" x14ac:dyDescent="0.3">
      <c r="A528" s="7" t="str">
        <f>RawData!A528</f>
        <v>ORD200526</v>
      </c>
      <c r="B528" s="11">
        <f>RawData!B528</f>
        <v>45351</v>
      </c>
      <c r="C528" s="7" t="str">
        <f>RawData!C528</f>
        <v>C91201</v>
      </c>
      <c r="D528" s="7" t="str">
        <f>RawData!D528</f>
        <v>Desk</v>
      </c>
      <c r="E528" s="7">
        <f>RawData!E528</f>
        <v>2</v>
      </c>
      <c r="F528" s="7">
        <f>RawData!F528</f>
        <v>46.5</v>
      </c>
      <c r="G528" s="7" t="str">
        <f>RawData!G528</f>
        <v>837 Main St</v>
      </c>
      <c r="H528" s="7" t="str">
        <f>RawData!H528</f>
        <v>Cash</v>
      </c>
      <c r="I528" s="7" t="str">
        <f>RawData!I528</f>
        <v>Returned</v>
      </c>
      <c r="J528" s="7" t="str">
        <f>RawData!J528</f>
        <v>TRK63526023</v>
      </c>
      <c r="K528" s="7">
        <f>RawData!K528</f>
        <v>7</v>
      </c>
      <c r="L528" s="7" t="str">
        <f>IF(RawData!L528="","No Coupon",RawData!L528)</f>
        <v>WINTER15</v>
      </c>
      <c r="M528" s="7" t="str">
        <f>RawData!M528</f>
        <v>Google</v>
      </c>
      <c r="N528" s="7">
        <f>RawData!N528</f>
        <v>93</v>
      </c>
    </row>
    <row r="529" spans="1:14" x14ac:dyDescent="0.3">
      <c r="A529" s="7" t="str">
        <f>RawData!A529</f>
        <v>ORD200527</v>
      </c>
      <c r="B529" s="11">
        <f>RawData!B529</f>
        <v>45523</v>
      </c>
      <c r="C529" s="7" t="str">
        <f>RawData!C529</f>
        <v>C27202</v>
      </c>
      <c r="D529" s="7" t="str">
        <f>RawData!D529</f>
        <v>Chair</v>
      </c>
      <c r="E529" s="7">
        <f>RawData!E529</f>
        <v>5</v>
      </c>
      <c r="F529" s="7">
        <f>RawData!F529</f>
        <v>653.47</v>
      </c>
      <c r="G529" s="7" t="str">
        <f>RawData!G529</f>
        <v>967 Main St</v>
      </c>
      <c r="H529" s="7" t="str">
        <f>RawData!H529</f>
        <v>Credit Card</v>
      </c>
      <c r="I529" s="7" t="str">
        <f>RawData!I529</f>
        <v>Cancelled</v>
      </c>
      <c r="J529" s="7" t="str">
        <f>RawData!J529</f>
        <v>TRK75406128</v>
      </c>
      <c r="K529" s="7">
        <f>RawData!K529</f>
        <v>10</v>
      </c>
      <c r="L529" s="7" t="str">
        <f>IF(RawData!L529="","No Coupon",RawData!L529)</f>
        <v>SAVE10</v>
      </c>
      <c r="M529" s="7" t="str">
        <f>RawData!M529</f>
        <v>Referral</v>
      </c>
      <c r="N529" s="7">
        <f>RawData!N529</f>
        <v>3267.35</v>
      </c>
    </row>
    <row r="530" spans="1:14" x14ac:dyDescent="0.3">
      <c r="A530" s="7" t="str">
        <f>RawData!A530</f>
        <v>ORD200528</v>
      </c>
      <c r="B530" s="11">
        <f>RawData!B530</f>
        <v>45714</v>
      </c>
      <c r="C530" s="7" t="str">
        <f>RawData!C530</f>
        <v>C32011</v>
      </c>
      <c r="D530" s="7" t="str">
        <f>RawData!D530</f>
        <v>Chair</v>
      </c>
      <c r="E530" s="7">
        <f>RawData!E530</f>
        <v>1</v>
      </c>
      <c r="F530" s="7">
        <f>RawData!F530</f>
        <v>628.89</v>
      </c>
      <c r="G530" s="7" t="str">
        <f>RawData!G530</f>
        <v>686 Main St</v>
      </c>
      <c r="H530" s="7" t="str">
        <f>RawData!H530</f>
        <v>Credit Card</v>
      </c>
      <c r="I530" s="7" t="str">
        <f>RawData!I530</f>
        <v>Returned</v>
      </c>
      <c r="J530" s="7" t="str">
        <f>RawData!J530</f>
        <v>TRK70997744</v>
      </c>
      <c r="K530" s="7">
        <f>RawData!K530</f>
        <v>2</v>
      </c>
      <c r="L530" s="7" t="str">
        <f>IF(RawData!L530="","No Coupon",RawData!L530)</f>
        <v>SAVE10</v>
      </c>
      <c r="M530" s="7" t="str">
        <f>RawData!M530</f>
        <v>Referral</v>
      </c>
      <c r="N530" s="7">
        <f>RawData!N530</f>
        <v>628.89</v>
      </c>
    </row>
    <row r="531" spans="1:14" x14ac:dyDescent="0.3">
      <c r="A531" s="7" t="str">
        <f>RawData!A531</f>
        <v>ORD200529</v>
      </c>
      <c r="B531" s="11">
        <f>RawData!B531</f>
        <v>45389</v>
      </c>
      <c r="C531" s="7" t="str">
        <f>RawData!C531</f>
        <v>C21181</v>
      </c>
      <c r="D531" s="7" t="str">
        <f>RawData!D531</f>
        <v>Tablet</v>
      </c>
      <c r="E531" s="7">
        <f>RawData!E531</f>
        <v>2</v>
      </c>
      <c r="F531" s="7">
        <f>RawData!F531</f>
        <v>675.1</v>
      </c>
      <c r="G531" s="7" t="str">
        <f>RawData!G531</f>
        <v>938 Main St</v>
      </c>
      <c r="H531" s="7" t="str">
        <f>RawData!H531</f>
        <v>Cash</v>
      </c>
      <c r="I531" s="7" t="str">
        <f>RawData!I531</f>
        <v>Pending</v>
      </c>
      <c r="J531" s="7" t="str">
        <f>RawData!J531</f>
        <v>TRK50363421</v>
      </c>
      <c r="K531" s="7">
        <f>RawData!K531</f>
        <v>4</v>
      </c>
      <c r="L531" s="7" t="str">
        <f>IF(RawData!L531="","No Coupon",RawData!L531)</f>
        <v>FREESHIP</v>
      </c>
      <c r="M531" s="7" t="str">
        <f>RawData!M531</f>
        <v>Google</v>
      </c>
      <c r="N531" s="7">
        <f>RawData!N531</f>
        <v>1350.2</v>
      </c>
    </row>
    <row r="532" spans="1:14" x14ac:dyDescent="0.3">
      <c r="A532" s="7" t="str">
        <f>RawData!A532</f>
        <v>ORD200530</v>
      </c>
      <c r="B532" s="11">
        <f>RawData!B532</f>
        <v>45491</v>
      </c>
      <c r="C532" s="7" t="str">
        <f>RawData!C532</f>
        <v>C98450</v>
      </c>
      <c r="D532" s="7" t="str">
        <f>RawData!D532</f>
        <v>Chair</v>
      </c>
      <c r="E532" s="7">
        <f>RawData!E532</f>
        <v>4</v>
      </c>
      <c r="F532" s="7">
        <f>RawData!F532</f>
        <v>89.41</v>
      </c>
      <c r="G532" s="7" t="str">
        <f>RawData!G532</f>
        <v>613 Main St</v>
      </c>
      <c r="H532" s="7" t="str">
        <f>RawData!H532</f>
        <v>Online</v>
      </c>
      <c r="I532" s="7" t="str">
        <f>RawData!I532</f>
        <v>Pending</v>
      </c>
      <c r="J532" s="7" t="str">
        <f>RawData!J532</f>
        <v>TRK14809530</v>
      </c>
      <c r="K532" s="7">
        <f>RawData!K532</f>
        <v>9</v>
      </c>
      <c r="L532" s="7" t="str">
        <f>IF(RawData!L532="","No Coupon",RawData!L532)</f>
        <v>No Coupon</v>
      </c>
      <c r="M532" s="7" t="str">
        <f>RawData!M532</f>
        <v>Google</v>
      </c>
      <c r="N532" s="7">
        <f>RawData!N532</f>
        <v>357.64</v>
      </c>
    </row>
    <row r="533" spans="1:14" x14ac:dyDescent="0.3">
      <c r="A533" s="7" t="str">
        <f>RawData!A533</f>
        <v>ORD200531</v>
      </c>
      <c r="B533" s="11">
        <f>RawData!B533</f>
        <v>45475</v>
      </c>
      <c r="C533" s="7" t="str">
        <f>RawData!C533</f>
        <v>C64502</v>
      </c>
      <c r="D533" s="7" t="str">
        <f>RawData!D533</f>
        <v>Desk</v>
      </c>
      <c r="E533" s="7">
        <f>RawData!E533</f>
        <v>5</v>
      </c>
      <c r="F533" s="7">
        <f>RawData!F533</f>
        <v>320.01</v>
      </c>
      <c r="G533" s="7" t="str">
        <f>RawData!G533</f>
        <v>722 Main St</v>
      </c>
      <c r="H533" s="7" t="str">
        <f>RawData!H533</f>
        <v>Gift Card</v>
      </c>
      <c r="I533" s="7" t="str">
        <f>RawData!I533</f>
        <v>Delivered</v>
      </c>
      <c r="J533" s="7" t="str">
        <f>RawData!J533</f>
        <v>TRK14914388</v>
      </c>
      <c r="K533" s="7">
        <f>RawData!K533</f>
        <v>6</v>
      </c>
      <c r="L533" s="7" t="str">
        <f>IF(RawData!L533="","No Coupon",RawData!L533)</f>
        <v>No Coupon</v>
      </c>
      <c r="M533" s="7" t="str">
        <f>RawData!M533</f>
        <v>Referral</v>
      </c>
      <c r="N533" s="7">
        <f>RawData!N533</f>
        <v>1600.05</v>
      </c>
    </row>
    <row r="534" spans="1:14" x14ac:dyDescent="0.3">
      <c r="A534" s="7" t="str">
        <f>RawData!A534</f>
        <v>ORD200532</v>
      </c>
      <c r="B534" s="11">
        <f>RawData!B534</f>
        <v>45780</v>
      </c>
      <c r="C534" s="7" t="str">
        <f>RawData!C534</f>
        <v>C47365</v>
      </c>
      <c r="D534" s="7" t="str">
        <f>RawData!D534</f>
        <v>Laptop</v>
      </c>
      <c r="E534" s="7">
        <f>RawData!E534</f>
        <v>2</v>
      </c>
      <c r="F534" s="7">
        <f>RawData!F534</f>
        <v>41</v>
      </c>
      <c r="G534" s="7" t="str">
        <f>RawData!G534</f>
        <v>369 Main St</v>
      </c>
      <c r="H534" s="7" t="str">
        <f>RawData!H534</f>
        <v>Online</v>
      </c>
      <c r="I534" s="7" t="str">
        <f>RawData!I534</f>
        <v>Delivered</v>
      </c>
      <c r="J534" s="7" t="str">
        <f>RawData!J534</f>
        <v>TRK42207882</v>
      </c>
      <c r="K534" s="7">
        <f>RawData!K534</f>
        <v>7</v>
      </c>
      <c r="L534" s="7" t="str">
        <f>IF(RawData!L534="","No Coupon",RawData!L534)</f>
        <v>No Coupon</v>
      </c>
      <c r="M534" s="7" t="str">
        <f>RawData!M534</f>
        <v>Email</v>
      </c>
      <c r="N534" s="7">
        <f>RawData!N534</f>
        <v>82</v>
      </c>
    </row>
    <row r="535" spans="1:14" x14ac:dyDescent="0.3">
      <c r="A535" s="7" t="str">
        <f>RawData!A535</f>
        <v>ORD200533</v>
      </c>
      <c r="B535" s="11">
        <f>RawData!B535</f>
        <v>44990</v>
      </c>
      <c r="C535" s="7" t="str">
        <f>RawData!C535</f>
        <v>C66349</v>
      </c>
      <c r="D535" s="7" t="str">
        <f>RawData!D535</f>
        <v>Desk</v>
      </c>
      <c r="E535" s="7">
        <f>RawData!E535</f>
        <v>1</v>
      </c>
      <c r="F535" s="7">
        <f>RawData!F535</f>
        <v>565.85</v>
      </c>
      <c r="G535" s="7" t="str">
        <f>RawData!G535</f>
        <v>715 Main St</v>
      </c>
      <c r="H535" s="7" t="str">
        <f>RawData!H535</f>
        <v>Gift Card</v>
      </c>
      <c r="I535" s="7" t="str">
        <f>RawData!I535</f>
        <v>Returned</v>
      </c>
      <c r="J535" s="7" t="str">
        <f>RawData!J535</f>
        <v>TRK63550793</v>
      </c>
      <c r="K535" s="7">
        <f>RawData!K535</f>
        <v>1</v>
      </c>
      <c r="L535" s="7" t="str">
        <f>IF(RawData!L535="","No Coupon",RawData!L535)</f>
        <v>FREESHIP</v>
      </c>
      <c r="M535" s="7" t="str">
        <f>RawData!M535</f>
        <v>Facebook</v>
      </c>
      <c r="N535" s="7">
        <f>RawData!N535</f>
        <v>565.85</v>
      </c>
    </row>
    <row r="536" spans="1:14" x14ac:dyDescent="0.3">
      <c r="A536" s="7" t="str">
        <f>RawData!A536</f>
        <v>ORD200534</v>
      </c>
      <c r="B536" s="11">
        <f>RawData!B536</f>
        <v>45449</v>
      </c>
      <c r="C536" s="7" t="str">
        <f>RawData!C536</f>
        <v>C73289</v>
      </c>
      <c r="D536" s="7" t="str">
        <f>RawData!D536</f>
        <v>Chair</v>
      </c>
      <c r="E536" s="7">
        <f>RawData!E536</f>
        <v>3</v>
      </c>
      <c r="F536" s="7">
        <f>RawData!F536</f>
        <v>648.59</v>
      </c>
      <c r="G536" s="7" t="str">
        <f>RawData!G536</f>
        <v>906 Main St</v>
      </c>
      <c r="H536" s="7" t="str">
        <f>RawData!H536</f>
        <v>Debit Card</v>
      </c>
      <c r="I536" s="7" t="str">
        <f>RawData!I536</f>
        <v>Cancelled</v>
      </c>
      <c r="J536" s="7" t="str">
        <f>RawData!J536</f>
        <v>TRK70872738</v>
      </c>
      <c r="K536" s="7">
        <f>RawData!K536</f>
        <v>4</v>
      </c>
      <c r="L536" s="7" t="str">
        <f>IF(RawData!L536="","No Coupon",RawData!L536)</f>
        <v>SAVE10</v>
      </c>
      <c r="M536" s="7" t="str">
        <f>RawData!M536</f>
        <v>Email</v>
      </c>
      <c r="N536" s="7">
        <f>RawData!N536</f>
        <v>1945.77</v>
      </c>
    </row>
    <row r="537" spans="1:14" x14ac:dyDescent="0.3">
      <c r="A537" s="7" t="str">
        <f>RawData!A537</f>
        <v>ORD200535</v>
      </c>
      <c r="B537" s="11">
        <f>RawData!B537</f>
        <v>45497</v>
      </c>
      <c r="C537" s="7" t="str">
        <f>RawData!C537</f>
        <v>C48649</v>
      </c>
      <c r="D537" s="7" t="str">
        <f>RawData!D537</f>
        <v>Monitor</v>
      </c>
      <c r="E537" s="7">
        <f>RawData!E537</f>
        <v>3</v>
      </c>
      <c r="F537" s="7">
        <f>RawData!F537</f>
        <v>68.12</v>
      </c>
      <c r="G537" s="7" t="str">
        <f>RawData!G537</f>
        <v>332 Main St</v>
      </c>
      <c r="H537" s="7" t="str">
        <f>RawData!H537</f>
        <v>Online</v>
      </c>
      <c r="I537" s="7" t="str">
        <f>RawData!I537</f>
        <v>Cancelled</v>
      </c>
      <c r="J537" s="7" t="str">
        <f>RawData!J537</f>
        <v>TRK45821445</v>
      </c>
      <c r="K537" s="7">
        <f>RawData!K537</f>
        <v>3</v>
      </c>
      <c r="L537" s="7" t="str">
        <f>IF(RawData!L537="","No Coupon",RawData!L537)</f>
        <v>FREESHIP</v>
      </c>
      <c r="M537" s="7" t="str">
        <f>RawData!M537</f>
        <v>Email</v>
      </c>
      <c r="N537" s="7">
        <f>RawData!N537</f>
        <v>204.36</v>
      </c>
    </row>
    <row r="538" spans="1:14" x14ac:dyDescent="0.3">
      <c r="A538" s="7" t="str">
        <f>RawData!A538</f>
        <v>ORD200536</v>
      </c>
      <c r="B538" s="11">
        <f>RawData!B538</f>
        <v>45452</v>
      </c>
      <c r="C538" s="7" t="str">
        <f>RawData!C538</f>
        <v>C18724</v>
      </c>
      <c r="D538" s="7" t="str">
        <f>RawData!D538</f>
        <v>Chair</v>
      </c>
      <c r="E538" s="7">
        <f>RawData!E538</f>
        <v>1</v>
      </c>
      <c r="F538" s="7">
        <f>RawData!F538</f>
        <v>616.1</v>
      </c>
      <c r="G538" s="7" t="str">
        <f>RawData!G538</f>
        <v>124 Main St</v>
      </c>
      <c r="H538" s="7" t="str">
        <f>RawData!H538</f>
        <v>Cash</v>
      </c>
      <c r="I538" s="7" t="str">
        <f>RawData!I538</f>
        <v>Returned</v>
      </c>
      <c r="J538" s="7" t="str">
        <f>RawData!J538</f>
        <v>TRK52508861</v>
      </c>
      <c r="K538" s="7">
        <f>RawData!K538</f>
        <v>6</v>
      </c>
      <c r="L538" s="7" t="str">
        <f>IF(RawData!L538="","No Coupon",RawData!L538)</f>
        <v>No Coupon</v>
      </c>
      <c r="M538" s="7" t="str">
        <f>RawData!M538</f>
        <v>Email</v>
      </c>
      <c r="N538" s="7">
        <f>RawData!N538</f>
        <v>616.1</v>
      </c>
    </row>
    <row r="539" spans="1:14" x14ac:dyDescent="0.3">
      <c r="A539" s="7" t="str">
        <f>RawData!A539</f>
        <v>ORD200537</v>
      </c>
      <c r="B539" s="11">
        <f>RawData!B539</f>
        <v>45739</v>
      </c>
      <c r="C539" s="7" t="str">
        <f>RawData!C539</f>
        <v>C68553</v>
      </c>
      <c r="D539" s="7" t="str">
        <f>RawData!D539</f>
        <v>Tablet</v>
      </c>
      <c r="E539" s="7">
        <f>RawData!E539</f>
        <v>3</v>
      </c>
      <c r="F539" s="7">
        <f>RawData!F539</f>
        <v>247.47</v>
      </c>
      <c r="G539" s="7" t="str">
        <f>RawData!G539</f>
        <v>385 Main St</v>
      </c>
      <c r="H539" s="7" t="str">
        <f>RawData!H539</f>
        <v>Online</v>
      </c>
      <c r="I539" s="7" t="str">
        <f>RawData!I539</f>
        <v>Delivered</v>
      </c>
      <c r="J539" s="7" t="str">
        <f>RawData!J539</f>
        <v>TRK58218971</v>
      </c>
      <c r="K539" s="7">
        <f>RawData!K539</f>
        <v>4</v>
      </c>
      <c r="L539" s="7" t="str">
        <f>IF(RawData!L539="","No Coupon",RawData!L539)</f>
        <v>SAVE10</v>
      </c>
      <c r="M539" s="7" t="str">
        <f>RawData!M539</f>
        <v>Facebook</v>
      </c>
      <c r="N539" s="7">
        <f>RawData!N539</f>
        <v>742.41</v>
      </c>
    </row>
    <row r="540" spans="1:14" x14ac:dyDescent="0.3">
      <c r="A540" s="7" t="str">
        <f>RawData!A540</f>
        <v>ORD200538</v>
      </c>
      <c r="B540" s="11">
        <f>RawData!B540</f>
        <v>45436</v>
      </c>
      <c r="C540" s="7" t="str">
        <f>RawData!C540</f>
        <v>C61280</v>
      </c>
      <c r="D540" s="7" t="str">
        <f>RawData!D540</f>
        <v>Phone</v>
      </c>
      <c r="E540" s="7">
        <f>RawData!E540</f>
        <v>3</v>
      </c>
      <c r="F540" s="7">
        <f>RawData!F540</f>
        <v>490.74</v>
      </c>
      <c r="G540" s="7" t="str">
        <f>RawData!G540</f>
        <v>100 Main St</v>
      </c>
      <c r="H540" s="7" t="str">
        <f>RawData!H540</f>
        <v>Cash</v>
      </c>
      <c r="I540" s="7" t="str">
        <f>RawData!I540</f>
        <v>Shipped</v>
      </c>
      <c r="J540" s="7" t="str">
        <f>RawData!J540</f>
        <v>TRK95487711</v>
      </c>
      <c r="K540" s="7">
        <f>RawData!K540</f>
        <v>3</v>
      </c>
      <c r="L540" s="7" t="str">
        <f>IF(RawData!L540="","No Coupon",RawData!L540)</f>
        <v>WINTER15</v>
      </c>
      <c r="M540" s="7" t="str">
        <f>RawData!M540</f>
        <v>Email</v>
      </c>
      <c r="N540" s="7">
        <f>RawData!N540</f>
        <v>1472.22</v>
      </c>
    </row>
    <row r="541" spans="1:14" x14ac:dyDescent="0.3">
      <c r="A541" s="7" t="str">
        <f>RawData!A541</f>
        <v>ORD200539</v>
      </c>
      <c r="B541" s="11">
        <f>RawData!B541</f>
        <v>45706</v>
      </c>
      <c r="C541" s="7" t="str">
        <f>RawData!C541</f>
        <v>C53277</v>
      </c>
      <c r="D541" s="7" t="str">
        <f>RawData!D541</f>
        <v>Desk</v>
      </c>
      <c r="E541" s="7">
        <f>RawData!E541</f>
        <v>3</v>
      </c>
      <c r="F541" s="7">
        <f>RawData!F541</f>
        <v>531.72</v>
      </c>
      <c r="G541" s="7" t="str">
        <f>RawData!G541</f>
        <v>473 Main St</v>
      </c>
      <c r="H541" s="7" t="str">
        <f>RawData!H541</f>
        <v>Gift Card</v>
      </c>
      <c r="I541" s="7" t="str">
        <f>RawData!I541</f>
        <v>Delivered</v>
      </c>
      <c r="J541" s="7" t="str">
        <f>RawData!J541</f>
        <v>TRK17653832</v>
      </c>
      <c r="K541" s="7">
        <f>RawData!K541</f>
        <v>7</v>
      </c>
      <c r="L541" s="7" t="str">
        <f>IF(RawData!L541="","No Coupon",RawData!L541)</f>
        <v>SAVE10</v>
      </c>
      <c r="M541" s="7" t="str">
        <f>RawData!M541</f>
        <v>Google</v>
      </c>
      <c r="N541" s="7">
        <f>RawData!N541</f>
        <v>1595.16</v>
      </c>
    </row>
    <row r="542" spans="1:14" x14ac:dyDescent="0.3">
      <c r="A542" s="7" t="str">
        <f>RawData!A542</f>
        <v>ORD200540</v>
      </c>
      <c r="B542" s="11">
        <f>RawData!B542</f>
        <v>45320</v>
      </c>
      <c r="C542" s="7" t="str">
        <f>RawData!C542</f>
        <v>C87281</v>
      </c>
      <c r="D542" s="7" t="str">
        <f>RawData!D542</f>
        <v>Laptop</v>
      </c>
      <c r="E542" s="7">
        <f>RawData!E542</f>
        <v>5</v>
      </c>
      <c r="F542" s="7">
        <f>RawData!F542</f>
        <v>648.65</v>
      </c>
      <c r="G542" s="7" t="str">
        <f>RawData!G542</f>
        <v>852 Main St</v>
      </c>
      <c r="H542" s="7" t="str">
        <f>RawData!H542</f>
        <v>Online</v>
      </c>
      <c r="I542" s="7" t="str">
        <f>RawData!I542</f>
        <v>Pending</v>
      </c>
      <c r="J542" s="7" t="str">
        <f>RawData!J542</f>
        <v>TRK81765057</v>
      </c>
      <c r="K542" s="7">
        <f>RawData!K542</f>
        <v>7</v>
      </c>
      <c r="L542" s="7" t="str">
        <f>IF(RawData!L542="","No Coupon",RawData!L542)</f>
        <v>No Coupon</v>
      </c>
      <c r="M542" s="7" t="str">
        <f>RawData!M542</f>
        <v>Referral</v>
      </c>
      <c r="N542" s="7">
        <f>RawData!N542</f>
        <v>3243.25</v>
      </c>
    </row>
    <row r="543" spans="1:14" x14ac:dyDescent="0.3">
      <c r="A543" s="7" t="str">
        <f>RawData!A543</f>
        <v>ORD200541</v>
      </c>
      <c r="B543" s="11">
        <f>RawData!B543</f>
        <v>45145</v>
      </c>
      <c r="C543" s="7" t="str">
        <f>RawData!C543</f>
        <v>C69009</v>
      </c>
      <c r="D543" s="7" t="str">
        <f>RawData!D543</f>
        <v>Printer</v>
      </c>
      <c r="E543" s="7">
        <f>RawData!E543</f>
        <v>5</v>
      </c>
      <c r="F543" s="7">
        <f>RawData!F543</f>
        <v>456.06</v>
      </c>
      <c r="G543" s="7" t="str">
        <f>RawData!G543</f>
        <v>879 Main St</v>
      </c>
      <c r="H543" s="7" t="str">
        <f>RawData!H543</f>
        <v>Cash</v>
      </c>
      <c r="I543" s="7" t="str">
        <f>RawData!I543</f>
        <v>Pending</v>
      </c>
      <c r="J543" s="7" t="str">
        <f>RawData!J543</f>
        <v>TRK61295842</v>
      </c>
      <c r="K543" s="7">
        <f>RawData!K543</f>
        <v>10</v>
      </c>
      <c r="L543" s="7" t="str">
        <f>IF(RawData!L543="","No Coupon",RawData!L543)</f>
        <v>No Coupon</v>
      </c>
      <c r="M543" s="7" t="str">
        <f>RawData!M543</f>
        <v>Instagram</v>
      </c>
      <c r="N543" s="7">
        <f>RawData!N543</f>
        <v>2280.3000000000002</v>
      </c>
    </row>
    <row r="544" spans="1:14" x14ac:dyDescent="0.3">
      <c r="A544" s="7" t="str">
        <f>RawData!A544</f>
        <v>ORD200542</v>
      </c>
      <c r="B544" s="11">
        <f>RawData!B544</f>
        <v>45244</v>
      </c>
      <c r="C544" s="7" t="str">
        <f>RawData!C544</f>
        <v>C49726</v>
      </c>
      <c r="D544" s="7" t="str">
        <f>RawData!D544</f>
        <v>Tablet</v>
      </c>
      <c r="E544" s="7">
        <f>RawData!E544</f>
        <v>1</v>
      </c>
      <c r="F544" s="7">
        <f>RawData!F544</f>
        <v>17.98</v>
      </c>
      <c r="G544" s="7" t="str">
        <f>RawData!G544</f>
        <v>934 Main St</v>
      </c>
      <c r="H544" s="7" t="str">
        <f>RawData!H544</f>
        <v>Cash</v>
      </c>
      <c r="I544" s="7" t="str">
        <f>RawData!I544</f>
        <v>Cancelled</v>
      </c>
      <c r="J544" s="7" t="str">
        <f>RawData!J544</f>
        <v>TRK20739460</v>
      </c>
      <c r="K544" s="7">
        <f>RawData!K544</f>
        <v>6</v>
      </c>
      <c r="L544" s="7" t="str">
        <f>IF(RawData!L544="","No Coupon",RawData!L544)</f>
        <v>FREESHIP</v>
      </c>
      <c r="M544" s="7" t="str">
        <f>RawData!M544</f>
        <v>Email</v>
      </c>
      <c r="N544" s="7">
        <f>RawData!N544</f>
        <v>17.98</v>
      </c>
    </row>
    <row r="545" spans="1:14" x14ac:dyDescent="0.3">
      <c r="A545" s="7" t="str">
        <f>RawData!A545</f>
        <v>ORD200543</v>
      </c>
      <c r="B545" s="11">
        <f>RawData!B545</f>
        <v>45360</v>
      </c>
      <c r="C545" s="7" t="str">
        <f>RawData!C545</f>
        <v>C37531</v>
      </c>
      <c r="D545" s="7" t="str">
        <f>RawData!D545</f>
        <v>Desk</v>
      </c>
      <c r="E545" s="7">
        <f>RawData!E545</f>
        <v>5</v>
      </c>
      <c r="F545" s="7">
        <f>RawData!F545</f>
        <v>269.86</v>
      </c>
      <c r="G545" s="7" t="str">
        <f>RawData!G545</f>
        <v>354 Main St</v>
      </c>
      <c r="H545" s="7" t="str">
        <f>RawData!H545</f>
        <v>Cash</v>
      </c>
      <c r="I545" s="7" t="str">
        <f>RawData!I545</f>
        <v>Shipped</v>
      </c>
      <c r="J545" s="7" t="str">
        <f>RawData!J545</f>
        <v>TRK93877673</v>
      </c>
      <c r="K545" s="7">
        <f>RawData!K545</f>
        <v>6</v>
      </c>
      <c r="L545" s="7" t="str">
        <f>IF(RawData!L545="","No Coupon",RawData!L545)</f>
        <v>WINTER15</v>
      </c>
      <c r="M545" s="7" t="str">
        <f>RawData!M545</f>
        <v>Facebook</v>
      </c>
      <c r="N545" s="7">
        <f>RawData!N545</f>
        <v>1349.3</v>
      </c>
    </row>
    <row r="546" spans="1:14" x14ac:dyDescent="0.3">
      <c r="A546" s="7" t="str">
        <f>RawData!A546</f>
        <v>ORD200544</v>
      </c>
      <c r="B546" s="11">
        <f>RawData!B546</f>
        <v>45361</v>
      </c>
      <c r="C546" s="7" t="str">
        <f>RawData!C546</f>
        <v>C48713</v>
      </c>
      <c r="D546" s="7" t="str">
        <f>RawData!D546</f>
        <v>Printer</v>
      </c>
      <c r="E546" s="7">
        <f>RawData!E546</f>
        <v>5</v>
      </c>
      <c r="F546" s="7">
        <f>RawData!F546</f>
        <v>31.96</v>
      </c>
      <c r="G546" s="7" t="str">
        <f>RawData!G546</f>
        <v>373 Main St</v>
      </c>
      <c r="H546" s="7" t="str">
        <f>RawData!H546</f>
        <v>Credit Card</v>
      </c>
      <c r="I546" s="7" t="str">
        <f>RawData!I546</f>
        <v>Returned</v>
      </c>
      <c r="J546" s="7" t="str">
        <f>RawData!J546</f>
        <v>TRK96334419</v>
      </c>
      <c r="K546" s="7">
        <f>RawData!K546</f>
        <v>5</v>
      </c>
      <c r="L546" s="7" t="str">
        <f>IF(RawData!L546="","No Coupon",RawData!L546)</f>
        <v>FREESHIP</v>
      </c>
      <c r="M546" s="7" t="str">
        <f>RawData!M546</f>
        <v>Referral</v>
      </c>
      <c r="N546" s="7">
        <f>RawData!N546</f>
        <v>159.80000000000001</v>
      </c>
    </row>
    <row r="547" spans="1:14" x14ac:dyDescent="0.3">
      <c r="A547" s="7" t="str">
        <f>RawData!A547</f>
        <v>ORD200545</v>
      </c>
      <c r="B547" s="11">
        <f>RawData!B547</f>
        <v>45279</v>
      </c>
      <c r="C547" s="7" t="str">
        <f>RawData!C547</f>
        <v>C74138</v>
      </c>
      <c r="D547" s="7" t="str">
        <f>RawData!D547</f>
        <v>Monitor</v>
      </c>
      <c r="E547" s="7">
        <f>RawData!E547</f>
        <v>2</v>
      </c>
      <c r="F547" s="7">
        <f>RawData!F547</f>
        <v>98.47</v>
      </c>
      <c r="G547" s="7" t="str">
        <f>RawData!G547</f>
        <v>964 Main St</v>
      </c>
      <c r="H547" s="7" t="str">
        <f>RawData!H547</f>
        <v>Cash</v>
      </c>
      <c r="I547" s="7" t="str">
        <f>RawData!I547</f>
        <v>Returned</v>
      </c>
      <c r="J547" s="7" t="str">
        <f>RawData!J547</f>
        <v>TRK74091695</v>
      </c>
      <c r="K547" s="7">
        <f>RawData!K547</f>
        <v>3</v>
      </c>
      <c r="L547" s="7" t="str">
        <f>IF(RawData!L547="","No Coupon",RawData!L547)</f>
        <v>No Coupon</v>
      </c>
      <c r="M547" s="7" t="str">
        <f>RawData!M547</f>
        <v>Instagram</v>
      </c>
      <c r="N547" s="7">
        <f>RawData!N547</f>
        <v>196.94</v>
      </c>
    </row>
    <row r="548" spans="1:14" x14ac:dyDescent="0.3">
      <c r="A548" s="7" t="str">
        <f>RawData!A548</f>
        <v>ORD200546</v>
      </c>
      <c r="B548" s="11">
        <f>RawData!B548</f>
        <v>45352</v>
      </c>
      <c r="C548" s="7" t="str">
        <f>RawData!C548</f>
        <v>C82399</v>
      </c>
      <c r="D548" s="7" t="str">
        <f>RawData!D548</f>
        <v>Monitor</v>
      </c>
      <c r="E548" s="7">
        <f>RawData!E548</f>
        <v>1</v>
      </c>
      <c r="F548" s="7">
        <f>RawData!F548</f>
        <v>158.68</v>
      </c>
      <c r="G548" s="7" t="str">
        <f>RawData!G548</f>
        <v>928 Main St</v>
      </c>
      <c r="H548" s="7" t="str">
        <f>RawData!H548</f>
        <v>Credit Card</v>
      </c>
      <c r="I548" s="7" t="str">
        <f>RawData!I548</f>
        <v>Returned</v>
      </c>
      <c r="J548" s="7" t="str">
        <f>RawData!J548</f>
        <v>TRK77177284</v>
      </c>
      <c r="K548" s="7">
        <f>RawData!K548</f>
        <v>6</v>
      </c>
      <c r="L548" s="7" t="str">
        <f>IF(RawData!L548="","No Coupon",RawData!L548)</f>
        <v>WINTER15</v>
      </c>
      <c r="M548" s="7" t="str">
        <f>RawData!M548</f>
        <v>Instagram</v>
      </c>
      <c r="N548" s="7">
        <f>RawData!N548</f>
        <v>158.68</v>
      </c>
    </row>
    <row r="549" spans="1:14" x14ac:dyDescent="0.3">
      <c r="A549" s="7" t="str">
        <f>RawData!A549</f>
        <v>ORD200547</v>
      </c>
      <c r="B549" s="11">
        <f>RawData!B549</f>
        <v>45158</v>
      </c>
      <c r="C549" s="7" t="str">
        <f>RawData!C549</f>
        <v>C40427</v>
      </c>
      <c r="D549" s="7" t="str">
        <f>RawData!D549</f>
        <v>Phone</v>
      </c>
      <c r="E549" s="7">
        <f>RawData!E549</f>
        <v>1</v>
      </c>
      <c r="F549" s="7">
        <f>RawData!F549</f>
        <v>613.98</v>
      </c>
      <c r="G549" s="7" t="str">
        <f>RawData!G549</f>
        <v>411 Main St</v>
      </c>
      <c r="H549" s="7" t="str">
        <f>RawData!H549</f>
        <v>Online</v>
      </c>
      <c r="I549" s="7" t="str">
        <f>RawData!I549</f>
        <v>Delivered</v>
      </c>
      <c r="J549" s="7" t="str">
        <f>RawData!J549</f>
        <v>TRK25392280</v>
      </c>
      <c r="K549" s="7">
        <f>RawData!K549</f>
        <v>4</v>
      </c>
      <c r="L549" s="7" t="str">
        <f>IF(RawData!L549="","No Coupon",RawData!L549)</f>
        <v>FREESHIP</v>
      </c>
      <c r="M549" s="7" t="str">
        <f>RawData!M549</f>
        <v>Facebook</v>
      </c>
      <c r="N549" s="7">
        <f>RawData!N549</f>
        <v>613.98</v>
      </c>
    </row>
    <row r="550" spans="1:14" x14ac:dyDescent="0.3">
      <c r="A550" s="7" t="str">
        <f>RawData!A550</f>
        <v>ORD200548</v>
      </c>
      <c r="B550" s="11">
        <f>RawData!B550</f>
        <v>45296</v>
      </c>
      <c r="C550" s="7" t="str">
        <f>RawData!C550</f>
        <v>C17103</v>
      </c>
      <c r="D550" s="7" t="str">
        <f>RawData!D550</f>
        <v>Printer</v>
      </c>
      <c r="E550" s="7">
        <f>RawData!E550</f>
        <v>3</v>
      </c>
      <c r="F550" s="7">
        <f>RawData!F550</f>
        <v>426.12</v>
      </c>
      <c r="G550" s="7" t="str">
        <f>RawData!G550</f>
        <v>922 Main St</v>
      </c>
      <c r="H550" s="7" t="str">
        <f>RawData!H550</f>
        <v>Online</v>
      </c>
      <c r="I550" s="7" t="str">
        <f>RawData!I550</f>
        <v>Delivered</v>
      </c>
      <c r="J550" s="7" t="str">
        <f>RawData!J550</f>
        <v>TRK64398650</v>
      </c>
      <c r="K550" s="7">
        <f>RawData!K550</f>
        <v>5</v>
      </c>
      <c r="L550" s="7" t="str">
        <f>IF(RawData!L550="","No Coupon",RawData!L550)</f>
        <v>WINTER15</v>
      </c>
      <c r="M550" s="7" t="str">
        <f>RawData!M550</f>
        <v>Instagram</v>
      </c>
      <c r="N550" s="7">
        <f>RawData!N550</f>
        <v>1278.3599999999999</v>
      </c>
    </row>
    <row r="551" spans="1:14" x14ac:dyDescent="0.3">
      <c r="A551" s="7" t="str">
        <f>RawData!A551</f>
        <v>ORD200549</v>
      </c>
      <c r="B551" s="11">
        <f>RawData!B551</f>
        <v>45713</v>
      </c>
      <c r="C551" s="7" t="str">
        <f>RawData!C551</f>
        <v>C34266</v>
      </c>
      <c r="D551" s="7" t="str">
        <f>RawData!D551</f>
        <v>Monitor</v>
      </c>
      <c r="E551" s="7">
        <f>RawData!E551</f>
        <v>4</v>
      </c>
      <c r="F551" s="7">
        <f>RawData!F551</f>
        <v>629.88</v>
      </c>
      <c r="G551" s="7" t="str">
        <f>RawData!G551</f>
        <v>550 Main St</v>
      </c>
      <c r="H551" s="7" t="str">
        <f>RawData!H551</f>
        <v>Debit Card</v>
      </c>
      <c r="I551" s="7" t="str">
        <f>RawData!I551</f>
        <v>Cancelled</v>
      </c>
      <c r="J551" s="7" t="str">
        <f>RawData!J551</f>
        <v>TRK56378197</v>
      </c>
      <c r="K551" s="7">
        <f>RawData!K551</f>
        <v>8</v>
      </c>
      <c r="L551" s="7" t="str">
        <f>IF(RawData!L551="","No Coupon",RawData!L551)</f>
        <v>WINTER15</v>
      </c>
      <c r="M551" s="7" t="str">
        <f>RawData!M551</f>
        <v>Instagram</v>
      </c>
      <c r="N551" s="7">
        <f>RawData!N551</f>
        <v>2519.52</v>
      </c>
    </row>
    <row r="552" spans="1:14" x14ac:dyDescent="0.3">
      <c r="A552" s="7" t="str">
        <f>RawData!A552</f>
        <v>ORD200550</v>
      </c>
      <c r="B552" s="11">
        <f>RawData!B552</f>
        <v>45228</v>
      </c>
      <c r="C552" s="7" t="str">
        <f>RawData!C552</f>
        <v>C97485</v>
      </c>
      <c r="D552" s="7" t="str">
        <f>RawData!D552</f>
        <v>Laptop</v>
      </c>
      <c r="E552" s="7">
        <f>RawData!E552</f>
        <v>4</v>
      </c>
      <c r="F552" s="7">
        <f>RawData!F552</f>
        <v>228.91</v>
      </c>
      <c r="G552" s="7" t="str">
        <f>RawData!G552</f>
        <v>573 Main St</v>
      </c>
      <c r="H552" s="7" t="str">
        <f>RawData!H552</f>
        <v>Cash</v>
      </c>
      <c r="I552" s="7" t="str">
        <f>RawData!I552</f>
        <v>Shipped</v>
      </c>
      <c r="J552" s="7" t="str">
        <f>RawData!J552</f>
        <v>TRK81794737</v>
      </c>
      <c r="K552" s="7">
        <f>RawData!K552</f>
        <v>4</v>
      </c>
      <c r="L552" s="7" t="str">
        <f>IF(RawData!L552="","No Coupon",RawData!L552)</f>
        <v>FREESHIP</v>
      </c>
      <c r="M552" s="7" t="str">
        <f>RawData!M552</f>
        <v>Google</v>
      </c>
      <c r="N552" s="7">
        <f>RawData!N552</f>
        <v>915.64</v>
      </c>
    </row>
    <row r="553" spans="1:14" x14ac:dyDescent="0.3">
      <c r="A553" s="7" t="str">
        <f>RawData!A553</f>
        <v>ORD200551</v>
      </c>
      <c r="B553" s="11">
        <f>RawData!B553</f>
        <v>45064</v>
      </c>
      <c r="C553" s="7" t="str">
        <f>RawData!C553</f>
        <v>C23947</v>
      </c>
      <c r="D553" s="7" t="str">
        <f>RawData!D553</f>
        <v>Laptop</v>
      </c>
      <c r="E553" s="7">
        <f>RawData!E553</f>
        <v>1</v>
      </c>
      <c r="F553" s="7">
        <f>RawData!F553</f>
        <v>120.98</v>
      </c>
      <c r="G553" s="7" t="str">
        <f>RawData!G553</f>
        <v>353 Main St</v>
      </c>
      <c r="H553" s="7" t="str">
        <f>RawData!H553</f>
        <v>Debit Card</v>
      </c>
      <c r="I553" s="7" t="str">
        <f>RawData!I553</f>
        <v>Delivered</v>
      </c>
      <c r="J553" s="7" t="str">
        <f>RawData!J553</f>
        <v>TRK74812710</v>
      </c>
      <c r="K553" s="7">
        <f>RawData!K553</f>
        <v>6</v>
      </c>
      <c r="L553" s="7" t="str">
        <f>IF(RawData!L553="","No Coupon",RawData!L553)</f>
        <v>WINTER15</v>
      </c>
      <c r="M553" s="7" t="str">
        <f>RawData!M553</f>
        <v>Email</v>
      </c>
      <c r="N553" s="7">
        <f>RawData!N553</f>
        <v>120.98</v>
      </c>
    </row>
    <row r="554" spans="1:14" x14ac:dyDescent="0.3">
      <c r="A554" s="7" t="str">
        <f>RawData!A554</f>
        <v>ORD200552</v>
      </c>
      <c r="B554" s="11">
        <f>RawData!B554</f>
        <v>45199</v>
      </c>
      <c r="C554" s="7" t="str">
        <f>RawData!C554</f>
        <v>C21665</v>
      </c>
      <c r="D554" s="7" t="str">
        <f>RawData!D554</f>
        <v>Chair</v>
      </c>
      <c r="E554" s="7">
        <f>RawData!E554</f>
        <v>4</v>
      </c>
      <c r="F554" s="7">
        <f>RawData!F554</f>
        <v>425.18</v>
      </c>
      <c r="G554" s="7" t="str">
        <f>RawData!G554</f>
        <v>560 Main St</v>
      </c>
      <c r="H554" s="7" t="str">
        <f>RawData!H554</f>
        <v>Online</v>
      </c>
      <c r="I554" s="7" t="str">
        <f>RawData!I554</f>
        <v>Returned</v>
      </c>
      <c r="J554" s="7" t="str">
        <f>RawData!J554</f>
        <v>TRK29890761</v>
      </c>
      <c r="K554" s="7">
        <f>RawData!K554</f>
        <v>8</v>
      </c>
      <c r="L554" s="7" t="str">
        <f>IF(RawData!L554="","No Coupon",RawData!L554)</f>
        <v>WINTER15</v>
      </c>
      <c r="M554" s="7" t="str">
        <f>RawData!M554</f>
        <v>Facebook</v>
      </c>
      <c r="N554" s="7">
        <f>RawData!N554</f>
        <v>1700.72</v>
      </c>
    </row>
    <row r="555" spans="1:14" x14ac:dyDescent="0.3">
      <c r="A555" s="7" t="str">
        <f>RawData!A555</f>
        <v>ORD200553</v>
      </c>
      <c r="B555" s="11">
        <f>RawData!B555</f>
        <v>45161</v>
      </c>
      <c r="C555" s="7" t="str">
        <f>RawData!C555</f>
        <v>C82550</v>
      </c>
      <c r="D555" s="7" t="str">
        <f>RawData!D555</f>
        <v>Phone</v>
      </c>
      <c r="E555" s="7">
        <f>RawData!E555</f>
        <v>2</v>
      </c>
      <c r="F555" s="7">
        <f>RawData!F555</f>
        <v>333.83</v>
      </c>
      <c r="G555" s="7" t="str">
        <f>RawData!G555</f>
        <v>828 Main St</v>
      </c>
      <c r="H555" s="7" t="str">
        <f>RawData!H555</f>
        <v>Gift Card</v>
      </c>
      <c r="I555" s="7" t="str">
        <f>RawData!I555</f>
        <v>Cancelled</v>
      </c>
      <c r="J555" s="7" t="str">
        <f>RawData!J555</f>
        <v>TRK74103758</v>
      </c>
      <c r="K555" s="7">
        <f>RawData!K555</f>
        <v>4</v>
      </c>
      <c r="L555" s="7" t="str">
        <f>IF(RawData!L555="","No Coupon",RawData!L555)</f>
        <v>FREESHIP</v>
      </c>
      <c r="M555" s="7" t="str">
        <f>RawData!M555</f>
        <v>Referral</v>
      </c>
      <c r="N555" s="7">
        <f>RawData!N555</f>
        <v>667.66</v>
      </c>
    </row>
    <row r="556" spans="1:14" x14ac:dyDescent="0.3">
      <c r="A556" s="7" t="str">
        <f>RawData!A556</f>
        <v>ORD200554</v>
      </c>
      <c r="B556" s="11">
        <f>RawData!B556</f>
        <v>45807</v>
      </c>
      <c r="C556" s="7" t="str">
        <f>RawData!C556</f>
        <v>C61943</v>
      </c>
      <c r="D556" s="7" t="str">
        <f>RawData!D556</f>
        <v>Laptop</v>
      </c>
      <c r="E556" s="7">
        <f>RawData!E556</f>
        <v>2</v>
      </c>
      <c r="F556" s="7">
        <f>RawData!F556</f>
        <v>492.9</v>
      </c>
      <c r="G556" s="7" t="str">
        <f>RawData!G556</f>
        <v>610 Main St</v>
      </c>
      <c r="H556" s="7" t="str">
        <f>RawData!H556</f>
        <v>Cash</v>
      </c>
      <c r="I556" s="7" t="str">
        <f>RawData!I556</f>
        <v>Returned</v>
      </c>
      <c r="J556" s="7" t="str">
        <f>RawData!J556</f>
        <v>TRK66126496</v>
      </c>
      <c r="K556" s="7">
        <f>RawData!K556</f>
        <v>5</v>
      </c>
      <c r="L556" s="7" t="str">
        <f>IF(RawData!L556="","No Coupon",RawData!L556)</f>
        <v>FREESHIP</v>
      </c>
      <c r="M556" s="7" t="str">
        <f>RawData!M556</f>
        <v>Instagram</v>
      </c>
      <c r="N556" s="7">
        <f>RawData!N556</f>
        <v>985.8</v>
      </c>
    </row>
    <row r="557" spans="1:14" x14ac:dyDescent="0.3">
      <c r="A557" s="7" t="str">
        <f>RawData!A557</f>
        <v>ORD200555</v>
      </c>
      <c r="B557" s="11">
        <f>RawData!B557</f>
        <v>44933</v>
      </c>
      <c r="C557" s="7" t="str">
        <f>RawData!C557</f>
        <v>C88933</v>
      </c>
      <c r="D557" s="7" t="str">
        <f>RawData!D557</f>
        <v>Tablet</v>
      </c>
      <c r="E557" s="7">
        <f>RawData!E557</f>
        <v>1</v>
      </c>
      <c r="F557" s="7">
        <f>RawData!F557</f>
        <v>92.04</v>
      </c>
      <c r="G557" s="7" t="str">
        <f>RawData!G557</f>
        <v>333 Main St</v>
      </c>
      <c r="H557" s="7" t="str">
        <f>RawData!H557</f>
        <v>Cash</v>
      </c>
      <c r="I557" s="7" t="str">
        <f>RawData!I557</f>
        <v>Shipped</v>
      </c>
      <c r="J557" s="7" t="str">
        <f>RawData!J557</f>
        <v>TRK89306964</v>
      </c>
      <c r="K557" s="7">
        <f>RawData!K557</f>
        <v>2</v>
      </c>
      <c r="L557" s="7" t="str">
        <f>IF(RawData!L557="","No Coupon",RawData!L557)</f>
        <v>No Coupon</v>
      </c>
      <c r="M557" s="7" t="str">
        <f>RawData!M557</f>
        <v>Facebook</v>
      </c>
      <c r="N557" s="7">
        <f>RawData!N557</f>
        <v>92.04</v>
      </c>
    </row>
    <row r="558" spans="1:14" x14ac:dyDescent="0.3">
      <c r="A558" s="7" t="str">
        <f>RawData!A558</f>
        <v>ORD200556</v>
      </c>
      <c r="B558" s="11">
        <f>RawData!B558</f>
        <v>44954</v>
      </c>
      <c r="C558" s="7" t="str">
        <f>RawData!C558</f>
        <v>C30923</v>
      </c>
      <c r="D558" s="7" t="str">
        <f>RawData!D558</f>
        <v>Laptop</v>
      </c>
      <c r="E558" s="7">
        <f>RawData!E558</f>
        <v>1</v>
      </c>
      <c r="F558" s="7">
        <f>RawData!F558</f>
        <v>654.27</v>
      </c>
      <c r="G558" s="7" t="str">
        <f>RawData!G558</f>
        <v>932 Main St</v>
      </c>
      <c r="H558" s="7" t="str">
        <f>RawData!H558</f>
        <v>Gift Card</v>
      </c>
      <c r="I558" s="7" t="str">
        <f>RawData!I558</f>
        <v>Pending</v>
      </c>
      <c r="J558" s="7" t="str">
        <f>RawData!J558</f>
        <v>TRK82609328</v>
      </c>
      <c r="K558" s="7">
        <f>RawData!K558</f>
        <v>2</v>
      </c>
      <c r="L558" s="7" t="str">
        <f>IF(RawData!L558="","No Coupon",RawData!L558)</f>
        <v>SAVE10</v>
      </c>
      <c r="M558" s="7" t="str">
        <f>RawData!M558</f>
        <v>Facebook</v>
      </c>
      <c r="N558" s="7">
        <f>RawData!N558</f>
        <v>654.27</v>
      </c>
    </row>
    <row r="559" spans="1:14" x14ac:dyDescent="0.3">
      <c r="A559" s="7" t="str">
        <f>RawData!A559</f>
        <v>ORD200557</v>
      </c>
      <c r="B559" s="11">
        <f>RawData!B559</f>
        <v>45106</v>
      </c>
      <c r="C559" s="7" t="str">
        <f>RawData!C559</f>
        <v>C56969</v>
      </c>
      <c r="D559" s="7" t="str">
        <f>RawData!D559</f>
        <v>Tablet</v>
      </c>
      <c r="E559" s="7">
        <f>RawData!E559</f>
        <v>1</v>
      </c>
      <c r="F559" s="7">
        <f>RawData!F559</f>
        <v>56.2</v>
      </c>
      <c r="G559" s="7" t="str">
        <f>RawData!G559</f>
        <v>130 Main St</v>
      </c>
      <c r="H559" s="7" t="str">
        <f>RawData!H559</f>
        <v>Debit Card</v>
      </c>
      <c r="I559" s="7" t="str">
        <f>RawData!I559</f>
        <v>Pending</v>
      </c>
      <c r="J559" s="7" t="str">
        <f>RawData!J559</f>
        <v>TRK40719215</v>
      </c>
      <c r="K559" s="7">
        <f>RawData!K559</f>
        <v>1</v>
      </c>
      <c r="L559" s="7" t="str">
        <f>IF(RawData!L559="","No Coupon",RawData!L559)</f>
        <v>WINTER15</v>
      </c>
      <c r="M559" s="7" t="str">
        <f>RawData!M559</f>
        <v>Facebook</v>
      </c>
      <c r="N559" s="7">
        <f>RawData!N559</f>
        <v>56.2</v>
      </c>
    </row>
    <row r="560" spans="1:14" x14ac:dyDescent="0.3">
      <c r="A560" s="7" t="str">
        <f>RawData!A560</f>
        <v>ORD200558</v>
      </c>
      <c r="B560" s="11">
        <f>RawData!B560</f>
        <v>45489</v>
      </c>
      <c r="C560" s="7" t="str">
        <f>RawData!C560</f>
        <v>C76766</v>
      </c>
      <c r="D560" s="7" t="str">
        <f>RawData!D560</f>
        <v>Phone</v>
      </c>
      <c r="E560" s="7">
        <f>RawData!E560</f>
        <v>4</v>
      </c>
      <c r="F560" s="7">
        <f>RawData!F560</f>
        <v>628.12</v>
      </c>
      <c r="G560" s="7" t="str">
        <f>RawData!G560</f>
        <v>485 Main St</v>
      </c>
      <c r="H560" s="7" t="str">
        <f>RawData!H560</f>
        <v>Online</v>
      </c>
      <c r="I560" s="7" t="str">
        <f>RawData!I560</f>
        <v>Delivered</v>
      </c>
      <c r="J560" s="7" t="str">
        <f>RawData!J560</f>
        <v>TRK32052962</v>
      </c>
      <c r="K560" s="7">
        <f>RawData!K560</f>
        <v>6</v>
      </c>
      <c r="L560" s="7" t="str">
        <f>IF(RawData!L560="","No Coupon",RawData!L560)</f>
        <v>WINTER15</v>
      </c>
      <c r="M560" s="7" t="str">
        <f>RawData!M560</f>
        <v>Instagram</v>
      </c>
      <c r="N560" s="7">
        <f>RawData!N560</f>
        <v>2512.48</v>
      </c>
    </row>
    <row r="561" spans="1:14" x14ac:dyDescent="0.3">
      <c r="A561" s="7" t="str">
        <f>RawData!A561</f>
        <v>ORD200559</v>
      </c>
      <c r="B561" s="11">
        <f>RawData!B561</f>
        <v>45397</v>
      </c>
      <c r="C561" s="7" t="str">
        <f>RawData!C561</f>
        <v>C22981</v>
      </c>
      <c r="D561" s="7" t="str">
        <f>RawData!D561</f>
        <v>Desk</v>
      </c>
      <c r="E561" s="7">
        <f>RawData!E561</f>
        <v>3</v>
      </c>
      <c r="F561" s="7">
        <f>RawData!F561</f>
        <v>157.4</v>
      </c>
      <c r="G561" s="7" t="str">
        <f>RawData!G561</f>
        <v>454 Main St</v>
      </c>
      <c r="H561" s="7" t="str">
        <f>RawData!H561</f>
        <v>Debit Card</v>
      </c>
      <c r="I561" s="7" t="str">
        <f>RawData!I561</f>
        <v>Cancelled</v>
      </c>
      <c r="J561" s="7" t="str">
        <f>RawData!J561</f>
        <v>TRK10115285</v>
      </c>
      <c r="K561" s="7">
        <f>RawData!K561</f>
        <v>7</v>
      </c>
      <c r="L561" s="7" t="str">
        <f>IF(RawData!L561="","No Coupon",RawData!L561)</f>
        <v>WINTER15</v>
      </c>
      <c r="M561" s="7" t="str">
        <f>RawData!M561</f>
        <v>Email</v>
      </c>
      <c r="N561" s="7">
        <f>RawData!N561</f>
        <v>472.2</v>
      </c>
    </row>
    <row r="562" spans="1:14" x14ac:dyDescent="0.3">
      <c r="A562" s="7" t="str">
        <f>RawData!A562</f>
        <v>ORD200560</v>
      </c>
      <c r="B562" s="11">
        <f>RawData!B562</f>
        <v>44957</v>
      </c>
      <c r="C562" s="7" t="str">
        <f>RawData!C562</f>
        <v>C33634</v>
      </c>
      <c r="D562" s="7" t="str">
        <f>RawData!D562</f>
        <v>Monitor</v>
      </c>
      <c r="E562" s="7">
        <f>RawData!E562</f>
        <v>4</v>
      </c>
      <c r="F562" s="7">
        <f>RawData!F562</f>
        <v>588.85</v>
      </c>
      <c r="G562" s="7" t="str">
        <f>RawData!G562</f>
        <v>524 Main St</v>
      </c>
      <c r="H562" s="7" t="str">
        <f>RawData!H562</f>
        <v>Gift Card</v>
      </c>
      <c r="I562" s="7" t="str">
        <f>RawData!I562</f>
        <v>Pending</v>
      </c>
      <c r="J562" s="7" t="str">
        <f>RawData!J562</f>
        <v>TRK93168008</v>
      </c>
      <c r="K562" s="7">
        <f>RawData!K562</f>
        <v>7</v>
      </c>
      <c r="L562" s="7" t="str">
        <f>IF(RawData!L562="","No Coupon",RawData!L562)</f>
        <v>No Coupon</v>
      </c>
      <c r="M562" s="7" t="str">
        <f>RawData!M562</f>
        <v>Email</v>
      </c>
      <c r="N562" s="7">
        <f>RawData!N562</f>
        <v>2355.4</v>
      </c>
    </row>
    <row r="563" spans="1:14" x14ac:dyDescent="0.3">
      <c r="A563" s="7" t="str">
        <f>RawData!A563</f>
        <v>ORD200561</v>
      </c>
      <c r="B563" s="11">
        <f>RawData!B563</f>
        <v>44957</v>
      </c>
      <c r="C563" s="7" t="str">
        <f>RawData!C563</f>
        <v>C96822</v>
      </c>
      <c r="D563" s="7" t="str">
        <f>RawData!D563</f>
        <v>Printer</v>
      </c>
      <c r="E563" s="7">
        <f>RawData!E563</f>
        <v>2</v>
      </c>
      <c r="F563" s="7">
        <f>RawData!F563</f>
        <v>494.78</v>
      </c>
      <c r="G563" s="7" t="str">
        <f>RawData!G563</f>
        <v>198 Main St</v>
      </c>
      <c r="H563" s="7" t="str">
        <f>RawData!H563</f>
        <v>Online</v>
      </c>
      <c r="I563" s="7" t="str">
        <f>RawData!I563</f>
        <v>Shipped</v>
      </c>
      <c r="J563" s="7" t="str">
        <f>RawData!J563</f>
        <v>TRK89180077</v>
      </c>
      <c r="K563" s="7">
        <f>RawData!K563</f>
        <v>2</v>
      </c>
      <c r="L563" s="7" t="str">
        <f>IF(RawData!L563="","No Coupon",RawData!L563)</f>
        <v>No Coupon</v>
      </c>
      <c r="M563" s="7" t="str">
        <f>RawData!M563</f>
        <v>Google</v>
      </c>
      <c r="N563" s="7">
        <f>RawData!N563</f>
        <v>989.56</v>
      </c>
    </row>
    <row r="564" spans="1:14" x14ac:dyDescent="0.3">
      <c r="A564" s="7" t="str">
        <f>RawData!A564</f>
        <v>ORD200562</v>
      </c>
      <c r="B564" s="11">
        <f>RawData!B564</f>
        <v>45205</v>
      </c>
      <c r="C564" s="7" t="str">
        <f>RawData!C564</f>
        <v>C76675</v>
      </c>
      <c r="D564" s="7" t="str">
        <f>RawData!D564</f>
        <v>Laptop</v>
      </c>
      <c r="E564" s="7">
        <f>RawData!E564</f>
        <v>3</v>
      </c>
      <c r="F564" s="7">
        <f>RawData!F564</f>
        <v>663.93</v>
      </c>
      <c r="G564" s="7" t="str">
        <f>RawData!G564</f>
        <v>922 Main St</v>
      </c>
      <c r="H564" s="7" t="str">
        <f>RawData!H564</f>
        <v>Gift Card</v>
      </c>
      <c r="I564" s="7" t="str">
        <f>RawData!I564</f>
        <v>Returned</v>
      </c>
      <c r="J564" s="7" t="str">
        <f>RawData!J564</f>
        <v>TRK28043915</v>
      </c>
      <c r="K564" s="7">
        <f>RawData!K564</f>
        <v>6</v>
      </c>
      <c r="L564" s="7" t="str">
        <f>IF(RawData!L564="","No Coupon",RawData!L564)</f>
        <v>FREESHIP</v>
      </c>
      <c r="M564" s="7" t="str">
        <f>RawData!M564</f>
        <v>Email</v>
      </c>
      <c r="N564" s="7">
        <f>RawData!N564</f>
        <v>1991.79</v>
      </c>
    </row>
    <row r="565" spans="1:14" x14ac:dyDescent="0.3">
      <c r="A565" s="7" t="str">
        <f>RawData!A565</f>
        <v>ORD200563</v>
      </c>
      <c r="B565" s="11">
        <f>RawData!B565</f>
        <v>45272</v>
      </c>
      <c r="C565" s="7" t="str">
        <f>RawData!C565</f>
        <v>C12039</v>
      </c>
      <c r="D565" s="7" t="str">
        <f>RawData!D565</f>
        <v>Laptop</v>
      </c>
      <c r="E565" s="7">
        <f>RawData!E565</f>
        <v>1</v>
      </c>
      <c r="F565" s="7">
        <f>RawData!F565</f>
        <v>132.68</v>
      </c>
      <c r="G565" s="7" t="str">
        <f>RawData!G565</f>
        <v>844 Main St</v>
      </c>
      <c r="H565" s="7" t="str">
        <f>RawData!H565</f>
        <v>Debit Card</v>
      </c>
      <c r="I565" s="7" t="str">
        <f>RawData!I565</f>
        <v>Returned</v>
      </c>
      <c r="J565" s="7" t="str">
        <f>RawData!J565</f>
        <v>TRK68645763</v>
      </c>
      <c r="K565" s="7">
        <f>RawData!K565</f>
        <v>1</v>
      </c>
      <c r="L565" s="7" t="str">
        <f>IF(RawData!L565="","No Coupon",RawData!L565)</f>
        <v>SAVE10</v>
      </c>
      <c r="M565" s="7" t="str">
        <f>RawData!M565</f>
        <v>Referral</v>
      </c>
      <c r="N565" s="7">
        <f>RawData!N565</f>
        <v>132.68</v>
      </c>
    </row>
    <row r="566" spans="1:14" x14ac:dyDescent="0.3">
      <c r="A566" s="7" t="str">
        <f>RawData!A566</f>
        <v>ORD200564</v>
      </c>
      <c r="B566" s="11">
        <f>RawData!B566</f>
        <v>45755</v>
      </c>
      <c r="C566" s="7" t="str">
        <f>RawData!C566</f>
        <v>C93309</v>
      </c>
      <c r="D566" s="7" t="str">
        <f>RawData!D566</f>
        <v>Desk</v>
      </c>
      <c r="E566" s="7">
        <f>RawData!E566</f>
        <v>5</v>
      </c>
      <c r="F566" s="7">
        <f>RawData!F566</f>
        <v>364.28</v>
      </c>
      <c r="G566" s="7" t="str">
        <f>RawData!G566</f>
        <v>734 Main St</v>
      </c>
      <c r="H566" s="7" t="str">
        <f>RawData!H566</f>
        <v>Credit Card</v>
      </c>
      <c r="I566" s="7" t="str">
        <f>RawData!I566</f>
        <v>Cancelled</v>
      </c>
      <c r="J566" s="7" t="str">
        <f>RawData!J566</f>
        <v>TRK99446987</v>
      </c>
      <c r="K566" s="7">
        <f>RawData!K566</f>
        <v>5</v>
      </c>
      <c r="L566" s="7" t="str">
        <f>IF(RawData!L566="","No Coupon",RawData!L566)</f>
        <v>WINTER15</v>
      </c>
      <c r="M566" s="7" t="str">
        <f>RawData!M566</f>
        <v>Google</v>
      </c>
      <c r="N566" s="7">
        <f>RawData!N566</f>
        <v>1821.4</v>
      </c>
    </row>
    <row r="567" spans="1:14" x14ac:dyDescent="0.3">
      <c r="A567" s="7" t="str">
        <f>RawData!A567</f>
        <v>ORD200565</v>
      </c>
      <c r="B567" s="11">
        <f>RawData!B567</f>
        <v>45060</v>
      </c>
      <c r="C567" s="7" t="str">
        <f>RawData!C567</f>
        <v>C62042</v>
      </c>
      <c r="D567" s="7" t="str">
        <f>RawData!D567</f>
        <v>Tablet</v>
      </c>
      <c r="E567" s="7">
        <f>RawData!E567</f>
        <v>5</v>
      </c>
      <c r="F567" s="7">
        <f>RawData!F567</f>
        <v>307.98</v>
      </c>
      <c r="G567" s="7" t="str">
        <f>RawData!G567</f>
        <v>214 Main St</v>
      </c>
      <c r="H567" s="7" t="str">
        <f>RawData!H567</f>
        <v>Online</v>
      </c>
      <c r="I567" s="7" t="str">
        <f>RawData!I567</f>
        <v>Pending</v>
      </c>
      <c r="J567" s="7" t="str">
        <f>RawData!J567</f>
        <v>TRK42605492</v>
      </c>
      <c r="K567" s="7">
        <f>RawData!K567</f>
        <v>10</v>
      </c>
      <c r="L567" s="7" t="str">
        <f>IF(RawData!L567="","No Coupon",RawData!L567)</f>
        <v>No Coupon</v>
      </c>
      <c r="M567" s="7" t="str">
        <f>RawData!M567</f>
        <v>Facebook</v>
      </c>
      <c r="N567" s="7">
        <f>RawData!N567</f>
        <v>1539.9</v>
      </c>
    </row>
    <row r="568" spans="1:14" x14ac:dyDescent="0.3">
      <c r="A568" s="7" t="str">
        <f>RawData!A568</f>
        <v>ORD200566</v>
      </c>
      <c r="B568" s="11">
        <f>RawData!B568</f>
        <v>45400</v>
      </c>
      <c r="C568" s="7" t="str">
        <f>RawData!C568</f>
        <v>C83223</v>
      </c>
      <c r="D568" s="7" t="str">
        <f>RawData!D568</f>
        <v>Phone</v>
      </c>
      <c r="E568" s="7">
        <f>RawData!E568</f>
        <v>4</v>
      </c>
      <c r="F568" s="7">
        <f>RawData!F568</f>
        <v>162.71</v>
      </c>
      <c r="G568" s="7" t="str">
        <f>RawData!G568</f>
        <v>167 Main St</v>
      </c>
      <c r="H568" s="7" t="str">
        <f>RawData!H568</f>
        <v>Cash</v>
      </c>
      <c r="I568" s="7" t="str">
        <f>RawData!I568</f>
        <v>Cancelled</v>
      </c>
      <c r="J568" s="7" t="str">
        <f>RawData!J568</f>
        <v>TRK54339083</v>
      </c>
      <c r="K568" s="7">
        <f>RawData!K568</f>
        <v>7</v>
      </c>
      <c r="L568" s="7" t="str">
        <f>IF(RawData!L568="","No Coupon",RawData!L568)</f>
        <v>FREESHIP</v>
      </c>
      <c r="M568" s="7" t="str">
        <f>RawData!M568</f>
        <v>Email</v>
      </c>
      <c r="N568" s="7">
        <f>RawData!N568</f>
        <v>650.84</v>
      </c>
    </row>
    <row r="569" spans="1:14" x14ac:dyDescent="0.3">
      <c r="A569" s="7" t="str">
        <f>RawData!A569</f>
        <v>ORD200567</v>
      </c>
      <c r="B569" s="11">
        <f>RawData!B569</f>
        <v>45565</v>
      </c>
      <c r="C569" s="7" t="str">
        <f>RawData!C569</f>
        <v>C92575</v>
      </c>
      <c r="D569" s="7" t="str">
        <f>RawData!D569</f>
        <v>Chair</v>
      </c>
      <c r="E569" s="7">
        <f>RawData!E569</f>
        <v>5</v>
      </c>
      <c r="F569" s="7">
        <f>RawData!F569</f>
        <v>492.94</v>
      </c>
      <c r="G569" s="7" t="str">
        <f>RawData!G569</f>
        <v>153 Main St</v>
      </c>
      <c r="H569" s="7" t="str">
        <f>RawData!H569</f>
        <v>Cash</v>
      </c>
      <c r="I569" s="7" t="str">
        <f>RawData!I569</f>
        <v>Shipped</v>
      </c>
      <c r="J569" s="7" t="str">
        <f>RawData!J569</f>
        <v>TRK53579227</v>
      </c>
      <c r="K569" s="7">
        <f>RawData!K569</f>
        <v>10</v>
      </c>
      <c r="L569" s="7" t="str">
        <f>IF(RawData!L569="","No Coupon",RawData!L569)</f>
        <v>FREESHIP</v>
      </c>
      <c r="M569" s="7" t="str">
        <f>RawData!M569</f>
        <v>Email</v>
      </c>
      <c r="N569" s="7">
        <f>RawData!N569</f>
        <v>2464.6999999999998</v>
      </c>
    </row>
    <row r="570" spans="1:14" x14ac:dyDescent="0.3">
      <c r="A570" s="7" t="str">
        <f>RawData!A570</f>
        <v>ORD200568</v>
      </c>
      <c r="B570" s="11">
        <f>RawData!B570</f>
        <v>44995</v>
      </c>
      <c r="C570" s="7" t="str">
        <f>RawData!C570</f>
        <v>C29072</v>
      </c>
      <c r="D570" s="7" t="str">
        <f>RawData!D570</f>
        <v>Laptop</v>
      </c>
      <c r="E570" s="7">
        <f>RawData!E570</f>
        <v>2</v>
      </c>
      <c r="F570" s="7">
        <f>RawData!F570</f>
        <v>343.99</v>
      </c>
      <c r="G570" s="7" t="str">
        <f>RawData!G570</f>
        <v>312 Main St</v>
      </c>
      <c r="H570" s="7" t="str">
        <f>RawData!H570</f>
        <v>Online</v>
      </c>
      <c r="I570" s="7" t="str">
        <f>RawData!I570</f>
        <v>Delivered</v>
      </c>
      <c r="J570" s="7" t="str">
        <f>RawData!J570</f>
        <v>TRK72334047</v>
      </c>
      <c r="K570" s="7">
        <f>RawData!K570</f>
        <v>4</v>
      </c>
      <c r="L570" s="7" t="str">
        <f>IF(RawData!L570="","No Coupon",RawData!L570)</f>
        <v>No Coupon</v>
      </c>
      <c r="M570" s="7" t="str">
        <f>RawData!M570</f>
        <v>Google</v>
      </c>
      <c r="N570" s="7">
        <f>RawData!N570</f>
        <v>687.98</v>
      </c>
    </row>
    <row r="571" spans="1:14" x14ac:dyDescent="0.3">
      <c r="A571" s="7" t="str">
        <f>RawData!A571</f>
        <v>ORD200569</v>
      </c>
      <c r="B571" s="11">
        <f>RawData!B571</f>
        <v>45738</v>
      </c>
      <c r="C571" s="7" t="str">
        <f>RawData!C571</f>
        <v>C25783</v>
      </c>
      <c r="D571" s="7" t="str">
        <f>RawData!D571</f>
        <v>Desk</v>
      </c>
      <c r="E571" s="7">
        <f>RawData!E571</f>
        <v>5</v>
      </c>
      <c r="F571" s="7">
        <f>RawData!F571</f>
        <v>250.68</v>
      </c>
      <c r="G571" s="7" t="str">
        <f>RawData!G571</f>
        <v>672 Main St</v>
      </c>
      <c r="H571" s="7" t="str">
        <f>RawData!H571</f>
        <v>Cash</v>
      </c>
      <c r="I571" s="7" t="str">
        <f>RawData!I571</f>
        <v>Shipped</v>
      </c>
      <c r="J571" s="7" t="str">
        <f>RawData!J571</f>
        <v>TRK13289741</v>
      </c>
      <c r="K571" s="7">
        <f>RawData!K571</f>
        <v>8</v>
      </c>
      <c r="L571" s="7" t="str">
        <f>IF(RawData!L571="","No Coupon",RawData!L571)</f>
        <v>SAVE10</v>
      </c>
      <c r="M571" s="7" t="str">
        <f>RawData!M571</f>
        <v>Instagram</v>
      </c>
      <c r="N571" s="7">
        <f>RawData!N571</f>
        <v>1253.4000000000001</v>
      </c>
    </row>
    <row r="572" spans="1:14" x14ac:dyDescent="0.3">
      <c r="A572" s="7" t="str">
        <f>RawData!A572</f>
        <v>ORD200570</v>
      </c>
      <c r="B572" s="11">
        <f>RawData!B572</f>
        <v>45653</v>
      </c>
      <c r="C572" s="7" t="str">
        <f>RawData!C572</f>
        <v>C63727</v>
      </c>
      <c r="D572" s="7" t="str">
        <f>RawData!D572</f>
        <v>Desk</v>
      </c>
      <c r="E572" s="7">
        <f>RawData!E572</f>
        <v>2</v>
      </c>
      <c r="F572" s="7">
        <f>RawData!F572</f>
        <v>362.14</v>
      </c>
      <c r="G572" s="7" t="str">
        <f>RawData!G572</f>
        <v>122 Main St</v>
      </c>
      <c r="H572" s="7" t="str">
        <f>RawData!H572</f>
        <v>Debit Card</v>
      </c>
      <c r="I572" s="7" t="str">
        <f>RawData!I572</f>
        <v>Pending</v>
      </c>
      <c r="J572" s="7" t="str">
        <f>RawData!J572</f>
        <v>TRK13611021</v>
      </c>
      <c r="K572" s="7">
        <f>RawData!K572</f>
        <v>2</v>
      </c>
      <c r="L572" s="7" t="str">
        <f>IF(RawData!L572="","No Coupon",RawData!L572)</f>
        <v>SAVE10</v>
      </c>
      <c r="M572" s="7" t="str">
        <f>RawData!M572</f>
        <v>Instagram</v>
      </c>
      <c r="N572" s="7">
        <f>RawData!N572</f>
        <v>724.28</v>
      </c>
    </row>
    <row r="573" spans="1:14" x14ac:dyDescent="0.3">
      <c r="A573" s="7" t="str">
        <f>RawData!A573</f>
        <v>ORD200571</v>
      </c>
      <c r="B573" s="11">
        <f>RawData!B573</f>
        <v>45619</v>
      </c>
      <c r="C573" s="7" t="str">
        <f>RawData!C573</f>
        <v>C42365</v>
      </c>
      <c r="D573" s="7" t="str">
        <f>RawData!D573</f>
        <v>Tablet</v>
      </c>
      <c r="E573" s="7">
        <f>RawData!E573</f>
        <v>1</v>
      </c>
      <c r="F573" s="7">
        <f>RawData!F573</f>
        <v>214.08</v>
      </c>
      <c r="G573" s="7" t="str">
        <f>RawData!G573</f>
        <v>867 Main St</v>
      </c>
      <c r="H573" s="7" t="str">
        <f>RawData!H573</f>
        <v>Gift Card</v>
      </c>
      <c r="I573" s="7" t="str">
        <f>RawData!I573</f>
        <v>Returned</v>
      </c>
      <c r="J573" s="7" t="str">
        <f>RawData!J573</f>
        <v>TRK39563288</v>
      </c>
      <c r="K573" s="7">
        <f>RawData!K573</f>
        <v>2</v>
      </c>
      <c r="L573" s="7" t="str">
        <f>IF(RawData!L573="","No Coupon",RawData!L573)</f>
        <v>WINTER15</v>
      </c>
      <c r="M573" s="7" t="str">
        <f>RawData!M573</f>
        <v>Google</v>
      </c>
      <c r="N573" s="7">
        <f>RawData!N573</f>
        <v>214.08</v>
      </c>
    </row>
    <row r="574" spans="1:14" x14ac:dyDescent="0.3">
      <c r="A574" s="7" t="str">
        <f>RawData!A574</f>
        <v>ORD200572</v>
      </c>
      <c r="B574" s="11">
        <f>RawData!B574</f>
        <v>45241</v>
      </c>
      <c r="C574" s="7" t="str">
        <f>RawData!C574</f>
        <v>C27438</v>
      </c>
      <c r="D574" s="7" t="str">
        <f>RawData!D574</f>
        <v>Printer</v>
      </c>
      <c r="E574" s="7">
        <f>RawData!E574</f>
        <v>1</v>
      </c>
      <c r="F574" s="7">
        <f>RawData!F574</f>
        <v>70.319999999999993</v>
      </c>
      <c r="G574" s="7" t="str">
        <f>RawData!G574</f>
        <v>341 Main St</v>
      </c>
      <c r="H574" s="7" t="str">
        <f>RawData!H574</f>
        <v>Cash</v>
      </c>
      <c r="I574" s="7" t="str">
        <f>RawData!I574</f>
        <v>Returned</v>
      </c>
      <c r="J574" s="7" t="str">
        <f>RawData!J574</f>
        <v>TRK69125497</v>
      </c>
      <c r="K574" s="7">
        <f>RawData!K574</f>
        <v>4</v>
      </c>
      <c r="L574" s="7" t="str">
        <f>IF(RawData!L574="","No Coupon",RawData!L574)</f>
        <v>WINTER15</v>
      </c>
      <c r="M574" s="7" t="str">
        <f>RawData!M574</f>
        <v>Facebook</v>
      </c>
      <c r="N574" s="7">
        <f>RawData!N574</f>
        <v>70.319999999999993</v>
      </c>
    </row>
    <row r="575" spans="1:14" x14ac:dyDescent="0.3">
      <c r="A575" s="7" t="str">
        <f>RawData!A575</f>
        <v>ORD200573</v>
      </c>
      <c r="B575" s="11">
        <f>RawData!B575</f>
        <v>44951</v>
      </c>
      <c r="C575" s="7" t="str">
        <f>RawData!C575</f>
        <v>C13205</v>
      </c>
      <c r="D575" s="7" t="str">
        <f>RawData!D575</f>
        <v>Chair</v>
      </c>
      <c r="E575" s="7">
        <f>RawData!E575</f>
        <v>5</v>
      </c>
      <c r="F575" s="7">
        <f>RawData!F575</f>
        <v>421.42</v>
      </c>
      <c r="G575" s="7" t="str">
        <f>RawData!G575</f>
        <v>522 Main St</v>
      </c>
      <c r="H575" s="7" t="str">
        <f>RawData!H575</f>
        <v>Debit Card</v>
      </c>
      <c r="I575" s="7" t="str">
        <f>RawData!I575</f>
        <v>Cancelled</v>
      </c>
      <c r="J575" s="7" t="str">
        <f>RawData!J575</f>
        <v>TRK30686578</v>
      </c>
      <c r="K575" s="7">
        <f>RawData!K575</f>
        <v>7</v>
      </c>
      <c r="L575" s="7" t="str">
        <f>IF(RawData!L575="","No Coupon",RawData!L575)</f>
        <v>No Coupon</v>
      </c>
      <c r="M575" s="7" t="str">
        <f>RawData!M575</f>
        <v>Instagram</v>
      </c>
      <c r="N575" s="7">
        <f>RawData!N575</f>
        <v>2107.1</v>
      </c>
    </row>
    <row r="576" spans="1:14" x14ac:dyDescent="0.3">
      <c r="A576" s="7" t="str">
        <f>RawData!A576</f>
        <v>ORD200574</v>
      </c>
      <c r="B576" s="11">
        <f>RawData!B576</f>
        <v>45315</v>
      </c>
      <c r="C576" s="7" t="str">
        <f>RawData!C576</f>
        <v>C29685</v>
      </c>
      <c r="D576" s="7" t="str">
        <f>RawData!D576</f>
        <v>Chair</v>
      </c>
      <c r="E576" s="7">
        <f>RawData!E576</f>
        <v>5</v>
      </c>
      <c r="F576" s="7">
        <f>RawData!F576</f>
        <v>384.69</v>
      </c>
      <c r="G576" s="7" t="str">
        <f>RawData!G576</f>
        <v>275 Main St</v>
      </c>
      <c r="H576" s="7" t="str">
        <f>RawData!H576</f>
        <v>Credit Card</v>
      </c>
      <c r="I576" s="7" t="str">
        <f>RawData!I576</f>
        <v>Pending</v>
      </c>
      <c r="J576" s="7" t="str">
        <f>RawData!J576</f>
        <v>TRK97733212</v>
      </c>
      <c r="K576" s="7">
        <f>RawData!K576</f>
        <v>6</v>
      </c>
      <c r="L576" s="7" t="str">
        <f>IF(RawData!L576="","No Coupon",RawData!L576)</f>
        <v>FREESHIP</v>
      </c>
      <c r="M576" s="7" t="str">
        <f>RawData!M576</f>
        <v>Email</v>
      </c>
      <c r="N576" s="7">
        <f>RawData!N576</f>
        <v>1923.45</v>
      </c>
    </row>
    <row r="577" spans="1:14" x14ac:dyDescent="0.3">
      <c r="A577" s="7" t="str">
        <f>RawData!A577</f>
        <v>ORD200575</v>
      </c>
      <c r="B577" s="11">
        <f>RawData!B577</f>
        <v>45084</v>
      </c>
      <c r="C577" s="7" t="str">
        <f>RawData!C577</f>
        <v>C74005</v>
      </c>
      <c r="D577" s="7" t="str">
        <f>RawData!D577</f>
        <v>Chair</v>
      </c>
      <c r="E577" s="7">
        <f>RawData!E577</f>
        <v>5</v>
      </c>
      <c r="F577" s="7">
        <f>RawData!F577</f>
        <v>448.15</v>
      </c>
      <c r="G577" s="7" t="str">
        <f>RawData!G577</f>
        <v>528 Main St</v>
      </c>
      <c r="H577" s="7" t="str">
        <f>RawData!H577</f>
        <v>Gift Card</v>
      </c>
      <c r="I577" s="7" t="str">
        <f>RawData!I577</f>
        <v>Returned</v>
      </c>
      <c r="J577" s="7" t="str">
        <f>RawData!J577</f>
        <v>TRK61640534</v>
      </c>
      <c r="K577" s="7">
        <f>RawData!K577</f>
        <v>7</v>
      </c>
      <c r="L577" s="7" t="str">
        <f>IF(RawData!L577="","No Coupon",RawData!L577)</f>
        <v>SAVE10</v>
      </c>
      <c r="M577" s="7" t="str">
        <f>RawData!M577</f>
        <v>Google</v>
      </c>
      <c r="N577" s="7">
        <f>RawData!N577</f>
        <v>2240.75</v>
      </c>
    </row>
    <row r="578" spans="1:14" x14ac:dyDescent="0.3">
      <c r="A578" s="7" t="str">
        <f>RawData!A578</f>
        <v>ORD200576</v>
      </c>
      <c r="B578" s="11">
        <f>RawData!B578</f>
        <v>45441</v>
      </c>
      <c r="C578" s="7" t="str">
        <f>RawData!C578</f>
        <v>C14457</v>
      </c>
      <c r="D578" s="7" t="str">
        <f>RawData!D578</f>
        <v>Laptop</v>
      </c>
      <c r="E578" s="7">
        <f>RawData!E578</f>
        <v>5</v>
      </c>
      <c r="F578" s="7">
        <f>RawData!F578</f>
        <v>79.08</v>
      </c>
      <c r="G578" s="7" t="str">
        <f>RawData!G578</f>
        <v>747 Main St</v>
      </c>
      <c r="H578" s="7" t="str">
        <f>RawData!H578</f>
        <v>Cash</v>
      </c>
      <c r="I578" s="7" t="str">
        <f>RawData!I578</f>
        <v>Pending</v>
      </c>
      <c r="J578" s="7" t="str">
        <f>RawData!J578</f>
        <v>TRK42517811</v>
      </c>
      <c r="K578" s="7">
        <f>RawData!K578</f>
        <v>8</v>
      </c>
      <c r="L578" s="7" t="str">
        <f>IF(RawData!L578="","No Coupon",RawData!L578)</f>
        <v>No Coupon</v>
      </c>
      <c r="M578" s="7" t="str">
        <f>RawData!M578</f>
        <v>Facebook</v>
      </c>
      <c r="N578" s="7">
        <f>RawData!N578</f>
        <v>395.4</v>
      </c>
    </row>
    <row r="579" spans="1:14" x14ac:dyDescent="0.3">
      <c r="A579" s="7" t="str">
        <f>RawData!A579</f>
        <v>ORD200577</v>
      </c>
      <c r="B579" s="11">
        <f>RawData!B579</f>
        <v>44948</v>
      </c>
      <c r="C579" s="7" t="str">
        <f>RawData!C579</f>
        <v>C77046</v>
      </c>
      <c r="D579" s="7" t="str">
        <f>RawData!D579</f>
        <v>Tablet</v>
      </c>
      <c r="E579" s="7">
        <f>RawData!E579</f>
        <v>4</v>
      </c>
      <c r="F579" s="7">
        <f>RawData!F579</f>
        <v>185.41</v>
      </c>
      <c r="G579" s="7" t="str">
        <f>RawData!G579</f>
        <v>967 Main St</v>
      </c>
      <c r="H579" s="7" t="str">
        <f>RawData!H579</f>
        <v>Online</v>
      </c>
      <c r="I579" s="7" t="str">
        <f>RawData!I579</f>
        <v>Returned</v>
      </c>
      <c r="J579" s="7" t="str">
        <f>RawData!J579</f>
        <v>TRK44401497</v>
      </c>
      <c r="K579" s="7">
        <f>RawData!K579</f>
        <v>9</v>
      </c>
      <c r="L579" s="7" t="str">
        <f>IF(RawData!L579="","No Coupon",RawData!L579)</f>
        <v>WINTER15</v>
      </c>
      <c r="M579" s="7" t="str">
        <f>RawData!M579</f>
        <v>Google</v>
      </c>
      <c r="N579" s="7">
        <f>RawData!N579</f>
        <v>741.64</v>
      </c>
    </row>
    <row r="580" spans="1:14" x14ac:dyDescent="0.3">
      <c r="A580" s="7" t="str">
        <f>RawData!A580</f>
        <v>ORD200578</v>
      </c>
      <c r="B580" s="11">
        <f>RawData!B580</f>
        <v>45575</v>
      </c>
      <c r="C580" s="7" t="str">
        <f>RawData!C580</f>
        <v>C50415</v>
      </c>
      <c r="D580" s="7" t="str">
        <f>RawData!D580</f>
        <v>Monitor</v>
      </c>
      <c r="E580" s="7">
        <f>RawData!E580</f>
        <v>5</v>
      </c>
      <c r="F580" s="7">
        <f>RawData!F580</f>
        <v>566.07000000000005</v>
      </c>
      <c r="G580" s="7" t="str">
        <f>RawData!G580</f>
        <v>587 Main St</v>
      </c>
      <c r="H580" s="7" t="str">
        <f>RawData!H580</f>
        <v>Credit Card</v>
      </c>
      <c r="I580" s="7" t="str">
        <f>RawData!I580</f>
        <v>Delivered</v>
      </c>
      <c r="J580" s="7" t="str">
        <f>RawData!J580</f>
        <v>TRK41345634</v>
      </c>
      <c r="K580" s="7">
        <f>RawData!K580</f>
        <v>6</v>
      </c>
      <c r="L580" s="7" t="str">
        <f>IF(RawData!L580="","No Coupon",RawData!L580)</f>
        <v>SAVE10</v>
      </c>
      <c r="M580" s="7" t="str">
        <f>RawData!M580</f>
        <v>Instagram</v>
      </c>
      <c r="N580" s="7">
        <f>RawData!N580</f>
        <v>2830.35</v>
      </c>
    </row>
    <row r="581" spans="1:14" x14ac:dyDescent="0.3">
      <c r="A581" s="7" t="str">
        <f>RawData!A581</f>
        <v>ORD200579</v>
      </c>
      <c r="B581" s="11">
        <f>RawData!B581</f>
        <v>45081</v>
      </c>
      <c r="C581" s="7" t="str">
        <f>RawData!C581</f>
        <v>C73999</v>
      </c>
      <c r="D581" s="7" t="str">
        <f>RawData!D581</f>
        <v>Tablet</v>
      </c>
      <c r="E581" s="7">
        <f>RawData!E581</f>
        <v>2</v>
      </c>
      <c r="F581" s="7">
        <f>RawData!F581</f>
        <v>187.88</v>
      </c>
      <c r="G581" s="7" t="str">
        <f>RawData!G581</f>
        <v>413 Main St</v>
      </c>
      <c r="H581" s="7" t="str">
        <f>RawData!H581</f>
        <v>Online</v>
      </c>
      <c r="I581" s="7" t="str">
        <f>RawData!I581</f>
        <v>Shipped</v>
      </c>
      <c r="J581" s="7" t="str">
        <f>RawData!J581</f>
        <v>TRK67919507</v>
      </c>
      <c r="K581" s="7">
        <f>RawData!K581</f>
        <v>4</v>
      </c>
      <c r="L581" s="7" t="str">
        <f>IF(RawData!L581="","No Coupon",RawData!L581)</f>
        <v>WINTER15</v>
      </c>
      <c r="M581" s="7" t="str">
        <f>RawData!M581</f>
        <v>Facebook</v>
      </c>
      <c r="N581" s="7">
        <f>RawData!N581</f>
        <v>375.76</v>
      </c>
    </row>
    <row r="582" spans="1:14" x14ac:dyDescent="0.3">
      <c r="A582" s="7" t="str">
        <f>RawData!A582</f>
        <v>ORD200580</v>
      </c>
      <c r="B582" s="11">
        <f>RawData!B582</f>
        <v>45244</v>
      </c>
      <c r="C582" s="7" t="str">
        <f>RawData!C582</f>
        <v>C71076</v>
      </c>
      <c r="D582" s="7" t="str">
        <f>RawData!D582</f>
        <v>Monitor</v>
      </c>
      <c r="E582" s="7">
        <f>RawData!E582</f>
        <v>2</v>
      </c>
      <c r="F582" s="7">
        <f>RawData!F582</f>
        <v>255.99</v>
      </c>
      <c r="G582" s="7" t="str">
        <f>RawData!G582</f>
        <v>340 Main St</v>
      </c>
      <c r="H582" s="7" t="str">
        <f>RawData!H582</f>
        <v>Credit Card</v>
      </c>
      <c r="I582" s="7" t="str">
        <f>RawData!I582</f>
        <v>Delivered</v>
      </c>
      <c r="J582" s="7" t="str">
        <f>RawData!J582</f>
        <v>TRK65148292</v>
      </c>
      <c r="K582" s="7">
        <f>RawData!K582</f>
        <v>4</v>
      </c>
      <c r="L582" s="7" t="str">
        <f>IF(RawData!L582="","No Coupon",RawData!L582)</f>
        <v>SAVE10</v>
      </c>
      <c r="M582" s="7" t="str">
        <f>RawData!M582</f>
        <v>Instagram</v>
      </c>
      <c r="N582" s="7">
        <f>RawData!N582</f>
        <v>511.98</v>
      </c>
    </row>
    <row r="583" spans="1:14" x14ac:dyDescent="0.3">
      <c r="A583" s="7" t="str">
        <f>RawData!A583</f>
        <v>ORD200581</v>
      </c>
      <c r="B583" s="11">
        <f>RawData!B583</f>
        <v>45607</v>
      </c>
      <c r="C583" s="7" t="str">
        <f>RawData!C583</f>
        <v>C44674</v>
      </c>
      <c r="D583" s="7" t="str">
        <f>RawData!D583</f>
        <v>Laptop</v>
      </c>
      <c r="E583" s="7">
        <f>RawData!E583</f>
        <v>1</v>
      </c>
      <c r="F583" s="7">
        <f>RawData!F583</f>
        <v>627.34</v>
      </c>
      <c r="G583" s="7" t="str">
        <f>RawData!G583</f>
        <v>942 Main St</v>
      </c>
      <c r="H583" s="7" t="str">
        <f>RawData!H583</f>
        <v>Online</v>
      </c>
      <c r="I583" s="7" t="str">
        <f>RawData!I583</f>
        <v>Delivered</v>
      </c>
      <c r="J583" s="7" t="str">
        <f>RawData!J583</f>
        <v>TRK87158684</v>
      </c>
      <c r="K583" s="7">
        <f>RawData!K583</f>
        <v>1</v>
      </c>
      <c r="L583" s="7" t="str">
        <f>IF(RawData!L583="","No Coupon",RawData!L583)</f>
        <v>No Coupon</v>
      </c>
      <c r="M583" s="7" t="str">
        <f>RawData!M583</f>
        <v>Referral</v>
      </c>
      <c r="N583" s="7">
        <f>RawData!N583</f>
        <v>627.34</v>
      </c>
    </row>
    <row r="584" spans="1:14" x14ac:dyDescent="0.3">
      <c r="A584" s="7" t="str">
        <f>RawData!A584</f>
        <v>ORD200582</v>
      </c>
      <c r="B584" s="11">
        <f>RawData!B584</f>
        <v>45341</v>
      </c>
      <c r="C584" s="7" t="str">
        <f>RawData!C584</f>
        <v>C15228</v>
      </c>
      <c r="D584" s="7" t="str">
        <f>RawData!D584</f>
        <v>Tablet</v>
      </c>
      <c r="E584" s="7">
        <f>RawData!E584</f>
        <v>3</v>
      </c>
      <c r="F584" s="7">
        <f>RawData!F584</f>
        <v>474.14</v>
      </c>
      <c r="G584" s="7" t="str">
        <f>RawData!G584</f>
        <v>558 Main St</v>
      </c>
      <c r="H584" s="7" t="str">
        <f>RawData!H584</f>
        <v>Gift Card</v>
      </c>
      <c r="I584" s="7" t="str">
        <f>RawData!I584</f>
        <v>Shipped</v>
      </c>
      <c r="J584" s="7" t="str">
        <f>RawData!J584</f>
        <v>TRK33860620</v>
      </c>
      <c r="K584" s="7">
        <f>RawData!K584</f>
        <v>8</v>
      </c>
      <c r="L584" s="7" t="str">
        <f>IF(RawData!L584="","No Coupon",RawData!L584)</f>
        <v>WINTER15</v>
      </c>
      <c r="M584" s="7" t="str">
        <f>RawData!M584</f>
        <v>Google</v>
      </c>
      <c r="N584" s="7">
        <f>RawData!N584</f>
        <v>1422.42</v>
      </c>
    </row>
    <row r="585" spans="1:14" x14ac:dyDescent="0.3">
      <c r="A585" s="7" t="str">
        <f>RawData!A585</f>
        <v>ORD200583</v>
      </c>
      <c r="B585" s="11">
        <f>RawData!B585</f>
        <v>45823</v>
      </c>
      <c r="C585" s="7" t="str">
        <f>RawData!C585</f>
        <v>C27072</v>
      </c>
      <c r="D585" s="7" t="str">
        <f>RawData!D585</f>
        <v>Chair</v>
      </c>
      <c r="E585" s="7">
        <f>RawData!E585</f>
        <v>3</v>
      </c>
      <c r="F585" s="7">
        <f>RawData!F585</f>
        <v>154.37</v>
      </c>
      <c r="G585" s="7" t="str">
        <f>RawData!G585</f>
        <v>996 Main St</v>
      </c>
      <c r="H585" s="7" t="str">
        <f>RawData!H585</f>
        <v>Gift Card</v>
      </c>
      <c r="I585" s="7" t="str">
        <f>RawData!I585</f>
        <v>Delivered</v>
      </c>
      <c r="J585" s="7" t="str">
        <f>RawData!J585</f>
        <v>TRK29750379</v>
      </c>
      <c r="K585" s="7">
        <f>RawData!K585</f>
        <v>4</v>
      </c>
      <c r="L585" s="7" t="str">
        <f>IF(RawData!L585="","No Coupon",RawData!L585)</f>
        <v>No Coupon</v>
      </c>
      <c r="M585" s="7" t="str">
        <f>RawData!M585</f>
        <v>Instagram</v>
      </c>
      <c r="N585" s="7">
        <f>RawData!N585</f>
        <v>463.11</v>
      </c>
    </row>
    <row r="586" spans="1:14" x14ac:dyDescent="0.3">
      <c r="A586" s="7" t="str">
        <f>RawData!A586</f>
        <v>ORD200584</v>
      </c>
      <c r="B586" s="11">
        <f>RawData!B586</f>
        <v>45737</v>
      </c>
      <c r="C586" s="7" t="str">
        <f>RawData!C586</f>
        <v>C15257</v>
      </c>
      <c r="D586" s="7" t="str">
        <f>RawData!D586</f>
        <v>Chair</v>
      </c>
      <c r="E586" s="7">
        <f>RawData!E586</f>
        <v>4</v>
      </c>
      <c r="F586" s="7">
        <f>RawData!F586</f>
        <v>145.05000000000001</v>
      </c>
      <c r="G586" s="7" t="str">
        <f>RawData!G586</f>
        <v>626 Main St</v>
      </c>
      <c r="H586" s="7" t="str">
        <f>RawData!H586</f>
        <v>Online</v>
      </c>
      <c r="I586" s="7" t="str">
        <f>RawData!I586</f>
        <v>Delivered</v>
      </c>
      <c r="J586" s="7" t="str">
        <f>RawData!J586</f>
        <v>TRK28779938</v>
      </c>
      <c r="K586" s="7">
        <f>RawData!K586</f>
        <v>6</v>
      </c>
      <c r="L586" s="7" t="str">
        <f>IF(RawData!L586="","No Coupon",RawData!L586)</f>
        <v>SAVE10</v>
      </c>
      <c r="M586" s="7" t="str">
        <f>RawData!M586</f>
        <v>Google</v>
      </c>
      <c r="N586" s="7">
        <f>RawData!N586</f>
        <v>580.20000000000005</v>
      </c>
    </row>
    <row r="587" spans="1:14" x14ac:dyDescent="0.3">
      <c r="A587" s="7" t="str">
        <f>RawData!A587</f>
        <v>ORD200585</v>
      </c>
      <c r="B587" s="11">
        <f>RawData!B587</f>
        <v>45158</v>
      </c>
      <c r="C587" s="7" t="str">
        <f>RawData!C587</f>
        <v>C91486</v>
      </c>
      <c r="D587" s="7" t="str">
        <f>RawData!D587</f>
        <v>Tablet</v>
      </c>
      <c r="E587" s="7">
        <f>RawData!E587</f>
        <v>4</v>
      </c>
      <c r="F587" s="7">
        <f>RawData!F587</f>
        <v>67.08</v>
      </c>
      <c r="G587" s="7" t="str">
        <f>RawData!G587</f>
        <v>907 Main St</v>
      </c>
      <c r="H587" s="7" t="str">
        <f>RawData!H587</f>
        <v>Cash</v>
      </c>
      <c r="I587" s="7" t="str">
        <f>RawData!I587</f>
        <v>Returned</v>
      </c>
      <c r="J587" s="7" t="str">
        <f>RawData!J587</f>
        <v>TRK79617136</v>
      </c>
      <c r="K587" s="7">
        <f>RawData!K587</f>
        <v>8</v>
      </c>
      <c r="L587" s="7" t="str">
        <f>IF(RawData!L587="","No Coupon",RawData!L587)</f>
        <v>WINTER15</v>
      </c>
      <c r="M587" s="7" t="str">
        <f>RawData!M587</f>
        <v>Google</v>
      </c>
      <c r="N587" s="7">
        <f>RawData!N587</f>
        <v>268.32</v>
      </c>
    </row>
    <row r="588" spans="1:14" x14ac:dyDescent="0.3">
      <c r="A588" s="7" t="str">
        <f>RawData!A588</f>
        <v>ORD200586</v>
      </c>
      <c r="B588" s="11">
        <f>RawData!B588</f>
        <v>45606</v>
      </c>
      <c r="C588" s="7" t="str">
        <f>RawData!C588</f>
        <v>C17389</v>
      </c>
      <c r="D588" s="7" t="str">
        <f>RawData!D588</f>
        <v>Monitor</v>
      </c>
      <c r="E588" s="7">
        <f>RawData!E588</f>
        <v>1</v>
      </c>
      <c r="F588" s="7">
        <f>RawData!F588</f>
        <v>522.08000000000004</v>
      </c>
      <c r="G588" s="7" t="str">
        <f>RawData!G588</f>
        <v>905 Main St</v>
      </c>
      <c r="H588" s="7" t="str">
        <f>RawData!H588</f>
        <v>Gift Card</v>
      </c>
      <c r="I588" s="7" t="str">
        <f>RawData!I588</f>
        <v>Returned</v>
      </c>
      <c r="J588" s="7" t="str">
        <f>RawData!J588</f>
        <v>TRK98857880</v>
      </c>
      <c r="K588" s="7">
        <f>RawData!K588</f>
        <v>5</v>
      </c>
      <c r="L588" s="7" t="str">
        <f>IF(RawData!L588="","No Coupon",RawData!L588)</f>
        <v>FREESHIP</v>
      </c>
      <c r="M588" s="7" t="str">
        <f>RawData!M588</f>
        <v>Referral</v>
      </c>
      <c r="N588" s="7">
        <f>RawData!N588</f>
        <v>522.08000000000004</v>
      </c>
    </row>
    <row r="589" spans="1:14" x14ac:dyDescent="0.3">
      <c r="A589" s="7" t="str">
        <f>RawData!A589</f>
        <v>ORD200587</v>
      </c>
      <c r="B589" s="11">
        <f>RawData!B589</f>
        <v>45089</v>
      </c>
      <c r="C589" s="7" t="str">
        <f>RawData!C589</f>
        <v>C18820</v>
      </c>
      <c r="D589" s="7" t="str">
        <f>RawData!D589</f>
        <v>Monitor</v>
      </c>
      <c r="E589" s="7">
        <f>RawData!E589</f>
        <v>5</v>
      </c>
      <c r="F589" s="7">
        <f>RawData!F589</f>
        <v>514.6</v>
      </c>
      <c r="G589" s="7" t="str">
        <f>RawData!G589</f>
        <v>347 Main St</v>
      </c>
      <c r="H589" s="7" t="str">
        <f>RawData!H589</f>
        <v>Gift Card</v>
      </c>
      <c r="I589" s="7" t="str">
        <f>RawData!I589</f>
        <v>Delivered</v>
      </c>
      <c r="J589" s="7" t="str">
        <f>RawData!J589</f>
        <v>TRK91547425</v>
      </c>
      <c r="K589" s="7">
        <f>RawData!K589</f>
        <v>10</v>
      </c>
      <c r="L589" s="7" t="str">
        <f>IF(RawData!L589="","No Coupon",RawData!L589)</f>
        <v>FREESHIP</v>
      </c>
      <c r="M589" s="7" t="str">
        <f>RawData!M589</f>
        <v>Instagram</v>
      </c>
      <c r="N589" s="7">
        <f>RawData!N589</f>
        <v>2573</v>
      </c>
    </row>
    <row r="590" spans="1:14" x14ac:dyDescent="0.3">
      <c r="A590" s="7" t="str">
        <f>RawData!A590</f>
        <v>ORD200588</v>
      </c>
      <c r="B590" s="11">
        <f>RawData!B590</f>
        <v>45636</v>
      </c>
      <c r="C590" s="7" t="str">
        <f>RawData!C590</f>
        <v>C61849</v>
      </c>
      <c r="D590" s="7" t="str">
        <f>RawData!D590</f>
        <v>Monitor</v>
      </c>
      <c r="E590" s="7">
        <f>RawData!E590</f>
        <v>4</v>
      </c>
      <c r="F590" s="7">
        <f>RawData!F590</f>
        <v>577.82000000000005</v>
      </c>
      <c r="G590" s="7" t="str">
        <f>RawData!G590</f>
        <v>811 Main St</v>
      </c>
      <c r="H590" s="7" t="str">
        <f>RawData!H590</f>
        <v>Credit Card</v>
      </c>
      <c r="I590" s="7" t="str">
        <f>RawData!I590</f>
        <v>Delivered</v>
      </c>
      <c r="J590" s="7" t="str">
        <f>RawData!J590</f>
        <v>TRK47613918</v>
      </c>
      <c r="K590" s="7">
        <f>RawData!K590</f>
        <v>9</v>
      </c>
      <c r="L590" s="7" t="str">
        <f>IF(RawData!L590="","No Coupon",RawData!L590)</f>
        <v>No Coupon</v>
      </c>
      <c r="M590" s="7" t="str">
        <f>RawData!M590</f>
        <v>Google</v>
      </c>
      <c r="N590" s="7">
        <f>RawData!N590</f>
        <v>2311.2800000000002</v>
      </c>
    </row>
    <row r="591" spans="1:14" x14ac:dyDescent="0.3">
      <c r="A591" s="7" t="str">
        <f>RawData!A591</f>
        <v>ORD200589</v>
      </c>
      <c r="B591" s="11">
        <f>RawData!B591</f>
        <v>45698</v>
      </c>
      <c r="C591" s="7" t="str">
        <f>RawData!C591</f>
        <v>C84041</v>
      </c>
      <c r="D591" s="7" t="str">
        <f>RawData!D591</f>
        <v>Laptop</v>
      </c>
      <c r="E591" s="7">
        <f>RawData!E591</f>
        <v>2</v>
      </c>
      <c r="F591" s="7">
        <f>RawData!F591</f>
        <v>500.8</v>
      </c>
      <c r="G591" s="7" t="str">
        <f>RawData!G591</f>
        <v>900 Main St</v>
      </c>
      <c r="H591" s="7" t="str">
        <f>RawData!H591</f>
        <v>Cash</v>
      </c>
      <c r="I591" s="7" t="str">
        <f>RawData!I591</f>
        <v>Delivered</v>
      </c>
      <c r="J591" s="7" t="str">
        <f>RawData!J591</f>
        <v>TRK84920444</v>
      </c>
      <c r="K591" s="7">
        <f>RawData!K591</f>
        <v>3</v>
      </c>
      <c r="L591" s="7" t="str">
        <f>IF(RawData!L591="","No Coupon",RawData!L591)</f>
        <v>FREESHIP</v>
      </c>
      <c r="M591" s="7" t="str">
        <f>RawData!M591</f>
        <v>Referral</v>
      </c>
      <c r="N591" s="7">
        <f>RawData!N591</f>
        <v>1001.6</v>
      </c>
    </row>
    <row r="592" spans="1:14" x14ac:dyDescent="0.3">
      <c r="A592" s="7" t="str">
        <f>RawData!A592</f>
        <v>ORD200590</v>
      </c>
      <c r="B592" s="11">
        <f>RawData!B592</f>
        <v>45179</v>
      </c>
      <c r="C592" s="7" t="str">
        <f>RawData!C592</f>
        <v>C55757</v>
      </c>
      <c r="D592" s="7" t="str">
        <f>RawData!D592</f>
        <v>Printer</v>
      </c>
      <c r="E592" s="7">
        <f>RawData!E592</f>
        <v>2</v>
      </c>
      <c r="F592" s="7">
        <f>RawData!F592</f>
        <v>461.13</v>
      </c>
      <c r="G592" s="7" t="str">
        <f>RawData!G592</f>
        <v>175 Main St</v>
      </c>
      <c r="H592" s="7" t="str">
        <f>RawData!H592</f>
        <v>Gift Card</v>
      </c>
      <c r="I592" s="7" t="str">
        <f>RawData!I592</f>
        <v>Returned</v>
      </c>
      <c r="J592" s="7" t="str">
        <f>RawData!J592</f>
        <v>TRK27356242</v>
      </c>
      <c r="K592" s="7">
        <f>RawData!K592</f>
        <v>4</v>
      </c>
      <c r="L592" s="7" t="str">
        <f>IF(RawData!L592="","No Coupon",RawData!L592)</f>
        <v>No Coupon</v>
      </c>
      <c r="M592" s="7" t="str">
        <f>RawData!M592</f>
        <v>Email</v>
      </c>
      <c r="N592" s="7">
        <f>RawData!N592</f>
        <v>922.26</v>
      </c>
    </row>
    <row r="593" spans="1:14" x14ac:dyDescent="0.3">
      <c r="A593" s="7" t="str">
        <f>RawData!A593</f>
        <v>ORD200591</v>
      </c>
      <c r="B593" s="11">
        <f>RawData!B593</f>
        <v>45614</v>
      </c>
      <c r="C593" s="7" t="str">
        <f>RawData!C593</f>
        <v>C18187</v>
      </c>
      <c r="D593" s="7" t="str">
        <f>RawData!D593</f>
        <v>Laptop</v>
      </c>
      <c r="E593" s="7">
        <f>RawData!E593</f>
        <v>1</v>
      </c>
      <c r="F593" s="7">
        <f>RawData!F593</f>
        <v>605.28</v>
      </c>
      <c r="G593" s="7" t="str">
        <f>RawData!G593</f>
        <v>470 Main St</v>
      </c>
      <c r="H593" s="7" t="str">
        <f>RawData!H593</f>
        <v>Gift Card</v>
      </c>
      <c r="I593" s="7" t="str">
        <f>RawData!I593</f>
        <v>Shipped</v>
      </c>
      <c r="J593" s="7" t="str">
        <f>RawData!J593</f>
        <v>TRK50528185</v>
      </c>
      <c r="K593" s="7">
        <f>RawData!K593</f>
        <v>3</v>
      </c>
      <c r="L593" s="7" t="str">
        <f>IF(RawData!L593="","No Coupon",RawData!L593)</f>
        <v>FREESHIP</v>
      </c>
      <c r="M593" s="7" t="str">
        <f>RawData!M593</f>
        <v>Referral</v>
      </c>
      <c r="N593" s="7">
        <f>RawData!N593</f>
        <v>605.28</v>
      </c>
    </row>
    <row r="594" spans="1:14" x14ac:dyDescent="0.3">
      <c r="A594" s="7" t="str">
        <f>RawData!A594</f>
        <v>ORD200592</v>
      </c>
      <c r="B594" s="11">
        <f>RawData!B594</f>
        <v>45405</v>
      </c>
      <c r="C594" s="7" t="str">
        <f>RawData!C594</f>
        <v>C42306</v>
      </c>
      <c r="D594" s="7" t="str">
        <f>RawData!D594</f>
        <v>Phone</v>
      </c>
      <c r="E594" s="7">
        <f>RawData!E594</f>
        <v>3</v>
      </c>
      <c r="F594" s="7">
        <f>RawData!F594</f>
        <v>204.27</v>
      </c>
      <c r="G594" s="7" t="str">
        <f>RawData!G594</f>
        <v>938 Main St</v>
      </c>
      <c r="H594" s="7" t="str">
        <f>RawData!H594</f>
        <v>Online</v>
      </c>
      <c r="I594" s="7" t="str">
        <f>RawData!I594</f>
        <v>Returned</v>
      </c>
      <c r="J594" s="7" t="str">
        <f>RawData!J594</f>
        <v>TRK15499648</v>
      </c>
      <c r="K594" s="7">
        <f>RawData!K594</f>
        <v>4</v>
      </c>
      <c r="L594" s="7" t="str">
        <f>IF(RawData!L594="","No Coupon",RawData!L594)</f>
        <v>No Coupon</v>
      </c>
      <c r="M594" s="7" t="str">
        <f>RawData!M594</f>
        <v>Google</v>
      </c>
      <c r="N594" s="7">
        <f>RawData!N594</f>
        <v>612.80999999999995</v>
      </c>
    </row>
    <row r="595" spans="1:14" x14ac:dyDescent="0.3">
      <c r="A595" s="7" t="str">
        <f>RawData!A595</f>
        <v>ORD200593</v>
      </c>
      <c r="B595" s="11">
        <f>RawData!B595</f>
        <v>45140</v>
      </c>
      <c r="C595" s="7" t="str">
        <f>RawData!C595</f>
        <v>C51024</v>
      </c>
      <c r="D595" s="7" t="str">
        <f>RawData!D595</f>
        <v>Monitor</v>
      </c>
      <c r="E595" s="7">
        <f>RawData!E595</f>
        <v>1</v>
      </c>
      <c r="F595" s="7">
        <f>RawData!F595</f>
        <v>489.8</v>
      </c>
      <c r="G595" s="7" t="str">
        <f>RawData!G595</f>
        <v>636 Main St</v>
      </c>
      <c r="H595" s="7" t="str">
        <f>RawData!H595</f>
        <v>Gift Card</v>
      </c>
      <c r="I595" s="7" t="str">
        <f>RawData!I595</f>
        <v>Shipped</v>
      </c>
      <c r="J595" s="7" t="str">
        <f>RawData!J595</f>
        <v>TRK31375086</v>
      </c>
      <c r="K595" s="7">
        <f>RawData!K595</f>
        <v>4</v>
      </c>
      <c r="L595" s="7" t="str">
        <f>IF(RawData!L595="","No Coupon",RawData!L595)</f>
        <v>FREESHIP</v>
      </c>
      <c r="M595" s="7" t="str">
        <f>RawData!M595</f>
        <v>Facebook</v>
      </c>
      <c r="N595" s="7">
        <f>RawData!N595</f>
        <v>489.8</v>
      </c>
    </row>
    <row r="596" spans="1:14" x14ac:dyDescent="0.3">
      <c r="A596" s="7" t="str">
        <f>RawData!A596</f>
        <v>ORD200594</v>
      </c>
      <c r="B596" s="11">
        <f>RawData!B596</f>
        <v>45343</v>
      </c>
      <c r="C596" s="7" t="str">
        <f>RawData!C596</f>
        <v>C40140</v>
      </c>
      <c r="D596" s="7" t="str">
        <f>RawData!D596</f>
        <v>Phone</v>
      </c>
      <c r="E596" s="7">
        <f>RawData!E596</f>
        <v>5</v>
      </c>
      <c r="F596" s="7">
        <f>RawData!F596</f>
        <v>72.64</v>
      </c>
      <c r="G596" s="7" t="str">
        <f>RawData!G596</f>
        <v>598 Main St</v>
      </c>
      <c r="H596" s="7" t="str">
        <f>RawData!H596</f>
        <v>Credit Card</v>
      </c>
      <c r="I596" s="7" t="str">
        <f>RawData!I596</f>
        <v>Cancelled</v>
      </c>
      <c r="J596" s="7" t="str">
        <f>RawData!J596</f>
        <v>TRK12671989</v>
      </c>
      <c r="K596" s="7">
        <f>RawData!K596</f>
        <v>7</v>
      </c>
      <c r="L596" s="7" t="str">
        <f>IF(RawData!L596="","No Coupon",RawData!L596)</f>
        <v>No Coupon</v>
      </c>
      <c r="M596" s="7" t="str">
        <f>RawData!M596</f>
        <v>Email</v>
      </c>
      <c r="N596" s="7">
        <f>RawData!N596</f>
        <v>363.2</v>
      </c>
    </row>
    <row r="597" spans="1:14" x14ac:dyDescent="0.3">
      <c r="A597" s="7" t="str">
        <f>RawData!A597</f>
        <v>ORD200595</v>
      </c>
      <c r="B597" s="11">
        <f>RawData!B597</f>
        <v>45667</v>
      </c>
      <c r="C597" s="7" t="str">
        <f>RawData!C597</f>
        <v>C72596</v>
      </c>
      <c r="D597" s="7" t="str">
        <f>RawData!D597</f>
        <v>Printer</v>
      </c>
      <c r="E597" s="7">
        <f>RawData!E597</f>
        <v>2</v>
      </c>
      <c r="F597" s="7">
        <f>RawData!F597</f>
        <v>385.16</v>
      </c>
      <c r="G597" s="7" t="str">
        <f>RawData!G597</f>
        <v>491 Main St</v>
      </c>
      <c r="H597" s="7" t="str">
        <f>RawData!H597</f>
        <v>Online</v>
      </c>
      <c r="I597" s="7" t="str">
        <f>RawData!I597</f>
        <v>Pending</v>
      </c>
      <c r="J597" s="7" t="str">
        <f>RawData!J597</f>
        <v>TRK83870446</v>
      </c>
      <c r="K597" s="7">
        <f>RawData!K597</f>
        <v>7</v>
      </c>
      <c r="L597" s="7" t="str">
        <f>IF(RawData!L597="","No Coupon",RawData!L597)</f>
        <v>SAVE10</v>
      </c>
      <c r="M597" s="7" t="str">
        <f>RawData!M597</f>
        <v>Email</v>
      </c>
      <c r="N597" s="7">
        <f>RawData!N597</f>
        <v>770.32</v>
      </c>
    </row>
    <row r="598" spans="1:14" x14ac:dyDescent="0.3">
      <c r="A598" s="7" t="str">
        <f>RawData!A598</f>
        <v>ORD200596</v>
      </c>
      <c r="B598" s="11">
        <f>RawData!B598</f>
        <v>45089</v>
      </c>
      <c r="C598" s="7" t="str">
        <f>RawData!C598</f>
        <v>C91805</v>
      </c>
      <c r="D598" s="7" t="str">
        <f>RawData!D598</f>
        <v>Desk</v>
      </c>
      <c r="E598" s="7">
        <f>RawData!E598</f>
        <v>3</v>
      </c>
      <c r="F598" s="7">
        <f>RawData!F598</f>
        <v>606.41</v>
      </c>
      <c r="G598" s="7" t="str">
        <f>RawData!G598</f>
        <v>653 Main St</v>
      </c>
      <c r="H598" s="7" t="str">
        <f>RawData!H598</f>
        <v>Debit Card</v>
      </c>
      <c r="I598" s="7" t="str">
        <f>RawData!I598</f>
        <v>Returned</v>
      </c>
      <c r="J598" s="7" t="str">
        <f>RawData!J598</f>
        <v>TRK34504030</v>
      </c>
      <c r="K598" s="7">
        <f>RawData!K598</f>
        <v>7</v>
      </c>
      <c r="L598" s="7" t="str">
        <f>IF(RawData!L598="","No Coupon",RawData!L598)</f>
        <v>FREESHIP</v>
      </c>
      <c r="M598" s="7" t="str">
        <f>RawData!M598</f>
        <v>Facebook</v>
      </c>
      <c r="N598" s="7">
        <f>RawData!N598</f>
        <v>1819.23</v>
      </c>
    </row>
    <row r="599" spans="1:14" x14ac:dyDescent="0.3">
      <c r="A599" s="7" t="str">
        <f>RawData!A599</f>
        <v>ORD200597</v>
      </c>
      <c r="B599" s="11">
        <f>RawData!B599</f>
        <v>45621</v>
      </c>
      <c r="C599" s="7" t="str">
        <f>RawData!C599</f>
        <v>C40538</v>
      </c>
      <c r="D599" s="7" t="str">
        <f>RawData!D599</f>
        <v>Desk</v>
      </c>
      <c r="E599" s="7">
        <f>RawData!E599</f>
        <v>2</v>
      </c>
      <c r="F599" s="7">
        <f>RawData!F599</f>
        <v>211.82</v>
      </c>
      <c r="G599" s="7" t="str">
        <f>RawData!G599</f>
        <v>700 Main St</v>
      </c>
      <c r="H599" s="7" t="str">
        <f>RawData!H599</f>
        <v>Gift Card</v>
      </c>
      <c r="I599" s="7" t="str">
        <f>RawData!I599</f>
        <v>Cancelled</v>
      </c>
      <c r="J599" s="7" t="str">
        <f>RawData!J599</f>
        <v>TRK29821356</v>
      </c>
      <c r="K599" s="7">
        <f>RawData!K599</f>
        <v>4</v>
      </c>
      <c r="L599" s="7" t="str">
        <f>IF(RawData!L599="","No Coupon",RawData!L599)</f>
        <v>WINTER15</v>
      </c>
      <c r="M599" s="7" t="str">
        <f>RawData!M599</f>
        <v>Email</v>
      </c>
      <c r="N599" s="7">
        <f>RawData!N599</f>
        <v>423.64</v>
      </c>
    </row>
    <row r="600" spans="1:14" x14ac:dyDescent="0.3">
      <c r="A600" s="7" t="str">
        <f>RawData!A600</f>
        <v>ORD200598</v>
      </c>
      <c r="B600" s="11">
        <f>RawData!B600</f>
        <v>45408</v>
      </c>
      <c r="C600" s="7" t="str">
        <f>RawData!C600</f>
        <v>C60329</v>
      </c>
      <c r="D600" s="7" t="str">
        <f>RawData!D600</f>
        <v>Desk</v>
      </c>
      <c r="E600" s="7">
        <f>RawData!E600</f>
        <v>5</v>
      </c>
      <c r="F600" s="7">
        <f>RawData!F600</f>
        <v>495.35</v>
      </c>
      <c r="G600" s="7" t="str">
        <f>RawData!G600</f>
        <v>826 Main St</v>
      </c>
      <c r="H600" s="7" t="str">
        <f>RawData!H600</f>
        <v>Credit Card</v>
      </c>
      <c r="I600" s="7" t="str">
        <f>RawData!I600</f>
        <v>Pending</v>
      </c>
      <c r="J600" s="7" t="str">
        <f>RawData!J600</f>
        <v>TRK59069987</v>
      </c>
      <c r="K600" s="7">
        <f>RawData!K600</f>
        <v>5</v>
      </c>
      <c r="L600" s="7" t="str">
        <f>IF(RawData!L600="","No Coupon",RawData!L600)</f>
        <v>No Coupon</v>
      </c>
      <c r="M600" s="7" t="str">
        <f>RawData!M600</f>
        <v>Facebook</v>
      </c>
      <c r="N600" s="7">
        <f>RawData!N600</f>
        <v>2476.75</v>
      </c>
    </row>
    <row r="601" spans="1:14" x14ac:dyDescent="0.3">
      <c r="A601" s="7" t="str">
        <f>RawData!A601</f>
        <v>ORD200599</v>
      </c>
      <c r="B601" s="11">
        <f>RawData!B601</f>
        <v>45107</v>
      </c>
      <c r="C601" s="7" t="str">
        <f>RawData!C601</f>
        <v>C28740</v>
      </c>
      <c r="D601" s="7" t="str">
        <f>RawData!D601</f>
        <v>Chair</v>
      </c>
      <c r="E601" s="7">
        <f>RawData!E601</f>
        <v>3</v>
      </c>
      <c r="F601" s="7">
        <f>RawData!F601</f>
        <v>556.99</v>
      </c>
      <c r="G601" s="7" t="str">
        <f>RawData!G601</f>
        <v>123 Main St</v>
      </c>
      <c r="H601" s="7" t="str">
        <f>RawData!H601</f>
        <v>Online</v>
      </c>
      <c r="I601" s="7" t="str">
        <f>RawData!I601</f>
        <v>Cancelled</v>
      </c>
      <c r="J601" s="7" t="str">
        <f>RawData!J601</f>
        <v>TRK33642221</v>
      </c>
      <c r="K601" s="7">
        <f>RawData!K601</f>
        <v>4</v>
      </c>
      <c r="L601" s="7" t="str">
        <f>IF(RawData!L601="","No Coupon",RawData!L601)</f>
        <v>FREESHIP</v>
      </c>
      <c r="M601" s="7" t="str">
        <f>RawData!M601</f>
        <v>Facebook</v>
      </c>
      <c r="N601" s="7">
        <f>RawData!N601</f>
        <v>1670.97</v>
      </c>
    </row>
    <row r="602" spans="1:14" x14ac:dyDescent="0.3">
      <c r="A602" s="7" t="str">
        <f>RawData!A602</f>
        <v>ORD200600</v>
      </c>
      <c r="B602" s="11">
        <f>RawData!B602</f>
        <v>45072</v>
      </c>
      <c r="C602" s="7" t="str">
        <f>RawData!C602</f>
        <v>C87051</v>
      </c>
      <c r="D602" s="7" t="str">
        <f>RawData!D602</f>
        <v>Printer</v>
      </c>
      <c r="E602" s="7">
        <f>RawData!E602</f>
        <v>1</v>
      </c>
      <c r="F602" s="7">
        <f>RawData!F602</f>
        <v>72.31</v>
      </c>
      <c r="G602" s="7" t="str">
        <f>RawData!G602</f>
        <v>460 Main St</v>
      </c>
      <c r="H602" s="7" t="str">
        <f>RawData!H602</f>
        <v>Gift Card</v>
      </c>
      <c r="I602" s="7" t="str">
        <f>RawData!I602</f>
        <v>Cancelled</v>
      </c>
      <c r="J602" s="7" t="str">
        <f>RawData!J602</f>
        <v>TRK82056333</v>
      </c>
      <c r="K602" s="7">
        <f>RawData!K602</f>
        <v>1</v>
      </c>
      <c r="L602" s="7" t="str">
        <f>IF(RawData!L602="","No Coupon",RawData!L602)</f>
        <v>FREESHIP</v>
      </c>
      <c r="M602" s="7" t="str">
        <f>RawData!M602</f>
        <v>Facebook</v>
      </c>
      <c r="N602" s="7">
        <f>RawData!N602</f>
        <v>72.31</v>
      </c>
    </row>
    <row r="603" spans="1:14" x14ac:dyDescent="0.3">
      <c r="A603" s="7" t="str">
        <f>RawData!A603</f>
        <v>ORD200601</v>
      </c>
      <c r="B603" s="11">
        <f>RawData!B603</f>
        <v>45201</v>
      </c>
      <c r="C603" s="7" t="str">
        <f>RawData!C603</f>
        <v>C12479</v>
      </c>
      <c r="D603" s="7" t="str">
        <f>RawData!D603</f>
        <v>Monitor</v>
      </c>
      <c r="E603" s="7">
        <f>RawData!E603</f>
        <v>5</v>
      </c>
      <c r="F603" s="7">
        <f>RawData!F603</f>
        <v>24.82</v>
      </c>
      <c r="G603" s="7" t="str">
        <f>RawData!G603</f>
        <v>529 Main St</v>
      </c>
      <c r="H603" s="7" t="str">
        <f>RawData!H603</f>
        <v>Credit Card</v>
      </c>
      <c r="I603" s="7" t="str">
        <f>RawData!I603</f>
        <v>Shipped</v>
      </c>
      <c r="J603" s="7" t="str">
        <f>RawData!J603</f>
        <v>TRK73935314</v>
      </c>
      <c r="K603" s="7">
        <f>RawData!K603</f>
        <v>10</v>
      </c>
      <c r="L603" s="7" t="str">
        <f>IF(RawData!L603="","No Coupon",RawData!L603)</f>
        <v>No Coupon</v>
      </c>
      <c r="M603" s="7" t="str">
        <f>RawData!M603</f>
        <v>Referral</v>
      </c>
      <c r="N603" s="7">
        <f>RawData!N603</f>
        <v>124.1</v>
      </c>
    </row>
    <row r="604" spans="1:14" x14ac:dyDescent="0.3">
      <c r="A604" s="7" t="str">
        <f>RawData!A604</f>
        <v>ORD200602</v>
      </c>
      <c r="B604" s="11">
        <f>RawData!B604</f>
        <v>45356</v>
      </c>
      <c r="C604" s="7" t="str">
        <f>RawData!C604</f>
        <v>C35852</v>
      </c>
      <c r="D604" s="7" t="str">
        <f>RawData!D604</f>
        <v>Tablet</v>
      </c>
      <c r="E604" s="7">
        <f>RawData!E604</f>
        <v>4</v>
      </c>
      <c r="F604" s="7">
        <f>RawData!F604</f>
        <v>26.04</v>
      </c>
      <c r="G604" s="7" t="str">
        <f>RawData!G604</f>
        <v>982 Main St</v>
      </c>
      <c r="H604" s="7" t="str">
        <f>RawData!H604</f>
        <v>Online</v>
      </c>
      <c r="I604" s="7" t="str">
        <f>RawData!I604</f>
        <v>Pending</v>
      </c>
      <c r="J604" s="7" t="str">
        <f>RawData!J604</f>
        <v>TRK64660134</v>
      </c>
      <c r="K604" s="7">
        <f>RawData!K604</f>
        <v>5</v>
      </c>
      <c r="L604" s="7" t="str">
        <f>IF(RawData!L604="","No Coupon",RawData!L604)</f>
        <v>SAVE10</v>
      </c>
      <c r="M604" s="7" t="str">
        <f>RawData!M604</f>
        <v>Instagram</v>
      </c>
      <c r="N604" s="7">
        <f>RawData!N604</f>
        <v>104.16</v>
      </c>
    </row>
    <row r="605" spans="1:14" x14ac:dyDescent="0.3">
      <c r="A605" s="7" t="str">
        <f>RawData!A605</f>
        <v>ORD200603</v>
      </c>
      <c r="B605" s="11">
        <f>RawData!B605</f>
        <v>45569</v>
      </c>
      <c r="C605" s="7" t="str">
        <f>RawData!C605</f>
        <v>C26223</v>
      </c>
      <c r="D605" s="7" t="str">
        <f>RawData!D605</f>
        <v>Tablet</v>
      </c>
      <c r="E605" s="7">
        <f>RawData!E605</f>
        <v>1</v>
      </c>
      <c r="F605" s="7">
        <f>RawData!F605</f>
        <v>657.07</v>
      </c>
      <c r="G605" s="7" t="str">
        <f>RawData!G605</f>
        <v>800 Main St</v>
      </c>
      <c r="H605" s="7" t="str">
        <f>RawData!H605</f>
        <v>Cash</v>
      </c>
      <c r="I605" s="7" t="str">
        <f>RawData!I605</f>
        <v>Pending</v>
      </c>
      <c r="J605" s="7" t="str">
        <f>RawData!J605</f>
        <v>TRK50900547</v>
      </c>
      <c r="K605" s="7">
        <f>RawData!K605</f>
        <v>4</v>
      </c>
      <c r="L605" s="7" t="str">
        <f>IF(RawData!L605="","No Coupon",RawData!L605)</f>
        <v>SAVE10</v>
      </c>
      <c r="M605" s="7" t="str">
        <f>RawData!M605</f>
        <v>Google</v>
      </c>
      <c r="N605" s="7">
        <f>RawData!N605</f>
        <v>657.07</v>
      </c>
    </row>
    <row r="606" spans="1:14" x14ac:dyDescent="0.3">
      <c r="A606" s="7" t="str">
        <f>RawData!A606</f>
        <v>ORD200604</v>
      </c>
      <c r="B606" s="11">
        <f>RawData!B606</f>
        <v>45830</v>
      </c>
      <c r="C606" s="7" t="str">
        <f>RawData!C606</f>
        <v>C99214</v>
      </c>
      <c r="D606" s="7" t="str">
        <f>RawData!D606</f>
        <v>Chair</v>
      </c>
      <c r="E606" s="7">
        <f>RawData!E606</f>
        <v>3</v>
      </c>
      <c r="F606" s="7">
        <f>RawData!F606</f>
        <v>32.619999999999997</v>
      </c>
      <c r="G606" s="7" t="str">
        <f>RawData!G606</f>
        <v>252 Main St</v>
      </c>
      <c r="H606" s="7" t="str">
        <f>RawData!H606</f>
        <v>Debit Card</v>
      </c>
      <c r="I606" s="7" t="str">
        <f>RawData!I606</f>
        <v>Delivered</v>
      </c>
      <c r="J606" s="7" t="str">
        <f>RawData!J606</f>
        <v>TRK81368481</v>
      </c>
      <c r="K606" s="7">
        <f>RawData!K606</f>
        <v>6</v>
      </c>
      <c r="L606" s="7" t="str">
        <f>IF(RawData!L606="","No Coupon",RawData!L606)</f>
        <v>No Coupon</v>
      </c>
      <c r="M606" s="7" t="str">
        <f>RawData!M606</f>
        <v>Facebook</v>
      </c>
      <c r="N606" s="7">
        <f>RawData!N606</f>
        <v>97.86</v>
      </c>
    </row>
    <row r="607" spans="1:14" x14ac:dyDescent="0.3">
      <c r="A607" s="7" t="str">
        <f>RawData!A607</f>
        <v>ORD200605</v>
      </c>
      <c r="B607" s="11">
        <f>RawData!B607</f>
        <v>45422</v>
      </c>
      <c r="C607" s="7" t="str">
        <f>RawData!C607</f>
        <v>C49605</v>
      </c>
      <c r="D607" s="7" t="str">
        <f>RawData!D607</f>
        <v>Monitor</v>
      </c>
      <c r="E607" s="7">
        <f>RawData!E607</f>
        <v>2</v>
      </c>
      <c r="F607" s="7">
        <f>RawData!F607</f>
        <v>228.91</v>
      </c>
      <c r="G607" s="7" t="str">
        <f>RawData!G607</f>
        <v>892 Main St</v>
      </c>
      <c r="H607" s="7" t="str">
        <f>RawData!H607</f>
        <v>Debit Card</v>
      </c>
      <c r="I607" s="7" t="str">
        <f>RawData!I607</f>
        <v>Shipped</v>
      </c>
      <c r="J607" s="7" t="str">
        <f>RawData!J607</f>
        <v>TRK95620066</v>
      </c>
      <c r="K607" s="7">
        <f>RawData!K607</f>
        <v>4</v>
      </c>
      <c r="L607" s="7" t="str">
        <f>IF(RawData!L607="","No Coupon",RawData!L607)</f>
        <v>SAVE10</v>
      </c>
      <c r="M607" s="7" t="str">
        <f>RawData!M607</f>
        <v>Referral</v>
      </c>
      <c r="N607" s="7">
        <f>RawData!N607</f>
        <v>457.82</v>
      </c>
    </row>
    <row r="608" spans="1:14" x14ac:dyDescent="0.3">
      <c r="A608" s="7" t="str">
        <f>RawData!A608</f>
        <v>ORD200606</v>
      </c>
      <c r="B608" s="11">
        <f>RawData!B608</f>
        <v>45602</v>
      </c>
      <c r="C608" s="7" t="str">
        <f>RawData!C608</f>
        <v>C85018</v>
      </c>
      <c r="D608" s="7" t="str">
        <f>RawData!D608</f>
        <v>Laptop</v>
      </c>
      <c r="E608" s="7">
        <f>RawData!E608</f>
        <v>3</v>
      </c>
      <c r="F608" s="7">
        <f>RawData!F608</f>
        <v>274.75</v>
      </c>
      <c r="G608" s="7" t="str">
        <f>RawData!G608</f>
        <v>783 Main St</v>
      </c>
      <c r="H608" s="7" t="str">
        <f>RawData!H608</f>
        <v>Cash</v>
      </c>
      <c r="I608" s="7" t="str">
        <f>RawData!I608</f>
        <v>Cancelled</v>
      </c>
      <c r="J608" s="7" t="str">
        <f>RawData!J608</f>
        <v>TRK54128886</v>
      </c>
      <c r="K608" s="7">
        <f>RawData!K608</f>
        <v>3</v>
      </c>
      <c r="L608" s="7" t="str">
        <f>IF(RawData!L608="","No Coupon",RawData!L608)</f>
        <v>SAVE10</v>
      </c>
      <c r="M608" s="7" t="str">
        <f>RawData!M608</f>
        <v>Google</v>
      </c>
      <c r="N608" s="7">
        <f>RawData!N608</f>
        <v>824.25</v>
      </c>
    </row>
    <row r="609" spans="1:14" x14ac:dyDescent="0.3">
      <c r="A609" s="7" t="str">
        <f>RawData!A609</f>
        <v>ORD200607</v>
      </c>
      <c r="B609" s="11">
        <f>RawData!B609</f>
        <v>45808</v>
      </c>
      <c r="C609" s="7" t="str">
        <f>RawData!C609</f>
        <v>C96434</v>
      </c>
      <c r="D609" s="7" t="str">
        <f>RawData!D609</f>
        <v>Printer</v>
      </c>
      <c r="E609" s="7">
        <f>RawData!E609</f>
        <v>4</v>
      </c>
      <c r="F609" s="7">
        <f>RawData!F609</f>
        <v>634.04999999999995</v>
      </c>
      <c r="G609" s="7" t="str">
        <f>RawData!G609</f>
        <v>282 Main St</v>
      </c>
      <c r="H609" s="7" t="str">
        <f>RawData!H609</f>
        <v>Cash</v>
      </c>
      <c r="I609" s="7" t="str">
        <f>RawData!I609</f>
        <v>Shipped</v>
      </c>
      <c r="J609" s="7" t="str">
        <f>RawData!J609</f>
        <v>TRK56730647</v>
      </c>
      <c r="K609" s="7">
        <f>RawData!K609</f>
        <v>6</v>
      </c>
      <c r="L609" s="7" t="str">
        <f>IF(RawData!L609="","No Coupon",RawData!L609)</f>
        <v>SAVE10</v>
      </c>
      <c r="M609" s="7" t="str">
        <f>RawData!M609</f>
        <v>Google</v>
      </c>
      <c r="N609" s="7">
        <f>RawData!N609</f>
        <v>2536.1999999999998</v>
      </c>
    </row>
    <row r="610" spans="1:14" x14ac:dyDescent="0.3">
      <c r="A610" s="7" t="str">
        <f>RawData!A610</f>
        <v>ORD200608</v>
      </c>
      <c r="B610" s="11">
        <f>RawData!B610</f>
        <v>45497</v>
      </c>
      <c r="C610" s="7" t="str">
        <f>RawData!C610</f>
        <v>C32956</v>
      </c>
      <c r="D610" s="7" t="str">
        <f>RawData!D610</f>
        <v>Laptop</v>
      </c>
      <c r="E610" s="7">
        <f>RawData!E610</f>
        <v>5</v>
      </c>
      <c r="F610" s="7">
        <f>RawData!F610</f>
        <v>543.16</v>
      </c>
      <c r="G610" s="7" t="str">
        <f>RawData!G610</f>
        <v>788 Main St</v>
      </c>
      <c r="H610" s="7" t="str">
        <f>RawData!H610</f>
        <v>Online</v>
      </c>
      <c r="I610" s="7" t="str">
        <f>RawData!I610</f>
        <v>Cancelled</v>
      </c>
      <c r="J610" s="7" t="str">
        <f>RawData!J610</f>
        <v>TRK73140103</v>
      </c>
      <c r="K610" s="7">
        <f>RawData!K610</f>
        <v>6</v>
      </c>
      <c r="L610" s="7" t="str">
        <f>IF(RawData!L610="","No Coupon",RawData!L610)</f>
        <v>SAVE10</v>
      </c>
      <c r="M610" s="7" t="str">
        <f>RawData!M610</f>
        <v>Instagram</v>
      </c>
      <c r="N610" s="7">
        <f>RawData!N610</f>
        <v>2715.8</v>
      </c>
    </row>
    <row r="611" spans="1:14" x14ac:dyDescent="0.3">
      <c r="A611" s="7" t="str">
        <f>RawData!A611</f>
        <v>ORD200609</v>
      </c>
      <c r="B611" s="11">
        <f>RawData!B611</f>
        <v>45684</v>
      </c>
      <c r="C611" s="7" t="str">
        <f>RawData!C611</f>
        <v>C41137</v>
      </c>
      <c r="D611" s="7" t="str">
        <f>RawData!D611</f>
        <v>Chair</v>
      </c>
      <c r="E611" s="7">
        <f>RawData!E611</f>
        <v>3</v>
      </c>
      <c r="F611" s="7">
        <f>RawData!F611</f>
        <v>449.13</v>
      </c>
      <c r="G611" s="7" t="str">
        <f>RawData!G611</f>
        <v>809 Main St</v>
      </c>
      <c r="H611" s="7" t="str">
        <f>RawData!H611</f>
        <v>Cash</v>
      </c>
      <c r="I611" s="7" t="str">
        <f>RawData!I611</f>
        <v>Returned</v>
      </c>
      <c r="J611" s="7" t="str">
        <f>RawData!J611</f>
        <v>TRK52732162</v>
      </c>
      <c r="K611" s="7">
        <f>RawData!K611</f>
        <v>5</v>
      </c>
      <c r="L611" s="7" t="str">
        <f>IF(RawData!L611="","No Coupon",RawData!L611)</f>
        <v>WINTER15</v>
      </c>
      <c r="M611" s="7" t="str">
        <f>RawData!M611</f>
        <v>Referral</v>
      </c>
      <c r="N611" s="7">
        <f>RawData!N611</f>
        <v>1347.39</v>
      </c>
    </row>
    <row r="612" spans="1:14" x14ac:dyDescent="0.3">
      <c r="A612" s="7" t="str">
        <f>RawData!A612</f>
        <v>ORD200610</v>
      </c>
      <c r="B612" s="11">
        <f>RawData!B612</f>
        <v>45459</v>
      </c>
      <c r="C612" s="7" t="str">
        <f>RawData!C612</f>
        <v>C60361</v>
      </c>
      <c r="D612" s="7" t="str">
        <f>RawData!D612</f>
        <v>Desk</v>
      </c>
      <c r="E612" s="7">
        <f>RawData!E612</f>
        <v>5</v>
      </c>
      <c r="F612" s="7">
        <f>RawData!F612</f>
        <v>389.62</v>
      </c>
      <c r="G612" s="7" t="str">
        <f>RawData!G612</f>
        <v>623 Main St</v>
      </c>
      <c r="H612" s="7" t="str">
        <f>RawData!H612</f>
        <v>Cash</v>
      </c>
      <c r="I612" s="7" t="str">
        <f>RawData!I612</f>
        <v>Returned</v>
      </c>
      <c r="J612" s="7" t="str">
        <f>RawData!J612</f>
        <v>TRK83566924</v>
      </c>
      <c r="K612" s="7">
        <f>RawData!K612</f>
        <v>7</v>
      </c>
      <c r="L612" s="7" t="str">
        <f>IF(RawData!L612="","No Coupon",RawData!L612)</f>
        <v>FREESHIP</v>
      </c>
      <c r="M612" s="7" t="str">
        <f>RawData!M612</f>
        <v>Facebook</v>
      </c>
      <c r="N612" s="7">
        <f>RawData!N612</f>
        <v>1948.1</v>
      </c>
    </row>
    <row r="613" spans="1:14" x14ac:dyDescent="0.3">
      <c r="A613" s="7" t="str">
        <f>RawData!A613</f>
        <v>ORD200611</v>
      </c>
      <c r="B613" s="11">
        <f>RawData!B613</f>
        <v>45037</v>
      </c>
      <c r="C613" s="7" t="str">
        <f>RawData!C613</f>
        <v>C36688</v>
      </c>
      <c r="D613" s="7" t="str">
        <f>RawData!D613</f>
        <v>Desk</v>
      </c>
      <c r="E613" s="7">
        <f>RawData!E613</f>
        <v>1</v>
      </c>
      <c r="F613" s="7">
        <f>RawData!F613</f>
        <v>305.17</v>
      </c>
      <c r="G613" s="7" t="str">
        <f>RawData!G613</f>
        <v>700 Main St</v>
      </c>
      <c r="H613" s="7" t="str">
        <f>RawData!H613</f>
        <v>Gift Card</v>
      </c>
      <c r="I613" s="7" t="str">
        <f>RawData!I613</f>
        <v>Returned</v>
      </c>
      <c r="J613" s="7" t="str">
        <f>RawData!J613</f>
        <v>TRK35720426</v>
      </c>
      <c r="K613" s="7">
        <f>RawData!K613</f>
        <v>3</v>
      </c>
      <c r="L613" s="7" t="str">
        <f>IF(RawData!L613="","No Coupon",RawData!L613)</f>
        <v>WINTER15</v>
      </c>
      <c r="M613" s="7" t="str">
        <f>RawData!M613</f>
        <v>Referral</v>
      </c>
      <c r="N613" s="7">
        <f>RawData!N613</f>
        <v>305.17</v>
      </c>
    </row>
    <row r="614" spans="1:14" x14ac:dyDescent="0.3">
      <c r="A614" s="7" t="str">
        <f>RawData!A614</f>
        <v>ORD200612</v>
      </c>
      <c r="B614" s="11">
        <f>RawData!B614</f>
        <v>45079</v>
      </c>
      <c r="C614" s="7" t="str">
        <f>RawData!C614</f>
        <v>C51811</v>
      </c>
      <c r="D614" s="7" t="str">
        <f>RawData!D614</f>
        <v>Chair</v>
      </c>
      <c r="E614" s="7">
        <f>RawData!E614</f>
        <v>3</v>
      </c>
      <c r="F614" s="7">
        <f>RawData!F614</f>
        <v>445.12</v>
      </c>
      <c r="G614" s="7" t="str">
        <f>RawData!G614</f>
        <v>339 Main St</v>
      </c>
      <c r="H614" s="7" t="str">
        <f>RawData!H614</f>
        <v>Gift Card</v>
      </c>
      <c r="I614" s="7" t="str">
        <f>RawData!I614</f>
        <v>Cancelled</v>
      </c>
      <c r="J614" s="7" t="str">
        <f>RawData!J614</f>
        <v>TRK82377939</v>
      </c>
      <c r="K614" s="7">
        <f>RawData!K614</f>
        <v>8</v>
      </c>
      <c r="L614" s="7" t="str">
        <f>IF(RawData!L614="","No Coupon",RawData!L614)</f>
        <v>No Coupon</v>
      </c>
      <c r="M614" s="7" t="str">
        <f>RawData!M614</f>
        <v>Google</v>
      </c>
      <c r="N614" s="7">
        <f>RawData!N614</f>
        <v>1335.36</v>
      </c>
    </row>
    <row r="615" spans="1:14" x14ac:dyDescent="0.3">
      <c r="A615" s="7" t="str">
        <f>RawData!A615</f>
        <v>ORD200613</v>
      </c>
      <c r="B615" s="11">
        <f>RawData!B615</f>
        <v>45645</v>
      </c>
      <c r="C615" s="7" t="str">
        <f>RawData!C615</f>
        <v>C62405</v>
      </c>
      <c r="D615" s="7" t="str">
        <f>RawData!D615</f>
        <v>Laptop</v>
      </c>
      <c r="E615" s="7">
        <f>RawData!E615</f>
        <v>2</v>
      </c>
      <c r="F615" s="7">
        <f>RawData!F615</f>
        <v>230.36</v>
      </c>
      <c r="G615" s="7" t="str">
        <f>RawData!G615</f>
        <v>154 Main St</v>
      </c>
      <c r="H615" s="7" t="str">
        <f>RawData!H615</f>
        <v>Online</v>
      </c>
      <c r="I615" s="7" t="str">
        <f>RawData!I615</f>
        <v>Returned</v>
      </c>
      <c r="J615" s="7" t="str">
        <f>RawData!J615</f>
        <v>TRK14721763</v>
      </c>
      <c r="K615" s="7">
        <f>RawData!K615</f>
        <v>4</v>
      </c>
      <c r="L615" s="7" t="str">
        <f>IF(RawData!L615="","No Coupon",RawData!L615)</f>
        <v>WINTER15</v>
      </c>
      <c r="M615" s="7" t="str">
        <f>RawData!M615</f>
        <v>Email</v>
      </c>
      <c r="N615" s="7">
        <f>RawData!N615</f>
        <v>460.72</v>
      </c>
    </row>
    <row r="616" spans="1:14" x14ac:dyDescent="0.3">
      <c r="A616" s="7" t="str">
        <f>RawData!A616</f>
        <v>ORD200614</v>
      </c>
      <c r="B616" s="11">
        <f>RawData!B616</f>
        <v>45359</v>
      </c>
      <c r="C616" s="7" t="str">
        <f>RawData!C616</f>
        <v>C77363</v>
      </c>
      <c r="D616" s="7" t="str">
        <f>RawData!D616</f>
        <v>Phone</v>
      </c>
      <c r="E616" s="7">
        <f>RawData!E616</f>
        <v>1</v>
      </c>
      <c r="F616" s="7">
        <f>RawData!F616</f>
        <v>96.81</v>
      </c>
      <c r="G616" s="7" t="str">
        <f>RawData!G616</f>
        <v>807 Main St</v>
      </c>
      <c r="H616" s="7" t="str">
        <f>RawData!H616</f>
        <v>Gift Card</v>
      </c>
      <c r="I616" s="7" t="str">
        <f>RawData!I616</f>
        <v>Cancelled</v>
      </c>
      <c r="J616" s="7" t="str">
        <f>RawData!J616</f>
        <v>TRK12439827</v>
      </c>
      <c r="K616" s="7">
        <f>RawData!K616</f>
        <v>3</v>
      </c>
      <c r="L616" s="7" t="str">
        <f>IF(RawData!L616="","No Coupon",RawData!L616)</f>
        <v>No Coupon</v>
      </c>
      <c r="M616" s="7" t="str">
        <f>RawData!M616</f>
        <v>Referral</v>
      </c>
      <c r="N616" s="7">
        <f>RawData!N616</f>
        <v>96.81</v>
      </c>
    </row>
    <row r="617" spans="1:14" x14ac:dyDescent="0.3">
      <c r="A617" s="7" t="str">
        <f>RawData!A617</f>
        <v>ORD200615</v>
      </c>
      <c r="B617" s="11">
        <f>RawData!B617</f>
        <v>45723</v>
      </c>
      <c r="C617" s="7" t="str">
        <f>RawData!C617</f>
        <v>C97218</v>
      </c>
      <c r="D617" s="7" t="str">
        <f>RawData!D617</f>
        <v>Monitor</v>
      </c>
      <c r="E617" s="7">
        <f>RawData!E617</f>
        <v>5</v>
      </c>
      <c r="F617" s="7">
        <f>RawData!F617</f>
        <v>460.14</v>
      </c>
      <c r="G617" s="7" t="str">
        <f>RawData!G617</f>
        <v>252 Main St</v>
      </c>
      <c r="H617" s="7" t="str">
        <f>RawData!H617</f>
        <v>Credit Card</v>
      </c>
      <c r="I617" s="7" t="str">
        <f>RawData!I617</f>
        <v>Returned</v>
      </c>
      <c r="J617" s="7" t="str">
        <f>RawData!J617</f>
        <v>TRK52632065</v>
      </c>
      <c r="K617" s="7">
        <f>RawData!K617</f>
        <v>10</v>
      </c>
      <c r="L617" s="7" t="str">
        <f>IF(RawData!L617="","No Coupon",RawData!L617)</f>
        <v>WINTER15</v>
      </c>
      <c r="M617" s="7" t="str">
        <f>RawData!M617</f>
        <v>Facebook</v>
      </c>
      <c r="N617" s="7">
        <f>RawData!N617</f>
        <v>2300.6999999999998</v>
      </c>
    </row>
    <row r="618" spans="1:14" x14ac:dyDescent="0.3">
      <c r="A618" s="7" t="str">
        <f>RawData!A618</f>
        <v>ORD200616</v>
      </c>
      <c r="B618" s="11">
        <f>RawData!B618</f>
        <v>45582</v>
      </c>
      <c r="C618" s="7" t="str">
        <f>RawData!C618</f>
        <v>C43919</v>
      </c>
      <c r="D618" s="7" t="str">
        <f>RawData!D618</f>
        <v>Tablet</v>
      </c>
      <c r="E618" s="7">
        <f>RawData!E618</f>
        <v>3</v>
      </c>
      <c r="F618" s="7">
        <f>RawData!F618</f>
        <v>601.6</v>
      </c>
      <c r="G618" s="7" t="str">
        <f>RawData!G618</f>
        <v>984 Main St</v>
      </c>
      <c r="H618" s="7" t="str">
        <f>RawData!H618</f>
        <v>Credit Card</v>
      </c>
      <c r="I618" s="7" t="str">
        <f>RawData!I618</f>
        <v>Cancelled</v>
      </c>
      <c r="J618" s="7" t="str">
        <f>RawData!J618</f>
        <v>TRK73113192</v>
      </c>
      <c r="K618" s="7">
        <f>RawData!K618</f>
        <v>7</v>
      </c>
      <c r="L618" s="7" t="str">
        <f>IF(RawData!L618="","No Coupon",RawData!L618)</f>
        <v>SAVE10</v>
      </c>
      <c r="M618" s="7" t="str">
        <f>RawData!M618</f>
        <v>Facebook</v>
      </c>
      <c r="N618" s="7">
        <f>RawData!N618</f>
        <v>1804.8</v>
      </c>
    </row>
    <row r="619" spans="1:14" x14ac:dyDescent="0.3">
      <c r="A619" s="7" t="str">
        <f>RawData!A619</f>
        <v>ORD200617</v>
      </c>
      <c r="B619" s="11">
        <f>RawData!B619</f>
        <v>45330</v>
      </c>
      <c r="C619" s="7" t="str">
        <f>RawData!C619</f>
        <v>C57093</v>
      </c>
      <c r="D619" s="7" t="str">
        <f>RawData!D619</f>
        <v>Tablet</v>
      </c>
      <c r="E619" s="7">
        <f>RawData!E619</f>
        <v>3</v>
      </c>
      <c r="F619" s="7">
        <f>RawData!F619</f>
        <v>184.47</v>
      </c>
      <c r="G619" s="7" t="str">
        <f>RawData!G619</f>
        <v>834 Main St</v>
      </c>
      <c r="H619" s="7" t="str">
        <f>RawData!H619</f>
        <v>Online</v>
      </c>
      <c r="I619" s="7" t="str">
        <f>RawData!I619</f>
        <v>Cancelled</v>
      </c>
      <c r="J619" s="7" t="str">
        <f>RawData!J619</f>
        <v>TRK75469057</v>
      </c>
      <c r="K619" s="7">
        <f>RawData!K619</f>
        <v>4</v>
      </c>
      <c r="L619" s="7" t="str">
        <f>IF(RawData!L619="","No Coupon",RawData!L619)</f>
        <v>No Coupon</v>
      </c>
      <c r="M619" s="7" t="str">
        <f>RawData!M619</f>
        <v>Referral</v>
      </c>
      <c r="N619" s="7">
        <f>RawData!N619</f>
        <v>553.41</v>
      </c>
    </row>
    <row r="620" spans="1:14" x14ac:dyDescent="0.3">
      <c r="A620" s="7" t="str">
        <f>RawData!A620</f>
        <v>ORD200618</v>
      </c>
      <c r="B620" s="11">
        <f>RawData!B620</f>
        <v>45538</v>
      </c>
      <c r="C620" s="7" t="str">
        <f>RawData!C620</f>
        <v>C50565</v>
      </c>
      <c r="D620" s="7" t="str">
        <f>RawData!D620</f>
        <v>Tablet</v>
      </c>
      <c r="E620" s="7">
        <f>RawData!E620</f>
        <v>1</v>
      </c>
      <c r="F620" s="7">
        <f>RawData!F620</f>
        <v>411.34</v>
      </c>
      <c r="G620" s="7" t="str">
        <f>RawData!G620</f>
        <v>399 Main St</v>
      </c>
      <c r="H620" s="7" t="str">
        <f>RawData!H620</f>
        <v>Debit Card</v>
      </c>
      <c r="I620" s="7" t="str">
        <f>RawData!I620</f>
        <v>Returned</v>
      </c>
      <c r="J620" s="7" t="str">
        <f>RawData!J620</f>
        <v>TRK97981418</v>
      </c>
      <c r="K620" s="7">
        <f>RawData!K620</f>
        <v>5</v>
      </c>
      <c r="L620" s="7" t="str">
        <f>IF(RawData!L620="","No Coupon",RawData!L620)</f>
        <v>No Coupon</v>
      </c>
      <c r="M620" s="7" t="str">
        <f>RawData!M620</f>
        <v>Instagram</v>
      </c>
      <c r="N620" s="7">
        <f>RawData!N620</f>
        <v>411.34</v>
      </c>
    </row>
    <row r="621" spans="1:14" x14ac:dyDescent="0.3">
      <c r="A621" s="7" t="str">
        <f>RawData!A621</f>
        <v>ORD200619</v>
      </c>
      <c r="B621" s="11">
        <f>RawData!B621</f>
        <v>45489</v>
      </c>
      <c r="C621" s="7" t="str">
        <f>RawData!C621</f>
        <v>C38845</v>
      </c>
      <c r="D621" s="7" t="str">
        <f>RawData!D621</f>
        <v>Laptop</v>
      </c>
      <c r="E621" s="7">
        <f>RawData!E621</f>
        <v>1</v>
      </c>
      <c r="F621" s="7">
        <f>RawData!F621</f>
        <v>532.89</v>
      </c>
      <c r="G621" s="7" t="str">
        <f>RawData!G621</f>
        <v>764 Main St</v>
      </c>
      <c r="H621" s="7" t="str">
        <f>RawData!H621</f>
        <v>Gift Card</v>
      </c>
      <c r="I621" s="7" t="str">
        <f>RawData!I621</f>
        <v>Pending</v>
      </c>
      <c r="J621" s="7" t="str">
        <f>RawData!J621</f>
        <v>TRK47637374</v>
      </c>
      <c r="K621" s="7">
        <f>RawData!K621</f>
        <v>2</v>
      </c>
      <c r="L621" s="7" t="str">
        <f>IF(RawData!L621="","No Coupon",RawData!L621)</f>
        <v>No Coupon</v>
      </c>
      <c r="M621" s="7" t="str">
        <f>RawData!M621</f>
        <v>Referral</v>
      </c>
      <c r="N621" s="7">
        <f>RawData!N621</f>
        <v>532.89</v>
      </c>
    </row>
    <row r="622" spans="1:14" x14ac:dyDescent="0.3">
      <c r="A622" s="7" t="str">
        <f>RawData!A622</f>
        <v>ORD200620</v>
      </c>
      <c r="B622" s="11">
        <f>RawData!B622</f>
        <v>45378</v>
      </c>
      <c r="C622" s="7" t="str">
        <f>RawData!C622</f>
        <v>C84834</v>
      </c>
      <c r="D622" s="7" t="str">
        <f>RawData!D622</f>
        <v>Tablet</v>
      </c>
      <c r="E622" s="7">
        <f>RawData!E622</f>
        <v>3</v>
      </c>
      <c r="F622" s="7">
        <f>RawData!F622</f>
        <v>136.34</v>
      </c>
      <c r="G622" s="7" t="str">
        <f>RawData!G622</f>
        <v>866 Main St</v>
      </c>
      <c r="H622" s="7" t="str">
        <f>RawData!H622</f>
        <v>Debit Card</v>
      </c>
      <c r="I622" s="7" t="str">
        <f>RawData!I622</f>
        <v>Returned</v>
      </c>
      <c r="J622" s="7" t="str">
        <f>RawData!J622</f>
        <v>TRK90136001</v>
      </c>
      <c r="K622" s="7">
        <f>RawData!K622</f>
        <v>8</v>
      </c>
      <c r="L622" s="7" t="str">
        <f>IF(RawData!L622="","No Coupon",RawData!L622)</f>
        <v>SAVE10</v>
      </c>
      <c r="M622" s="7" t="str">
        <f>RawData!M622</f>
        <v>Referral</v>
      </c>
      <c r="N622" s="7">
        <f>RawData!N622</f>
        <v>409.02</v>
      </c>
    </row>
    <row r="623" spans="1:14" x14ac:dyDescent="0.3">
      <c r="A623" s="7" t="str">
        <f>RawData!A623</f>
        <v>ORD200621</v>
      </c>
      <c r="B623" s="11">
        <f>RawData!B623</f>
        <v>45221</v>
      </c>
      <c r="C623" s="7" t="str">
        <f>RawData!C623</f>
        <v>C37455</v>
      </c>
      <c r="D623" s="7" t="str">
        <f>RawData!D623</f>
        <v>Phone</v>
      </c>
      <c r="E623" s="7">
        <f>RawData!E623</f>
        <v>5</v>
      </c>
      <c r="F623" s="7">
        <f>RawData!F623</f>
        <v>476.01</v>
      </c>
      <c r="G623" s="7" t="str">
        <f>RawData!G623</f>
        <v>146 Main St</v>
      </c>
      <c r="H623" s="7" t="str">
        <f>RawData!H623</f>
        <v>Credit Card</v>
      </c>
      <c r="I623" s="7" t="str">
        <f>RawData!I623</f>
        <v>Delivered</v>
      </c>
      <c r="J623" s="7" t="str">
        <f>RawData!J623</f>
        <v>TRK82685594</v>
      </c>
      <c r="K623" s="7">
        <f>RawData!K623</f>
        <v>7</v>
      </c>
      <c r="L623" s="7" t="str">
        <f>IF(RawData!L623="","No Coupon",RawData!L623)</f>
        <v>WINTER15</v>
      </c>
      <c r="M623" s="7" t="str">
        <f>RawData!M623</f>
        <v>Google</v>
      </c>
      <c r="N623" s="7">
        <f>RawData!N623</f>
        <v>2380.0500000000002</v>
      </c>
    </row>
    <row r="624" spans="1:14" x14ac:dyDescent="0.3">
      <c r="A624" s="7" t="str">
        <f>RawData!A624</f>
        <v>ORD200622</v>
      </c>
      <c r="B624" s="11">
        <f>RawData!B624</f>
        <v>45598</v>
      </c>
      <c r="C624" s="7" t="str">
        <f>RawData!C624</f>
        <v>C27078</v>
      </c>
      <c r="D624" s="7" t="str">
        <f>RawData!D624</f>
        <v>Desk</v>
      </c>
      <c r="E624" s="7">
        <f>RawData!E624</f>
        <v>5</v>
      </c>
      <c r="F624" s="7">
        <f>RawData!F624</f>
        <v>236.38</v>
      </c>
      <c r="G624" s="7" t="str">
        <f>RawData!G624</f>
        <v>128 Main St</v>
      </c>
      <c r="H624" s="7" t="str">
        <f>RawData!H624</f>
        <v>Credit Card</v>
      </c>
      <c r="I624" s="7" t="str">
        <f>RawData!I624</f>
        <v>Returned</v>
      </c>
      <c r="J624" s="7" t="str">
        <f>RawData!J624</f>
        <v>TRK89314307</v>
      </c>
      <c r="K624" s="7">
        <f>RawData!K624</f>
        <v>7</v>
      </c>
      <c r="L624" s="7" t="str">
        <f>IF(RawData!L624="","No Coupon",RawData!L624)</f>
        <v>No Coupon</v>
      </c>
      <c r="M624" s="7" t="str">
        <f>RawData!M624</f>
        <v>Facebook</v>
      </c>
      <c r="N624" s="7">
        <f>RawData!N624</f>
        <v>1181.9000000000001</v>
      </c>
    </row>
    <row r="625" spans="1:14" x14ac:dyDescent="0.3">
      <c r="A625" s="7" t="str">
        <f>RawData!A625</f>
        <v>ORD200623</v>
      </c>
      <c r="B625" s="11">
        <f>RawData!B625</f>
        <v>45093</v>
      </c>
      <c r="C625" s="7" t="str">
        <f>RawData!C625</f>
        <v>C91941</v>
      </c>
      <c r="D625" s="7" t="str">
        <f>RawData!D625</f>
        <v>Printer</v>
      </c>
      <c r="E625" s="7">
        <f>RawData!E625</f>
        <v>3</v>
      </c>
      <c r="F625" s="7">
        <f>RawData!F625</f>
        <v>396</v>
      </c>
      <c r="G625" s="7" t="str">
        <f>RawData!G625</f>
        <v>269 Main St</v>
      </c>
      <c r="H625" s="7" t="str">
        <f>RawData!H625</f>
        <v>Gift Card</v>
      </c>
      <c r="I625" s="7" t="str">
        <f>RawData!I625</f>
        <v>Cancelled</v>
      </c>
      <c r="J625" s="7" t="str">
        <f>RawData!J625</f>
        <v>TRK21330732</v>
      </c>
      <c r="K625" s="7">
        <f>RawData!K625</f>
        <v>4</v>
      </c>
      <c r="L625" s="7" t="str">
        <f>IF(RawData!L625="","No Coupon",RawData!L625)</f>
        <v>FREESHIP</v>
      </c>
      <c r="M625" s="7" t="str">
        <f>RawData!M625</f>
        <v>Instagram</v>
      </c>
      <c r="N625" s="7">
        <f>RawData!N625</f>
        <v>1188</v>
      </c>
    </row>
    <row r="626" spans="1:14" x14ac:dyDescent="0.3">
      <c r="A626" s="7" t="str">
        <f>RawData!A626</f>
        <v>ORD200624</v>
      </c>
      <c r="B626" s="11">
        <f>RawData!B626</f>
        <v>45307</v>
      </c>
      <c r="C626" s="7" t="str">
        <f>RawData!C626</f>
        <v>C25967</v>
      </c>
      <c r="D626" s="7" t="str">
        <f>RawData!D626</f>
        <v>Tablet</v>
      </c>
      <c r="E626" s="7">
        <f>RawData!E626</f>
        <v>5</v>
      </c>
      <c r="F626" s="7">
        <f>RawData!F626</f>
        <v>341.96</v>
      </c>
      <c r="G626" s="7" t="str">
        <f>RawData!G626</f>
        <v>747 Main St</v>
      </c>
      <c r="H626" s="7" t="str">
        <f>RawData!H626</f>
        <v>Debit Card</v>
      </c>
      <c r="I626" s="7" t="str">
        <f>RawData!I626</f>
        <v>Delivered</v>
      </c>
      <c r="J626" s="7" t="str">
        <f>RawData!J626</f>
        <v>TRK88559278</v>
      </c>
      <c r="K626" s="7">
        <f>RawData!K626</f>
        <v>6</v>
      </c>
      <c r="L626" s="7" t="str">
        <f>IF(RawData!L626="","No Coupon",RawData!L626)</f>
        <v>No Coupon</v>
      </c>
      <c r="M626" s="7" t="str">
        <f>RawData!M626</f>
        <v>Email</v>
      </c>
      <c r="N626" s="7">
        <f>RawData!N626</f>
        <v>1709.8</v>
      </c>
    </row>
    <row r="627" spans="1:14" x14ac:dyDescent="0.3">
      <c r="A627" s="7" t="str">
        <f>RawData!A627</f>
        <v>ORD200625</v>
      </c>
      <c r="B627" s="11">
        <f>RawData!B627</f>
        <v>45193</v>
      </c>
      <c r="C627" s="7" t="str">
        <f>RawData!C627</f>
        <v>C22123</v>
      </c>
      <c r="D627" s="7" t="str">
        <f>RawData!D627</f>
        <v>Tablet</v>
      </c>
      <c r="E627" s="7">
        <f>RawData!E627</f>
        <v>1</v>
      </c>
      <c r="F627" s="7">
        <f>RawData!F627</f>
        <v>672.89</v>
      </c>
      <c r="G627" s="7" t="str">
        <f>RawData!G627</f>
        <v>519 Main St</v>
      </c>
      <c r="H627" s="7" t="str">
        <f>RawData!H627</f>
        <v>Credit Card</v>
      </c>
      <c r="I627" s="7" t="str">
        <f>RawData!I627</f>
        <v>Pending</v>
      </c>
      <c r="J627" s="7" t="str">
        <f>RawData!J627</f>
        <v>TRK43250279</v>
      </c>
      <c r="K627" s="7">
        <f>RawData!K627</f>
        <v>1</v>
      </c>
      <c r="L627" s="7" t="str">
        <f>IF(RawData!L627="","No Coupon",RawData!L627)</f>
        <v>WINTER15</v>
      </c>
      <c r="M627" s="7" t="str">
        <f>RawData!M627</f>
        <v>Email</v>
      </c>
      <c r="N627" s="7">
        <f>RawData!N627</f>
        <v>672.89</v>
      </c>
    </row>
    <row r="628" spans="1:14" x14ac:dyDescent="0.3">
      <c r="A628" s="7" t="str">
        <f>RawData!A628</f>
        <v>ORD200626</v>
      </c>
      <c r="B628" s="11">
        <f>RawData!B628</f>
        <v>45352</v>
      </c>
      <c r="C628" s="7" t="str">
        <f>RawData!C628</f>
        <v>C45671</v>
      </c>
      <c r="D628" s="7" t="str">
        <f>RawData!D628</f>
        <v>Tablet</v>
      </c>
      <c r="E628" s="7">
        <f>RawData!E628</f>
        <v>2</v>
      </c>
      <c r="F628" s="7">
        <f>RawData!F628</f>
        <v>657.48</v>
      </c>
      <c r="G628" s="7" t="str">
        <f>RawData!G628</f>
        <v>769 Main St</v>
      </c>
      <c r="H628" s="7" t="str">
        <f>RawData!H628</f>
        <v>Online</v>
      </c>
      <c r="I628" s="7" t="str">
        <f>RawData!I628</f>
        <v>Shipped</v>
      </c>
      <c r="J628" s="7" t="str">
        <f>RawData!J628</f>
        <v>TRK18179773</v>
      </c>
      <c r="K628" s="7">
        <f>RawData!K628</f>
        <v>5</v>
      </c>
      <c r="L628" s="7" t="str">
        <f>IF(RawData!L628="","No Coupon",RawData!L628)</f>
        <v>SAVE10</v>
      </c>
      <c r="M628" s="7" t="str">
        <f>RawData!M628</f>
        <v>Referral</v>
      </c>
      <c r="N628" s="7">
        <f>RawData!N628</f>
        <v>1314.96</v>
      </c>
    </row>
    <row r="629" spans="1:14" x14ac:dyDescent="0.3">
      <c r="A629" s="7" t="str">
        <f>RawData!A629</f>
        <v>ORD200627</v>
      </c>
      <c r="B629" s="11">
        <f>RawData!B629</f>
        <v>45144</v>
      </c>
      <c r="C629" s="7" t="str">
        <f>RawData!C629</f>
        <v>C53334</v>
      </c>
      <c r="D629" s="7" t="str">
        <f>RawData!D629</f>
        <v>Chair</v>
      </c>
      <c r="E629" s="7">
        <f>RawData!E629</f>
        <v>3</v>
      </c>
      <c r="F629" s="7">
        <f>RawData!F629</f>
        <v>498.68</v>
      </c>
      <c r="G629" s="7" t="str">
        <f>RawData!G629</f>
        <v>879 Main St</v>
      </c>
      <c r="H629" s="7" t="str">
        <f>RawData!H629</f>
        <v>Online</v>
      </c>
      <c r="I629" s="7" t="str">
        <f>RawData!I629</f>
        <v>Returned</v>
      </c>
      <c r="J629" s="7" t="str">
        <f>RawData!J629</f>
        <v>TRK31724421</v>
      </c>
      <c r="K629" s="7">
        <f>RawData!K629</f>
        <v>4</v>
      </c>
      <c r="L629" s="7" t="str">
        <f>IF(RawData!L629="","No Coupon",RawData!L629)</f>
        <v>FREESHIP</v>
      </c>
      <c r="M629" s="7" t="str">
        <f>RawData!M629</f>
        <v>Email</v>
      </c>
      <c r="N629" s="7">
        <f>RawData!N629</f>
        <v>1496.04</v>
      </c>
    </row>
    <row r="630" spans="1:14" x14ac:dyDescent="0.3">
      <c r="A630" s="7" t="str">
        <f>RawData!A630</f>
        <v>ORD200628</v>
      </c>
      <c r="B630" s="11">
        <f>RawData!B630</f>
        <v>45011</v>
      </c>
      <c r="C630" s="7" t="str">
        <f>RawData!C630</f>
        <v>C18717</v>
      </c>
      <c r="D630" s="7" t="str">
        <f>RawData!D630</f>
        <v>Printer</v>
      </c>
      <c r="E630" s="7">
        <f>RawData!E630</f>
        <v>5</v>
      </c>
      <c r="F630" s="7">
        <f>RawData!F630</f>
        <v>558.63</v>
      </c>
      <c r="G630" s="7" t="str">
        <f>RawData!G630</f>
        <v>861 Main St</v>
      </c>
      <c r="H630" s="7" t="str">
        <f>RawData!H630</f>
        <v>Cash</v>
      </c>
      <c r="I630" s="7" t="str">
        <f>RawData!I630</f>
        <v>Pending</v>
      </c>
      <c r="J630" s="7" t="str">
        <f>RawData!J630</f>
        <v>TRK58568806</v>
      </c>
      <c r="K630" s="7">
        <f>RawData!K630</f>
        <v>8</v>
      </c>
      <c r="L630" s="7" t="str">
        <f>IF(RawData!L630="","No Coupon",RawData!L630)</f>
        <v>FREESHIP</v>
      </c>
      <c r="M630" s="7" t="str">
        <f>RawData!M630</f>
        <v>Referral</v>
      </c>
      <c r="N630" s="7">
        <f>RawData!N630</f>
        <v>2793.15</v>
      </c>
    </row>
    <row r="631" spans="1:14" x14ac:dyDescent="0.3">
      <c r="A631" s="7" t="str">
        <f>RawData!A631</f>
        <v>ORD200629</v>
      </c>
      <c r="B631" s="11">
        <f>RawData!B631</f>
        <v>45114</v>
      </c>
      <c r="C631" s="7" t="str">
        <f>RawData!C631</f>
        <v>C50137</v>
      </c>
      <c r="D631" s="7" t="str">
        <f>RawData!D631</f>
        <v>Phone</v>
      </c>
      <c r="E631" s="7">
        <f>RawData!E631</f>
        <v>3</v>
      </c>
      <c r="F631" s="7">
        <f>RawData!F631</f>
        <v>19.73</v>
      </c>
      <c r="G631" s="7" t="str">
        <f>RawData!G631</f>
        <v>840 Main St</v>
      </c>
      <c r="H631" s="7" t="str">
        <f>RawData!H631</f>
        <v>Online</v>
      </c>
      <c r="I631" s="7" t="str">
        <f>RawData!I631</f>
        <v>Pending</v>
      </c>
      <c r="J631" s="7" t="str">
        <f>RawData!J631</f>
        <v>TRK91836131</v>
      </c>
      <c r="K631" s="7">
        <f>RawData!K631</f>
        <v>3</v>
      </c>
      <c r="L631" s="7" t="str">
        <f>IF(RawData!L631="","No Coupon",RawData!L631)</f>
        <v>No Coupon</v>
      </c>
      <c r="M631" s="7" t="str">
        <f>RawData!M631</f>
        <v>Referral</v>
      </c>
      <c r="N631" s="7">
        <f>RawData!N631</f>
        <v>59.19</v>
      </c>
    </row>
    <row r="632" spans="1:14" x14ac:dyDescent="0.3">
      <c r="A632" s="7" t="str">
        <f>RawData!A632</f>
        <v>ORD200630</v>
      </c>
      <c r="B632" s="11">
        <f>RawData!B632</f>
        <v>45100</v>
      </c>
      <c r="C632" s="7" t="str">
        <f>RawData!C632</f>
        <v>C51481</v>
      </c>
      <c r="D632" s="7" t="str">
        <f>RawData!D632</f>
        <v>Monitor</v>
      </c>
      <c r="E632" s="7">
        <f>RawData!E632</f>
        <v>5</v>
      </c>
      <c r="F632" s="7">
        <f>RawData!F632</f>
        <v>248.84</v>
      </c>
      <c r="G632" s="7" t="str">
        <f>RawData!G632</f>
        <v>140 Main St</v>
      </c>
      <c r="H632" s="7" t="str">
        <f>RawData!H632</f>
        <v>Debit Card</v>
      </c>
      <c r="I632" s="7" t="str">
        <f>RawData!I632</f>
        <v>Cancelled</v>
      </c>
      <c r="J632" s="7" t="str">
        <f>RawData!J632</f>
        <v>TRK33437701</v>
      </c>
      <c r="K632" s="7">
        <f>RawData!K632</f>
        <v>10</v>
      </c>
      <c r="L632" s="7" t="str">
        <f>IF(RawData!L632="","No Coupon",RawData!L632)</f>
        <v>No Coupon</v>
      </c>
      <c r="M632" s="7" t="str">
        <f>RawData!M632</f>
        <v>Instagram</v>
      </c>
      <c r="N632" s="7">
        <f>RawData!N632</f>
        <v>1244.2</v>
      </c>
    </row>
    <row r="633" spans="1:14" x14ac:dyDescent="0.3">
      <c r="A633" s="7" t="str">
        <f>RawData!A633</f>
        <v>ORD200631</v>
      </c>
      <c r="B633" s="11">
        <f>RawData!B633</f>
        <v>45535</v>
      </c>
      <c r="C633" s="7" t="str">
        <f>RawData!C633</f>
        <v>C99128</v>
      </c>
      <c r="D633" s="7" t="str">
        <f>RawData!D633</f>
        <v>Chair</v>
      </c>
      <c r="E633" s="7">
        <f>RawData!E633</f>
        <v>3</v>
      </c>
      <c r="F633" s="7">
        <f>RawData!F633</f>
        <v>46.11</v>
      </c>
      <c r="G633" s="7" t="str">
        <f>RawData!G633</f>
        <v>360 Main St</v>
      </c>
      <c r="H633" s="7" t="str">
        <f>RawData!H633</f>
        <v>Gift Card</v>
      </c>
      <c r="I633" s="7" t="str">
        <f>RawData!I633</f>
        <v>Returned</v>
      </c>
      <c r="J633" s="7" t="str">
        <f>RawData!J633</f>
        <v>TRK32426808</v>
      </c>
      <c r="K633" s="7">
        <f>RawData!K633</f>
        <v>5</v>
      </c>
      <c r="L633" s="7" t="str">
        <f>IF(RawData!L633="","No Coupon",RawData!L633)</f>
        <v>WINTER15</v>
      </c>
      <c r="M633" s="7" t="str">
        <f>RawData!M633</f>
        <v>Referral</v>
      </c>
      <c r="N633" s="7">
        <f>RawData!N633</f>
        <v>138.33000000000001</v>
      </c>
    </row>
    <row r="634" spans="1:14" x14ac:dyDescent="0.3">
      <c r="A634" s="7" t="str">
        <f>RawData!A634</f>
        <v>ORD200632</v>
      </c>
      <c r="B634" s="11">
        <f>RawData!B634</f>
        <v>45048</v>
      </c>
      <c r="C634" s="7" t="str">
        <f>RawData!C634</f>
        <v>C67260</v>
      </c>
      <c r="D634" s="7" t="str">
        <f>RawData!D634</f>
        <v>Laptop</v>
      </c>
      <c r="E634" s="7">
        <f>RawData!E634</f>
        <v>5</v>
      </c>
      <c r="F634" s="7">
        <f>RawData!F634</f>
        <v>678.16</v>
      </c>
      <c r="G634" s="7" t="str">
        <f>RawData!G634</f>
        <v>463 Main St</v>
      </c>
      <c r="H634" s="7" t="str">
        <f>RawData!H634</f>
        <v>Gift Card</v>
      </c>
      <c r="I634" s="7" t="str">
        <f>RawData!I634</f>
        <v>Delivered</v>
      </c>
      <c r="J634" s="7" t="str">
        <f>RawData!J634</f>
        <v>TRK38229104</v>
      </c>
      <c r="K634" s="7">
        <f>RawData!K634</f>
        <v>7</v>
      </c>
      <c r="L634" s="7" t="str">
        <f>IF(RawData!L634="","No Coupon",RawData!L634)</f>
        <v>WINTER15</v>
      </c>
      <c r="M634" s="7" t="str">
        <f>RawData!M634</f>
        <v>Facebook</v>
      </c>
      <c r="N634" s="7">
        <f>RawData!N634</f>
        <v>3390.8</v>
      </c>
    </row>
    <row r="635" spans="1:14" x14ac:dyDescent="0.3">
      <c r="A635" s="7" t="str">
        <f>RawData!A635</f>
        <v>ORD200633</v>
      </c>
      <c r="B635" s="11">
        <f>RawData!B635</f>
        <v>45392</v>
      </c>
      <c r="C635" s="7" t="str">
        <f>RawData!C635</f>
        <v>C79533</v>
      </c>
      <c r="D635" s="7" t="str">
        <f>RawData!D635</f>
        <v>Laptop</v>
      </c>
      <c r="E635" s="7">
        <f>RawData!E635</f>
        <v>5</v>
      </c>
      <c r="F635" s="7">
        <f>RawData!F635</f>
        <v>601.72</v>
      </c>
      <c r="G635" s="7" t="str">
        <f>RawData!G635</f>
        <v>921 Main St</v>
      </c>
      <c r="H635" s="7" t="str">
        <f>RawData!H635</f>
        <v>Gift Card</v>
      </c>
      <c r="I635" s="7" t="str">
        <f>RawData!I635</f>
        <v>Cancelled</v>
      </c>
      <c r="J635" s="7" t="str">
        <f>RawData!J635</f>
        <v>TRK54711422</v>
      </c>
      <c r="K635" s="7">
        <f>RawData!K635</f>
        <v>5</v>
      </c>
      <c r="L635" s="7" t="str">
        <f>IF(RawData!L635="","No Coupon",RawData!L635)</f>
        <v>WINTER15</v>
      </c>
      <c r="M635" s="7" t="str">
        <f>RawData!M635</f>
        <v>Instagram</v>
      </c>
      <c r="N635" s="7">
        <f>RawData!N635</f>
        <v>3008.6</v>
      </c>
    </row>
    <row r="636" spans="1:14" x14ac:dyDescent="0.3">
      <c r="A636" s="7" t="str">
        <f>RawData!A636</f>
        <v>ORD200634</v>
      </c>
      <c r="B636" s="11">
        <f>RawData!B636</f>
        <v>45407</v>
      </c>
      <c r="C636" s="7" t="str">
        <f>RawData!C636</f>
        <v>C66906</v>
      </c>
      <c r="D636" s="7" t="str">
        <f>RawData!D636</f>
        <v>Printer</v>
      </c>
      <c r="E636" s="7">
        <f>RawData!E636</f>
        <v>2</v>
      </c>
      <c r="F636" s="7">
        <f>RawData!F636</f>
        <v>259.32</v>
      </c>
      <c r="G636" s="7" t="str">
        <f>RawData!G636</f>
        <v>117 Main St</v>
      </c>
      <c r="H636" s="7" t="str">
        <f>RawData!H636</f>
        <v>Gift Card</v>
      </c>
      <c r="I636" s="7" t="str">
        <f>RawData!I636</f>
        <v>Delivered</v>
      </c>
      <c r="J636" s="7" t="str">
        <f>RawData!J636</f>
        <v>TRK31633755</v>
      </c>
      <c r="K636" s="7">
        <f>RawData!K636</f>
        <v>2</v>
      </c>
      <c r="L636" s="7" t="str">
        <f>IF(RawData!L636="","No Coupon",RawData!L636)</f>
        <v>WINTER15</v>
      </c>
      <c r="M636" s="7" t="str">
        <f>RawData!M636</f>
        <v>Referral</v>
      </c>
      <c r="N636" s="7">
        <f>RawData!N636</f>
        <v>518.64</v>
      </c>
    </row>
    <row r="637" spans="1:14" x14ac:dyDescent="0.3">
      <c r="A637" s="7" t="str">
        <f>RawData!A637</f>
        <v>ORD200635</v>
      </c>
      <c r="B637" s="11">
        <f>RawData!B637</f>
        <v>45273</v>
      </c>
      <c r="C637" s="7" t="str">
        <f>RawData!C637</f>
        <v>C12818</v>
      </c>
      <c r="D637" s="7" t="str">
        <f>RawData!D637</f>
        <v>Chair</v>
      </c>
      <c r="E637" s="7">
        <f>RawData!E637</f>
        <v>3</v>
      </c>
      <c r="F637" s="7">
        <f>RawData!F637</f>
        <v>63.68</v>
      </c>
      <c r="G637" s="7" t="str">
        <f>RawData!G637</f>
        <v>434 Main St</v>
      </c>
      <c r="H637" s="7" t="str">
        <f>RawData!H637</f>
        <v>Cash</v>
      </c>
      <c r="I637" s="7" t="str">
        <f>RawData!I637</f>
        <v>Returned</v>
      </c>
      <c r="J637" s="7" t="str">
        <f>RawData!J637</f>
        <v>TRK40879983</v>
      </c>
      <c r="K637" s="7">
        <f>RawData!K637</f>
        <v>6</v>
      </c>
      <c r="L637" s="7" t="str">
        <f>IF(RawData!L637="","No Coupon",RawData!L637)</f>
        <v>No Coupon</v>
      </c>
      <c r="M637" s="7" t="str">
        <f>RawData!M637</f>
        <v>Facebook</v>
      </c>
      <c r="N637" s="7">
        <f>RawData!N637</f>
        <v>191.04</v>
      </c>
    </row>
    <row r="638" spans="1:14" x14ac:dyDescent="0.3">
      <c r="A638" s="7" t="str">
        <f>RawData!A638</f>
        <v>ORD200636</v>
      </c>
      <c r="B638" s="11">
        <f>RawData!B638</f>
        <v>45204</v>
      </c>
      <c r="C638" s="7" t="str">
        <f>RawData!C638</f>
        <v>C60384</v>
      </c>
      <c r="D638" s="7" t="str">
        <f>RawData!D638</f>
        <v>Laptop</v>
      </c>
      <c r="E638" s="7">
        <f>RawData!E638</f>
        <v>4</v>
      </c>
      <c r="F638" s="7">
        <f>RawData!F638</f>
        <v>371.07</v>
      </c>
      <c r="G638" s="7" t="str">
        <f>RawData!G638</f>
        <v>336 Main St</v>
      </c>
      <c r="H638" s="7" t="str">
        <f>RawData!H638</f>
        <v>Cash</v>
      </c>
      <c r="I638" s="7" t="str">
        <f>RawData!I638</f>
        <v>Cancelled</v>
      </c>
      <c r="J638" s="7" t="str">
        <f>RawData!J638</f>
        <v>TRK92080037</v>
      </c>
      <c r="K638" s="7">
        <f>RawData!K638</f>
        <v>7</v>
      </c>
      <c r="L638" s="7" t="str">
        <f>IF(RawData!L638="","No Coupon",RawData!L638)</f>
        <v>WINTER15</v>
      </c>
      <c r="M638" s="7" t="str">
        <f>RawData!M638</f>
        <v>Facebook</v>
      </c>
      <c r="N638" s="7">
        <f>RawData!N638</f>
        <v>1484.28</v>
      </c>
    </row>
    <row r="639" spans="1:14" x14ac:dyDescent="0.3">
      <c r="A639" s="7" t="str">
        <f>RawData!A639</f>
        <v>ORD200637</v>
      </c>
      <c r="B639" s="11">
        <f>RawData!B639</f>
        <v>45564</v>
      </c>
      <c r="C639" s="7" t="str">
        <f>RawData!C639</f>
        <v>C92294</v>
      </c>
      <c r="D639" s="7" t="str">
        <f>RawData!D639</f>
        <v>Chair</v>
      </c>
      <c r="E639" s="7">
        <f>RawData!E639</f>
        <v>4</v>
      </c>
      <c r="F639" s="7">
        <f>RawData!F639</f>
        <v>306.35000000000002</v>
      </c>
      <c r="G639" s="7" t="str">
        <f>RawData!G639</f>
        <v>784 Main St</v>
      </c>
      <c r="H639" s="7" t="str">
        <f>RawData!H639</f>
        <v>Gift Card</v>
      </c>
      <c r="I639" s="7" t="str">
        <f>RawData!I639</f>
        <v>Shipped</v>
      </c>
      <c r="J639" s="7" t="str">
        <f>RawData!J639</f>
        <v>TRK23585765</v>
      </c>
      <c r="K639" s="7">
        <f>RawData!K639</f>
        <v>7</v>
      </c>
      <c r="L639" s="7" t="str">
        <f>IF(RawData!L639="","No Coupon",RawData!L639)</f>
        <v>WINTER15</v>
      </c>
      <c r="M639" s="7" t="str">
        <f>RawData!M639</f>
        <v>Referral</v>
      </c>
      <c r="N639" s="7">
        <f>RawData!N639</f>
        <v>1225.4000000000001</v>
      </c>
    </row>
    <row r="640" spans="1:14" x14ac:dyDescent="0.3">
      <c r="A640" s="7" t="str">
        <f>RawData!A640</f>
        <v>ORD200638</v>
      </c>
      <c r="B640" s="11">
        <f>RawData!B640</f>
        <v>45214</v>
      </c>
      <c r="C640" s="7" t="str">
        <f>RawData!C640</f>
        <v>C66840</v>
      </c>
      <c r="D640" s="7" t="str">
        <f>RawData!D640</f>
        <v>Tablet</v>
      </c>
      <c r="E640" s="7">
        <f>RawData!E640</f>
        <v>4</v>
      </c>
      <c r="F640" s="7">
        <f>RawData!F640</f>
        <v>578.27</v>
      </c>
      <c r="G640" s="7" t="str">
        <f>RawData!G640</f>
        <v>547 Main St</v>
      </c>
      <c r="H640" s="7" t="str">
        <f>RawData!H640</f>
        <v>Online</v>
      </c>
      <c r="I640" s="7" t="str">
        <f>RawData!I640</f>
        <v>Delivered</v>
      </c>
      <c r="J640" s="7" t="str">
        <f>RawData!J640</f>
        <v>TRK76929637</v>
      </c>
      <c r="K640" s="7">
        <f>RawData!K640</f>
        <v>9</v>
      </c>
      <c r="L640" s="7" t="str">
        <f>IF(RawData!L640="","No Coupon",RawData!L640)</f>
        <v>WINTER15</v>
      </c>
      <c r="M640" s="7" t="str">
        <f>RawData!M640</f>
        <v>Email</v>
      </c>
      <c r="N640" s="7">
        <f>RawData!N640</f>
        <v>2313.08</v>
      </c>
    </row>
    <row r="641" spans="1:14" x14ac:dyDescent="0.3">
      <c r="A641" s="7" t="str">
        <f>RawData!A641</f>
        <v>ORD200639</v>
      </c>
      <c r="B641" s="11">
        <f>RawData!B641</f>
        <v>44946</v>
      </c>
      <c r="C641" s="7" t="str">
        <f>RawData!C641</f>
        <v>C22534</v>
      </c>
      <c r="D641" s="7" t="str">
        <f>RawData!D641</f>
        <v>Chair</v>
      </c>
      <c r="E641" s="7">
        <f>RawData!E641</f>
        <v>1</v>
      </c>
      <c r="F641" s="7">
        <f>RawData!F641</f>
        <v>529.19000000000005</v>
      </c>
      <c r="G641" s="7" t="str">
        <f>RawData!G641</f>
        <v>391 Main St</v>
      </c>
      <c r="H641" s="7" t="str">
        <f>RawData!H641</f>
        <v>Cash</v>
      </c>
      <c r="I641" s="7" t="str">
        <f>RawData!I641</f>
        <v>Cancelled</v>
      </c>
      <c r="J641" s="7" t="str">
        <f>RawData!J641</f>
        <v>TRK17415798</v>
      </c>
      <c r="K641" s="7">
        <f>RawData!K641</f>
        <v>5</v>
      </c>
      <c r="L641" s="7" t="str">
        <f>IF(RawData!L641="","No Coupon",RawData!L641)</f>
        <v>No Coupon</v>
      </c>
      <c r="M641" s="7" t="str">
        <f>RawData!M641</f>
        <v>Referral</v>
      </c>
      <c r="N641" s="7">
        <f>RawData!N641</f>
        <v>529.19000000000005</v>
      </c>
    </row>
    <row r="642" spans="1:14" x14ac:dyDescent="0.3">
      <c r="A642" s="7" t="str">
        <f>RawData!A642</f>
        <v>ORD200640</v>
      </c>
      <c r="B642" s="11">
        <f>RawData!B642</f>
        <v>45349</v>
      </c>
      <c r="C642" s="7" t="str">
        <f>RawData!C642</f>
        <v>C46509</v>
      </c>
      <c r="D642" s="7" t="str">
        <f>RawData!D642</f>
        <v>Chair</v>
      </c>
      <c r="E642" s="7">
        <f>RawData!E642</f>
        <v>2</v>
      </c>
      <c r="F642" s="7">
        <f>RawData!F642</f>
        <v>587.49</v>
      </c>
      <c r="G642" s="7" t="str">
        <f>RawData!G642</f>
        <v>647 Main St</v>
      </c>
      <c r="H642" s="7" t="str">
        <f>RawData!H642</f>
        <v>Gift Card</v>
      </c>
      <c r="I642" s="7" t="str">
        <f>RawData!I642</f>
        <v>Returned</v>
      </c>
      <c r="J642" s="7" t="str">
        <f>RawData!J642</f>
        <v>TRK24241664</v>
      </c>
      <c r="K642" s="7">
        <f>RawData!K642</f>
        <v>6</v>
      </c>
      <c r="L642" s="7" t="str">
        <f>IF(RawData!L642="","No Coupon",RawData!L642)</f>
        <v>SAVE10</v>
      </c>
      <c r="M642" s="7" t="str">
        <f>RawData!M642</f>
        <v>Referral</v>
      </c>
      <c r="N642" s="7">
        <f>RawData!N642</f>
        <v>1174.98</v>
      </c>
    </row>
    <row r="643" spans="1:14" x14ac:dyDescent="0.3">
      <c r="A643" s="7" t="str">
        <f>RawData!A643</f>
        <v>ORD200641</v>
      </c>
      <c r="B643" s="11">
        <f>RawData!B643</f>
        <v>45473</v>
      </c>
      <c r="C643" s="7" t="str">
        <f>RawData!C643</f>
        <v>C71680</v>
      </c>
      <c r="D643" s="7" t="str">
        <f>RawData!D643</f>
        <v>Printer</v>
      </c>
      <c r="E643" s="7">
        <f>RawData!E643</f>
        <v>4</v>
      </c>
      <c r="F643" s="7">
        <f>RawData!F643</f>
        <v>567.57000000000005</v>
      </c>
      <c r="G643" s="7" t="str">
        <f>RawData!G643</f>
        <v>814 Main St</v>
      </c>
      <c r="H643" s="7" t="str">
        <f>RawData!H643</f>
        <v>Debit Card</v>
      </c>
      <c r="I643" s="7" t="str">
        <f>RawData!I643</f>
        <v>Pending</v>
      </c>
      <c r="J643" s="7" t="str">
        <f>RawData!J643</f>
        <v>TRK47386650</v>
      </c>
      <c r="K643" s="7">
        <f>RawData!K643</f>
        <v>9</v>
      </c>
      <c r="L643" s="7" t="str">
        <f>IF(RawData!L643="","No Coupon",RawData!L643)</f>
        <v>WINTER15</v>
      </c>
      <c r="M643" s="7" t="str">
        <f>RawData!M643</f>
        <v>Google</v>
      </c>
      <c r="N643" s="7">
        <f>RawData!N643</f>
        <v>2270.2800000000002</v>
      </c>
    </row>
    <row r="644" spans="1:14" x14ac:dyDescent="0.3">
      <c r="A644" s="7" t="str">
        <f>RawData!A644</f>
        <v>ORD200642</v>
      </c>
      <c r="B644" s="11">
        <f>RawData!B644</f>
        <v>45411</v>
      </c>
      <c r="C644" s="7" t="str">
        <f>RawData!C644</f>
        <v>C15063</v>
      </c>
      <c r="D644" s="7" t="str">
        <f>RawData!D644</f>
        <v>Chair</v>
      </c>
      <c r="E644" s="7">
        <f>RawData!E644</f>
        <v>5</v>
      </c>
      <c r="F644" s="7">
        <f>RawData!F644</f>
        <v>85.22</v>
      </c>
      <c r="G644" s="7" t="str">
        <f>RawData!G644</f>
        <v>527 Main St</v>
      </c>
      <c r="H644" s="7" t="str">
        <f>RawData!H644</f>
        <v>Credit Card</v>
      </c>
      <c r="I644" s="7" t="str">
        <f>RawData!I644</f>
        <v>Cancelled</v>
      </c>
      <c r="J644" s="7" t="str">
        <f>RawData!J644</f>
        <v>TRK10329390</v>
      </c>
      <c r="K644" s="7">
        <f>RawData!K644</f>
        <v>7</v>
      </c>
      <c r="L644" s="7" t="str">
        <f>IF(RawData!L644="","No Coupon",RawData!L644)</f>
        <v>FREESHIP</v>
      </c>
      <c r="M644" s="7" t="str">
        <f>RawData!M644</f>
        <v>Email</v>
      </c>
      <c r="N644" s="7">
        <f>RawData!N644</f>
        <v>426.1</v>
      </c>
    </row>
    <row r="645" spans="1:14" x14ac:dyDescent="0.3">
      <c r="A645" s="7" t="str">
        <f>RawData!A645</f>
        <v>ORD200643</v>
      </c>
      <c r="B645" s="11">
        <f>RawData!B645</f>
        <v>45530</v>
      </c>
      <c r="C645" s="7" t="str">
        <f>RawData!C645</f>
        <v>C77122</v>
      </c>
      <c r="D645" s="7" t="str">
        <f>RawData!D645</f>
        <v>Laptop</v>
      </c>
      <c r="E645" s="7">
        <f>RawData!E645</f>
        <v>1</v>
      </c>
      <c r="F645" s="7">
        <f>RawData!F645</f>
        <v>438.37</v>
      </c>
      <c r="G645" s="7" t="str">
        <f>RawData!G645</f>
        <v>647 Main St</v>
      </c>
      <c r="H645" s="7" t="str">
        <f>RawData!H645</f>
        <v>Cash</v>
      </c>
      <c r="I645" s="7" t="str">
        <f>RawData!I645</f>
        <v>Cancelled</v>
      </c>
      <c r="J645" s="7" t="str">
        <f>RawData!J645</f>
        <v>TRK75814880</v>
      </c>
      <c r="K645" s="7">
        <f>RawData!K645</f>
        <v>4</v>
      </c>
      <c r="L645" s="7" t="str">
        <f>IF(RawData!L645="","No Coupon",RawData!L645)</f>
        <v>SAVE10</v>
      </c>
      <c r="M645" s="7" t="str">
        <f>RawData!M645</f>
        <v>Referral</v>
      </c>
      <c r="N645" s="7">
        <f>RawData!N645</f>
        <v>438.37</v>
      </c>
    </row>
    <row r="646" spans="1:14" x14ac:dyDescent="0.3">
      <c r="A646" s="7" t="str">
        <f>RawData!A646</f>
        <v>ORD200644</v>
      </c>
      <c r="B646" s="11">
        <f>RawData!B646</f>
        <v>45245</v>
      </c>
      <c r="C646" s="7" t="str">
        <f>RawData!C646</f>
        <v>C86524</v>
      </c>
      <c r="D646" s="7" t="str">
        <f>RawData!D646</f>
        <v>Chair</v>
      </c>
      <c r="E646" s="7">
        <f>RawData!E646</f>
        <v>2</v>
      </c>
      <c r="F646" s="7">
        <f>RawData!F646</f>
        <v>366.23</v>
      </c>
      <c r="G646" s="7" t="str">
        <f>RawData!G646</f>
        <v>961 Main St</v>
      </c>
      <c r="H646" s="7" t="str">
        <f>RawData!H646</f>
        <v>Cash</v>
      </c>
      <c r="I646" s="7" t="str">
        <f>RawData!I646</f>
        <v>Shipped</v>
      </c>
      <c r="J646" s="7" t="str">
        <f>RawData!J646</f>
        <v>TRK62490506</v>
      </c>
      <c r="K646" s="7">
        <f>RawData!K646</f>
        <v>2</v>
      </c>
      <c r="L646" s="7" t="str">
        <f>IF(RawData!L646="","No Coupon",RawData!L646)</f>
        <v>WINTER15</v>
      </c>
      <c r="M646" s="7" t="str">
        <f>RawData!M646</f>
        <v>Email</v>
      </c>
      <c r="N646" s="7">
        <f>RawData!N646</f>
        <v>732.46</v>
      </c>
    </row>
    <row r="647" spans="1:14" x14ac:dyDescent="0.3">
      <c r="A647" s="7" t="str">
        <f>RawData!A647</f>
        <v>ORD200645</v>
      </c>
      <c r="B647" s="11">
        <f>RawData!B647</f>
        <v>44928</v>
      </c>
      <c r="C647" s="7" t="str">
        <f>RawData!C647</f>
        <v>C82990</v>
      </c>
      <c r="D647" s="7" t="str">
        <f>RawData!D647</f>
        <v>Laptop</v>
      </c>
      <c r="E647" s="7">
        <f>RawData!E647</f>
        <v>2</v>
      </c>
      <c r="F647" s="7">
        <f>RawData!F647</f>
        <v>150.05000000000001</v>
      </c>
      <c r="G647" s="7" t="str">
        <f>RawData!G647</f>
        <v>727 Main St</v>
      </c>
      <c r="H647" s="7" t="str">
        <f>RawData!H647</f>
        <v>Credit Card</v>
      </c>
      <c r="I647" s="7" t="str">
        <f>RawData!I647</f>
        <v>Cancelled</v>
      </c>
      <c r="J647" s="7" t="str">
        <f>RawData!J647</f>
        <v>TRK68574801</v>
      </c>
      <c r="K647" s="7">
        <f>RawData!K647</f>
        <v>4</v>
      </c>
      <c r="L647" s="7" t="str">
        <f>IF(RawData!L647="","No Coupon",RawData!L647)</f>
        <v>SAVE10</v>
      </c>
      <c r="M647" s="7" t="str">
        <f>RawData!M647</f>
        <v>Facebook</v>
      </c>
      <c r="N647" s="7">
        <f>RawData!N647</f>
        <v>300.10000000000002</v>
      </c>
    </row>
    <row r="648" spans="1:14" x14ac:dyDescent="0.3">
      <c r="A648" s="7" t="str">
        <f>RawData!A648</f>
        <v>ORD200646</v>
      </c>
      <c r="B648" s="11">
        <f>RawData!B648</f>
        <v>45226</v>
      </c>
      <c r="C648" s="7" t="str">
        <f>RawData!C648</f>
        <v>C98761</v>
      </c>
      <c r="D648" s="7" t="str">
        <f>RawData!D648</f>
        <v>Chair</v>
      </c>
      <c r="E648" s="7">
        <f>RawData!E648</f>
        <v>4</v>
      </c>
      <c r="F648" s="7">
        <f>RawData!F648</f>
        <v>498.51</v>
      </c>
      <c r="G648" s="7" t="str">
        <f>RawData!G648</f>
        <v>804 Main St</v>
      </c>
      <c r="H648" s="7" t="str">
        <f>RawData!H648</f>
        <v>Debit Card</v>
      </c>
      <c r="I648" s="7" t="str">
        <f>RawData!I648</f>
        <v>Shipped</v>
      </c>
      <c r="J648" s="7" t="str">
        <f>RawData!J648</f>
        <v>TRK43262630</v>
      </c>
      <c r="K648" s="7">
        <f>RawData!K648</f>
        <v>4</v>
      </c>
      <c r="L648" s="7" t="str">
        <f>IF(RawData!L648="","No Coupon",RawData!L648)</f>
        <v>SAVE10</v>
      </c>
      <c r="M648" s="7" t="str">
        <f>RawData!M648</f>
        <v>Google</v>
      </c>
      <c r="N648" s="7">
        <f>RawData!N648</f>
        <v>1994.04</v>
      </c>
    </row>
    <row r="649" spans="1:14" x14ac:dyDescent="0.3">
      <c r="A649" s="7" t="str">
        <f>RawData!A649</f>
        <v>ORD200647</v>
      </c>
      <c r="B649" s="11">
        <f>RawData!B649</f>
        <v>45771</v>
      </c>
      <c r="C649" s="7" t="str">
        <f>RawData!C649</f>
        <v>C54409</v>
      </c>
      <c r="D649" s="7" t="str">
        <f>RawData!D649</f>
        <v>Desk</v>
      </c>
      <c r="E649" s="7">
        <f>RawData!E649</f>
        <v>3</v>
      </c>
      <c r="F649" s="7">
        <f>RawData!F649</f>
        <v>339.39</v>
      </c>
      <c r="G649" s="7" t="str">
        <f>RawData!G649</f>
        <v>667 Main St</v>
      </c>
      <c r="H649" s="7" t="str">
        <f>RawData!H649</f>
        <v>Cash</v>
      </c>
      <c r="I649" s="7" t="str">
        <f>RawData!I649</f>
        <v>Returned</v>
      </c>
      <c r="J649" s="7" t="str">
        <f>RawData!J649</f>
        <v>TRK67671316</v>
      </c>
      <c r="K649" s="7">
        <f>RawData!K649</f>
        <v>7</v>
      </c>
      <c r="L649" s="7" t="str">
        <f>IF(RawData!L649="","No Coupon",RawData!L649)</f>
        <v>FREESHIP</v>
      </c>
      <c r="M649" s="7" t="str">
        <f>RawData!M649</f>
        <v>Google</v>
      </c>
      <c r="N649" s="7">
        <f>RawData!N649</f>
        <v>1018.17</v>
      </c>
    </row>
    <row r="650" spans="1:14" x14ac:dyDescent="0.3">
      <c r="A650" s="7" t="str">
        <f>RawData!A650</f>
        <v>ORD200648</v>
      </c>
      <c r="B650" s="11">
        <f>RawData!B650</f>
        <v>45675</v>
      </c>
      <c r="C650" s="7" t="str">
        <f>RawData!C650</f>
        <v>C89674</v>
      </c>
      <c r="D650" s="7" t="str">
        <f>RawData!D650</f>
        <v>Monitor</v>
      </c>
      <c r="E650" s="7">
        <f>RawData!E650</f>
        <v>2</v>
      </c>
      <c r="F650" s="7">
        <f>RawData!F650</f>
        <v>575.83000000000004</v>
      </c>
      <c r="G650" s="7" t="str">
        <f>RawData!G650</f>
        <v>182 Main St</v>
      </c>
      <c r="H650" s="7" t="str">
        <f>RawData!H650</f>
        <v>Online</v>
      </c>
      <c r="I650" s="7" t="str">
        <f>RawData!I650</f>
        <v>Delivered</v>
      </c>
      <c r="J650" s="7" t="str">
        <f>RawData!J650</f>
        <v>TRK45902512</v>
      </c>
      <c r="K650" s="7">
        <f>RawData!K650</f>
        <v>3</v>
      </c>
      <c r="L650" s="7" t="str">
        <f>IF(RawData!L650="","No Coupon",RawData!L650)</f>
        <v>WINTER15</v>
      </c>
      <c r="M650" s="7" t="str">
        <f>RawData!M650</f>
        <v>Referral</v>
      </c>
      <c r="N650" s="7">
        <f>RawData!N650</f>
        <v>1151.6600000000001</v>
      </c>
    </row>
    <row r="651" spans="1:14" x14ac:dyDescent="0.3">
      <c r="A651" s="7" t="str">
        <f>RawData!A651</f>
        <v>ORD200649</v>
      </c>
      <c r="B651" s="11">
        <f>RawData!B651</f>
        <v>45283</v>
      </c>
      <c r="C651" s="7" t="str">
        <f>RawData!C651</f>
        <v>C45899</v>
      </c>
      <c r="D651" s="7" t="str">
        <f>RawData!D651</f>
        <v>Monitor</v>
      </c>
      <c r="E651" s="7">
        <f>RawData!E651</f>
        <v>2</v>
      </c>
      <c r="F651" s="7">
        <f>RawData!F651</f>
        <v>642.98</v>
      </c>
      <c r="G651" s="7" t="str">
        <f>RawData!G651</f>
        <v>153 Main St</v>
      </c>
      <c r="H651" s="7" t="str">
        <f>RawData!H651</f>
        <v>Debit Card</v>
      </c>
      <c r="I651" s="7" t="str">
        <f>RawData!I651</f>
        <v>Returned</v>
      </c>
      <c r="J651" s="7" t="str">
        <f>RawData!J651</f>
        <v>TRK32932093</v>
      </c>
      <c r="K651" s="7">
        <f>RawData!K651</f>
        <v>7</v>
      </c>
      <c r="L651" s="7" t="str">
        <f>IF(RawData!L651="","No Coupon",RawData!L651)</f>
        <v>FREESHIP</v>
      </c>
      <c r="M651" s="7" t="str">
        <f>RawData!M651</f>
        <v>Email</v>
      </c>
      <c r="N651" s="7">
        <f>RawData!N651</f>
        <v>1285.96</v>
      </c>
    </row>
    <row r="652" spans="1:14" x14ac:dyDescent="0.3">
      <c r="A652" s="7" t="str">
        <f>RawData!A652</f>
        <v>ORD200650</v>
      </c>
      <c r="B652" s="11">
        <f>RawData!B652</f>
        <v>45064</v>
      </c>
      <c r="C652" s="7" t="str">
        <f>RawData!C652</f>
        <v>C74499</v>
      </c>
      <c r="D652" s="7" t="str">
        <f>RawData!D652</f>
        <v>Desk</v>
      </c>
      <c r="E652" s="7">
        <f>RawData!E652</f>
        <v>2</v>
      </c>
      <c r="F652" s="7">
        <f>RawData!F652</f>
        <v>372.23</v>
      </c>
      <c r="G652" s="7" t="str">
        <f>RawData!G652</f>
        <v>518 Main St</v>
      </c>
      <c r="H652" s="7" t="str">
        <f>RawData!H652</f>
        <v>Gift Card</v>
      </c>
      <c r="I652" s="7" t="str">
        <f>RawData!I652</f>
        <v>Delivered</v>
      </c>
      <c r="J652" s="7" t="str">
        <f>RawData!J652</f>
        <v>TRK93767278</v>
      </c>
      <c r="K652" s="7">
        <f>RawData!K652</f>
        <v>7</v>
      </c>
      <c r="L652" s="7" t="str">
        <f>IF(RawData!L652="","No Coupon",RawData!L652)</f>
        <v>SAVE10</v>
      </c>
      <c r="M652" s="7" t="str">
        <f>RawData!M652</f>
        <v>Email</v>
      </c>
      <c r="N652" s="7">
        <f>RawData!N652</f>
        <v>744.46</v>
      </c>
    </row>
    <row r="653" spans="1:14" x14ac:dyDescent="0.3">
      <c r="A653" s="7" t="str">
        <f>RawData!A653</f>
        <v>ORD200651</v>
      </c>
      <c r="B653" s="11">
        <f>RawData!B653</f>
        <v>45608</v>
      </c>
      <c r="C653" s="7" t="str">
        <f>RawData!C653</f>
        <v>C81192</v>
      </c>
      <c r="D653" s="7" t="str">
        <f>RawData!D653</f>
        <v>Chair</v>
      </c>
      <c r="E653" s="7">
        <f>RawData!E653</f>
        <v>3</v>
      </c>
      <c r="F653" s="7">
        <f>RawData!F653</f>
        <v>646.34</v>
      </c>
      <c r="G653" s="7" t="str">
        <f>RawData!G653</f>
        <v>429 Main St</v>
      </c>
      <c r="H653" s="7" t="str">
        <f>RawData!H653</f>
        <v>Debit Card</v>
      </c>
      <c r="I653" s="7" t="str">
        <f>RawData!I653</f>
        <v>Pending</v>
      </c>
      <c r="J653" s="7" t="str">
        <f>RawData!J653</f>
        <v>TRK76931118</v>
      </c>
      <c r="K653" s="7">
        <f>RawData!K653</f>
        <v>5</v>
      </c>
      <c r="L653" s="7" t="str">
        <f>IF(RawData!L653="","No Coupon",RawData!L653)</f>
        <v>No Coupon</v>
      </c>
      <c r="M653" s="7" t="str">
        <f>RawData!M653</f>
        <v>Google</v>
      </c>
      <c r="N653" s="7">
        <f>RawData!N653</f>
        <v>1939.02</v>
      </c>
    </row>
    <row r="654" spans="1:14" x14ac:dyDescent="0.3">
      <c r="A654" s="7" t="str">
        <f>RawData!A654</f>
        <v>ORD200652</v>
      </c>
      <c r="B654" s="11">
        <f>RawData!B654</f>
        <v>45448</v>
      </c>
      <c r="C654" s="7" t="str">
        <f>RawData!C654</f>
        <v>C71473</v>
      </c>
      <c r="D654" s="7" t="str">
        <f>RawData!D654</f>
        <v>Chair</v>
      </c>
      <c r="E654" s="7">
        <f>RawData!E654</f>
        <v>5</v>
      </c>
      <c r="F654" s="7">
        <f>RawData!F654</f>
        <v>341.84</v>
      </c>
      <c r="G654" s="7" t="str">
        <f>RawData!G654</f>
        <v>328 Main St</v>
      </c>
      <c r="H654" s="7" t="str">
        <f>RawData!H654</f>
        <v>Online</v>
      </c>
      <c r="I654" s="7" t="str">
        <f>RawData!I654</f>
        <v>Shipped</v>
      </c>
      <c r="J654" s="7" t="str">
        <f>RawData!J654</f>
        <v>TRK94857335</v>
      </c>
      <c r="K654" s="7">
        <f>RawData!K654</f>
        <v>8</v>
      </c>
      <c r="L654" s="7" t="str">
        <f>IF(RawData!L654="","No Coupon",RawData!L654)</f>
        <v>FREESHIP</v>
      </c>
      <c r="M654" s="7" t="str">
        <f>RawData!M654</f>
        <v>Instagram</v>
      </c>
      <c r="N654" s="7">
        <f>RawData!N654</f>
        <v>1709.2</v>
      </c>
    </row>
    <row r="655" spans="1:14" x14ac:dyDescent="0.3">
      <c r="A655" s="7" t="str">
        <f>RawData!A655</f>
        <v>ORD200653</v>
      </c>
      <c r="B655" s="11">
        <f>RawData!B655</f>
        <v>45347</v>
      </c>
      <c r="C655" s="7" t="str">
        <f>RawData!C655</f>
        <v>C59338</v>
      </c>
      <c r="D655" s="7" t="str">
        <f>RawData!D655</f>
        <v>Printer</v>
      </c>
      <c r="E655" s="7">
        <f>RawData!E655</f>
        <v>3</v>
      </c>
      <c r="F655" s="7">
        <f>RawData!F655</f>
        <v>690.3</v>
      </c>
      <c r="G655" s="7" t="str">
        <f>RawData!G655</f>
        <v>747 Main St</v>
      </c>
      <c r="H655" s="7" t="str">
        <f>RawData!H655</f>
        <v>Credit Card</v>
      </c>
      <c r="I655" s="7" t="str">
        <f>RawData!I655</f>
        <v>Shipped</v>
      </c>
      <c r="J655" s="7" t="str">
        <f>RawData!J655</f>
        <v>TRK12902764</v>
      </c>
      <c r="K655" s="7">
        <f>RawData!K655</f>
        <v>6</v>
      </c>
      <c r="L655" s="7" t="str">
        <f>IF(RawData!L655="","No Coupon",RawData!L655)</f>
        <v>WINTER15</v>
      </c>
      <c r="M655" s="7" t="str">
        <f>RawData!M655</f>
        <v>Google</v>
      </c>
      <c r="N655" s="7">
        <f>RawData!N655</f>
        <v>2070.9</v>
      </c>
    </row>
    <row r="656" spans="1:14" x14ac:dyDescent="0.3">
      <c r="A656" s="7" t="str">
        <f>RawData!A656</f>
        <v>ORD200654</v>
      </c>
      <c r="B656" s="11">
        <f>RawData!B656</f>
        <v>45089</v>
      </c>
      <c r="C656" s="7" t="str">
        <f>RawData!C656</f>
        <v>C62661</v>
      </c>
      <c r="D656" s="7" t="str">
        <f>RawData!D656</f>
        <v>Tablet</v>
      </c>
      <c r="E656" s="7">
        <f>RawData!E656</f>
        <v>3</v>
      </c>
      <c r="F656" s="7">
        <f>RawData!F656</f>
        <v>382.37</v>
      </c>
      <c r="G656" s="7" t="str">
        <f>RawData!G656</f>
        <v>863 Main St</v>
      </c>
      <c r="H656" s="7" t="str">
        <f>RawData!H656</f>
        <v>Debit Card</v>
      </c>
      <c r="I656" s="7" t="str">
        <f>RawData!I656</f>
        <v>Returned</v>
      </c>
      <c r="J656" s="7" t="str">
        <f>RawData!J656</f>
        <v>TRK25748100</v>
      </c>
      <c r="K656" s="7">
        <f>RawData!K656</f>
        <v>8</v>
      </c>
      <c r="L656" s="7" t="str">
        <f>IF(RawData!L656="","No Coupon",RawData!L656)</f>
        <v>No Coupon</v>
      </c>
      <c r="M656" s="7" t="str">
        <f>RawData!M656</f>
        <v>Instagram</v>
      </c>
      <c r="N656" s="7">
        <f>RawData!N656</f>
        <v>1147.1099999999999</v>
      </c>
    </row>
    <row r="657" spans="1:14" x14ac:dyDescent="0.3">
      <c r="A657" s="7" t="str">
        <f>RawData!A657</f>
        <v>ORD200655</v>
      </c>
      <c r="B657" s="11">
        <f>RawData!B657</f>
        <v>44999</v>
      </c>
      <c r="C657" s="7" t="str">
        <f>RawData!C657</f>
        <v>C22101</v>
      </c>
      <c r="D657" s="7" t="str">
        <f>RawData!D657</f>
        <v>Chair</v>
      </c>
      <c r="E657" s="7">
        <f>RawData!E657</f>
        <v>2</v>
      </c>
      <c r="F657" s="7">
        <f>RawData!F657</f>
        <v>132.6</v>
      </c>
      <c r="G657" s="7" t="str">
        <f>RawData!G657</f>
        <v>262 Main St</v>
      </c>
      <c r="H657" s="7" t="str">
        <f>RawData!H657</f>
        <v>Debit Card</v>
      </c>
      <c r="I657" s="7" t="str">
        <f>RawData!I657</f>
        <v>Cancelled</v>
      </c>
      <c r="J657" s="7" t="str">
        <f>RawData!J657</f>
        <v>TRK70711522</v>
      </c>
      <c r="K657" s="7">
        <f>RawData!K657</f>
        <v>4</v>
      </c>
      <c r="L657" s="7" t="str">
        <f>IF(RawData!L657="","No Coupon",RawData!L657)</f>
        <v>WINTER15</v>
      </c>
      <c r="M657" s="7" t="str">
        <f>RawData!M657</f>
        <v>Email</v>
      </c>
      <c r="N657" s="7">
        <f>RawData!N657</f>
        <v>265.2</v>
      </c>
    </row>
    <row r="658" spans="1:14" x14ac:dyDescent="0.3">
      <c r="A658" s="7" t="str">
        <f>RawData!A658</f>
        <v>ORD200656</v>
      </c>
      <c r="B658" s="11">
        <f>RawData!B658</f>
        <v>45309</v>
      </c>
      <c r="C658" s="7" t="str">
        <f>RawData!C658</f>
        <v>C51404</v>
      </c>
      <c r="D658" s="7" t="str">
        <f>RawData!D658</f>
        <v>Monitor</v>
      </c>
      <c r="E658" s="7">
        <f>RawData!E658</f>
        <v>2</v>
      </c>
      <c r="F658" s="7">
        <f>RawData!F658</f>
        <v>189.06</v>
      </c>
      <c r="G658" s="7" t="str">
        <f>RawData!G658</f>
        <v>835 Main St</v>
      </c>
      <c r="H658" s="7" t="str">
        <f>RawData!H658</f>
        <v>Gift Card</v>
      </c>
      <c r="I658" s="7" t="str">
        <f>RawData!I658</f>
        <v>Shipped</v>
      </c>
      <c r="J658" s="7" t="str">
        <f>RawData!J658</f>
        <v>TRK85682500</v>
      </c>
      <c r="K658" s="7">
        <f>RawData!K658</f>
        <v>7</v>
      </c>
      <c r="L658" s="7" t="str">
        <f>IF(RawData!L658="","No Coupon",RawData!L658)</f>
        <v>SAVE10</v>
      </c>
      <c r="M658" s="7" t="str">
        <f>RawData!M658</f>
        <v>Facebook</v>
      </c>
      <c r="N658" s="7">
        <f>RawData!N658</f>
        <v>378.12</v>
      </c>
    </row>
    <row r="659" spans="1:14" x14ac:dyDescent="0.3">
      <c r="A659" s="7" t="str">
        <f>RawData!A659</f>
        <v>ORD200657</v>
      </c>
      <c r="B659" s="11">
        <f>RawData!B659</f>
        <v>45284</v>
      </c>
      <c r="C659" s="7" t="str">
        <f>RawData!C659</f>
        <v>C19384</v>
      </c>
      <c r="D659" s="7" t="str">
        <f>RawData!D659</f>
        <v>Tablet</v>
      </c>
      <c r="E659" s="7">
        <f>RawData!E659</f>
        <v>4</v>
      </c>
      <c r="F659" s="7">
        <f>RawData!F659</f>
        <v>87.79</v>
      </c>
      <c r="G659" s="7" t="str">
        <f>RawData!G659</f>
        <v>532 Main St</v>
      </c>
      <c r="H659" s="7" t="str">
        <f>RawData!H659</f>
        <v>Cash</v>
      </c>
      <c r="I659" s="7" t="str">
        <f>RawData!I659</f>
        <v>Cancelled</v>
      </c>
      <c r="J659" s="7" t="str">
        <f>RawData!J659</f>
        <v>TRK33207064</v>
      </c>
      <c r="K659" s="7">
        <f>RawData!K659</f>
        <v>6</v>
      </c>
      <c r="L659" s="7" t="str">
        <f>IF(RawData!L659="","No Coupon",RawData!L659)</f>
        <v>FREESHIP</v>
      </c>
      <c r="M659" s="7" t="str">
        <f>RawData!M659</f>
        <v>Instagram</v>
      </c>
      <c r="N659" s="7">
        <f>RawData!N659</f>
        <v>351.16</v>
      </c>
    </row>
    <row r="660" spans="1:14" x14ac:dyDescent="0.3">
      <c r="A660" s="7" t="str">
        <f>RawData!A660</f>
        <v>ORD200658</v>
      </c>
      <c r="B660" s="11">
        <f>RawData!B660</f>
        <v>45765</v>
      </c>
      <c r="C660" s="7" t="str">
        <f>RawData!C660</f>
        <v>C86864</v>
      </c>
      <c r="D660" s="7" t="str">
        <f>RawData!D660</f>
        <v>Printer</v>
      </c>
      <c r="E660" s="7">
        <f>RawData!E660</f>
        <v>2</v>
      </c>
      <c r="F660" s="7">
        <f>RawData!F660</f>
        <v>46.36</v>
      </c>
      <c r="G660" s="7" t="str">
        <f>RawData!G660</f>
        <v>670 Main St</v>
      </c>
      <c r="H660" s="7" t="str">
        <f>RawData!H660</f>
        <v>Gift Card</v>
      </c>
      <c r="I660" s="7" t="str">
        <f>RawData!I660</f>
        <v>Returned</v>
      </c>
      <c r="J660" s="7" t="str">
        <f>RawData!J660</f>
        <v>TRK15323191</v>
      </c>
      <c r="K660" s="7">
        <f>RawData!K660</f>
        <v>4</v>
      </c>
      <c r="L660" s="7" t="str">
        <f>IF(RawData!L660="","No Coupon",RawData!L660)</f>
        <v>SAVE10</v>
      </c>
      <c r="M660" s="7" t="str">
        <f>RawData!M660</f>
        <v>Google</v>
      </c>
      <c r="N660" s="7">
        <f>RawData!N660</f>
        <v>92.72</v>
      </c>
    </row>
    <row r="661" spans="1:14" x14ac:dyDescent="0.3">
      <c r="A661" s="7" t="str">
        <f>RawData!A661</f>
        <v>ORD200659</v>
      </c>
      <c r="B661" s="11">
        <f>RawData!B661</f>
        <v>45591</v>
      </c>
      <c r="C661" s="7" t="str">
        <f>RawData!C661</f>
        <v>C24301</v>
      </c>
      <c r="D661" s="7" t="str">
        <f>RawData!D661</f>
        <v>Phone</v>
      </c>
      <c r="E661" s="7">
        <f>RawData!E661</f>
        <v>2</v>
      </c>
      <c r="F661" s="7">
        <f>RawData!F661</f>
        <v>642.04</v>
      </c>
      <c r="G661" s="7" t="str">
        <f>RawData!G661</f>
        <v>964 Main St</v>
      </c>
      <c r="H661" s="7" t="str">
        <f>RawData!H661</f>
        <v>Gift Card</v>
      </c>
      <c r="I661" s="7" t="str">
        <f>RawData!I661</f>
        <v>Delivered</v>
      </c>
      <c r="J661" s="7" t="str">
        <f>RawData!J661</f>
        <v>TRK55000075</v>
      </c>
      <c r="K661" s="7">
        <f>RawData!K661</f>
        <v>4</v>
      </c>
      <c r="L661" s="7" t="str">
        <f>IF(RawData!L661="","No Coupon",RawData!L661)</f>
        <v>WINTER15</v>
      </c>
      <c r="M661" s="7" t="str">
        <f>RawData!M661</f>
        <v>Email</v>
      </c>
      <c r="N661" s="7">
        <f>RawData!N661</f>
        <v>1284.08</v>
      </c>
    </row>
    <row r="662" spans="1:14" x14ac:dyDescent="0.3">
      <c r="A662" s="7" t="str">
        <f>RawData!A662</f>
        <v>ORD200660</v>
      </c>
      <c r="B662" s="11">
        <f>RawData!B662</f>
        <v>45584</v>
      </c>
      <c r="C662" s="7" t="str">
        <f>RawData!C662</f>
        <v>C43842</v>
      </c>
      <c r="D662" s="7" t="str">
        <f>RawData!D662</f>
        <v>Chair</v>
      </c>
      <c r="E662" s="7">
        <f>RawData!E662</f>
        <v>2</v>
      </c>
      <c r="F662" s="7">
        <f>RawData!F662</f>
        <v>651.57000000000005</v>
      </c>
      <c r="G662" s="7" t="str">
        <f>RawData!G662</f>
        <v>933 Main St</v>
      </c>
      <c r="H662" s="7" t="str">
        <f>RawData!H662</f>
        <v>Debit Card</v>
      </c>
      <c r="I662" s="7" t="str">
        <f>RawData!I662</f>
        <v>Shipped</v>
      </c>
      <c r="J662" s="7" t="str">
        <f>RawData!J662</f>
        <v>TRK54084424</v>
      </c>
      <c r="K662" s="7">
        <f>RawData!K662</f>
        <v>7</v>
      </c>
      <c r="L662" s="7" t="str">
        <f>IF(RawData!L662="","No Coupon",RawData!L662)</f>
        <v>WINTER15</v>
      </c>
      <c r="M662" s="7" t="str">
        <f>RawData!M662</f>
        <v>Facebook</v>
      </c>
      <c r="N662" s="7">
        <f>RawData!N662</f>
        <v>1303.1400000000001</v>
      </c>
    </row>
    <row r="663" spans="1:14" x14ac:dyDescent="0.3">
      <c r="A663" s="7" t="str">
        <f>RawData!A663</f>
        <v>ORD200661</v>
      </c>
      <c r="B663" s="11">
        <f>RawData!B663</f>
        <v>45716</v>
      </c>
      <c r="C663" s="7" t="str">
        <f>RawData!C663</f>
        <v>C63657</v>
      </c>
      <c r="D663" s="7" t="str">
        <f>RawData!D663</f>
        <v>Tablet</v>
      </c>
      <c r="E663" s="7">
        <f>RawData!E663</f>
        <v>3</v>
      </c>
      <c r="F663" s="7">
        <f>RawData!F663</f>
        <v>424.89</v>
      </c>
      <c r="G663" s="7" t="str">
        <f>RawData!G663</f>
        <v>116 Main St</v>
      </c>
      <c r="H663" s="7" t="str">
        <f>RawData!H663</f>
        <v>Debit Card</v>
      </c>
      <c r="I663" s="7" t="str">
        <f>RawData!I663</f>
        <v>Cancelled</v>
      </c>
      <c r="J663" s="7" t="str">
        <f>RawData!J663</f>
        <v>TRK86378984</v>
      </c>
      <c r="K663" s="7">
        <f>RawData!K663</f>
        <v>6</v>
      </c>
      <c r="L663" s="7" t="str">
        <f>IF(RawData!L663="","No Coupon",RawData!L663)</f>
        <v>FREESHIP</v>
      </c>
      <c r="M663" s="7" t="str">
        <f>RawData!M663</f>
        <v>Google</v>
      </c>
      <c r="N663" s="7">
        <f>RawData!N663</f>
        <v>1274.67</v>
      </c>
    </row>
    <row r="664" spans="1:14" x14ac:dyDescent="0.3">
      <c r="A664" s="7" t="str">
        <f>RawData!A664</f>
        <v>ORD200662</v>
      </c>
      <c r="B664" s="11">
        <f>RawData!B664</f>
        <v>44954</v>
      </c>
      <c r="C664" s="7" t="str">
        <f>RawData!C664</f>
        <v>C98332</v>
      </c>
      <c r="D664" s="7" t="str">
        <f>RawData!D664</f>
        <v>Laptop</v>
      </c>
      <c r="E664" s="7">
        <f>RawData!E664</f>
        <v>3</v>
      </c>
      <c r="F664" s="7">
        <f>RawData!F664</f>
        <v>438.89</v>
      </c>
      <c r="G664" s="7" t="str">
        <f>RawData!G664</f>
        <v>985 Main St</v>
      </c>
      <c r="H664" s="7" t="str">
        <f>RawData!H664</f>
        <v>Cash</v>
      </c>
      <c r="I664" s="7" t="str">
        <f>RawData!I664</f>
        <v>Returned</v>
      </c>
      <c r="J664" s="7" t="str">
        <f>RawData!J664</f>
        <v>TRK85744797</v>
      </c>
      <c r="K664" s="7">
        <f>RawData!K664</f>
        <v>3</v>
      </c>
      <c r="L664" s="7" t="str">
        <f>IF(RawData!L664="","No Coupon",RawData!L664)</f>
        <v>No Coupon</v>
      </c>
      <c r="M664" s="7" t="str">
        <f>RawData!M664</f>
        <v>Facebook</v>
      </c>
      <c r="N664" s="7">
        <f>RawData!N664</f>
        <v>1316.67</v>
      </c>
    </row>
    <row r="665" spans="1:14" x14ac:dyDescent="0.3">
      <c r="A665" s="7" t="str">
        <f>RawData!A665</f>
        <v>ORD200663</v>
      </c>
      <c r="B665" s="11">
        <f>RawData!B665</f>
        <v>45397</v>
      </c>
      <c r="C665" s="7" t="str">
        <f>RawData!C665</f>
        <v>C59774</v>
      </c>
      <c r="D665" s="7" t="str">
        <f>RawData!D665</f>
        <v>Monitor</v>
      </c>
      <c r="E665" s="7">
        <f>RawData!E665</f>
        <v>1</v>
      </c>
      <c r="F665" s="7">
        <f>RawData!F665</f>
        <v>72.599999999999994</v>
      </c>
      <c r="G665" s="7" t="str">
        <f>RawData!G665</f>
        <v>941 Main St</v>
      </c>
      <c r="H665" s="7" t="str">
        <f>RawData!H665</f>
        <v>Debit Card</v>
      </c>
      <c r="I665" s="7" t="str">
        <f>RawData!I665</f>
        <v>Cancelled</v>
      </c>
      <c r="J665" s="7" t="str">
        <f>RawData!J665</f>
        <v>TRK87635135</v>
      </c>
      <c r="K665" s="7">
        <f>RawData!K665</f>
        <v>6</v>
      </c>
      <c r="L665" s="7" t="str">
        <f>IF(RawData!L665="","No Coupon",RawData!L665)</f>
        <v>FREESHIP</v>
      </c>
      <c r="M665" s="7" t="str">
        <f>RawData!M665</f>
        <v>Instagram</v>
      </c>
      <c r="N665" s="7">
        <f>RawData!N665</f>
        <v>72.599999999999994</v>
      </c>
    </row>
    <row r="666" spans="1:14" x14ac:dyDescent="0.3">
      <c r="A666" s="7" t="str">
        <f>RawData!A666</f>
        <v>ORD200664</v>
      </c>
      <c r="B666" s="11">
        <f>RawData!B666</f>
        <v>45645</v>
      </c>
      <c r="C666" s="7" t="str">
        <f>RawData!C666</f>
        <v>C14847</v>
      </c>
      <c r="D666" s="7" t="str">
        <f>RawData!D666</f>
        <v>Laptop</v>
      </c>
      <c r="E666" s="7">
        <f>RawData!E666</f>
        <v>4</v>
      </c>
      <c r="F666" s="7">
        <f>RawData!F666</f>
        <v>194.75</v>
      </c>
      <c r="G666" s="7" t="str">
        <f>RawData!G666</f>
        <v>188 Main St</v>
      </c>
      <c r="H666" s="7" t="str">
        <f>RawData!H666</f>
        <v>Cash</v>
      </c>
      <c r="I666" s="7" t="str">
        <f>RawData!I666</f>
        <v>Shipped</v>
      </c>
      <c r="J666" s="7" t="str">
        <f>RawData!J666</f>
        <v>TRK46492755</v>
      </c>
      <c r="K666" s="7">
        <f>RawData!K666</f>
        <v>5</v>
      </c>
      <c r="L666" s="7" t="str">
        <f>IF(RawData!L666="","No Coupon",RawData!L666)</f>
        <v>No Coupon</v>
      </c>
      <c r="M666" s="7" t="str">
        <f>RawData!M666</f>
        <v>Facebook</v>
      </c>
      <c r="N666" s="7">
        <f>RawData!N666</f>
        <v>779</v>
      </c>
    </row>
    <row r="667" spans="1:14" x14ac:dyDescent="0.3">
      <c r="A667" s="7" t="str">
        <f>RawData!A667</f>
        <v>ORD200665</v>
      </c>
      <c r="B667" s="11">
        <f>RawData!B667</f>
        <v>45048</v>
      </c>
      <c r="C667" s="7" t="str">
        <f>RawData!C667</f>
        <v>C83653</v>
      </c>
      <c r="D667" s="7" t="str">
        <f>RawData!D667</f>
        <v>Tablet</v>
      </c>
      <c r="E667" s="7">
        <f>RawData!E667</f>
        <v>4</v>
      </c>
      <c r="F667" s="7">
        <f>RawData!F667</f>
        <v>231.26</v>
      </c>
      <c r="G667" s="7" t="str">
        <f>RawData!G667</f>
        <v>253 Main St</v>
      </c>
      <c r="H667" s="7" t="str">
        <f>RawData!H667</f>
        <v>Online</v>
      </c>
      <c r="I667" s="7" t="str">
        <f>RawData!I667</f>
        <v>Shipped</v>
      </c>
      <c r="J667" s="7" t="str">
        <f>RawData!J667</f>
        <v>TRK32619935</v>
      </c>
      <c r="K667" s="7">
        <f>RawData!K667</f>
        <v>6</v>
      </c>
      <c r="L667" s="7" t="str">
        <f>IF(RawData!L667="","No Coupon",RawData!L667)</f>
        <v>WINTER15</v>
      </c>
      <c r="M667" s="7" t="str">
        <f>RawData!M667</f>
        <v>Google</v>
      </c>
      <c r="N667" s="7">
        <f>RawData!N667</f>
        <v>925.04</v>
      </c>
    </row>
    <row r="668" spans="1:14" x14ac:dyDescent="0.3">
      <c r="A668" s="7" t="str">
        <f>RawData!A668</f>
        <v>ORD200666</v>
      </c>
      <c r="B668" s="11">
        <f>RawData!B668</f>
        <v>45535</v>
      </c>
      <c r="C668" s="7" t="str">
        <f>RawData!C668</f>
        <v>C35711</v>
      </c>
      <c r="D668" s="7" t="str">
        <f>RawData!D668</f>
        <v>Monitor</v>
      </c>
      <c r="E668" s="7">
        <f>RawData!E668</f>
        <v>4</v>
      </c>
      <c r="F668" s="7">
        <f>RawData!F668</f>
        <v>327.12</v>
      </c>
      <c r="G668" s="7" t="str">
        <f>RawData!G668</f>
        <v>788 Main St</v>
      </c>
      <c r="H668" s="7" t="str">
        <f>RawData!H668</f>
        <v>Credit Card</v>
      </c>
      <c r="I668" s="7" t="str">
        <f>RawData!I668</f>
        <v>Cancelled</v>
      </c>
      <c r="J668" s="7" t="str">
        <f>RawData!J668</f>
        <v>TRK45281495</v>
      </c>
      <c r="K668" s="7">
        <f>RawData!K668</f>
        <v>4</v>
      </c>
      <c r="L668" s="7" t="str">
        <f>IF(RawData!L668="","No Coupon",RawData!L668)</f>
        <v>No Coupon</v>
      </c>
      <c r="M668" s="7" t="str">
        <f>RawData!M668</f>
        <v>Email</v>
      </c>
      <c r="N668" s="7">
        <f>RawData!N668</f>
        <v>1308.48</v>
      </c>
    </row>
    <row r="669" spans="1:14" x14ac:dyDescent="0.3">
      <c r="A669" s="7" t="str">
        <f>RawData!A669</f>
        <v>ORD200667</v>
      </c>
      <c r="B669" s="11">
        <f>RawData!B669</f>
        <v>45049</v>
      </c>
      <c r="C669" s="7" t="str">
        <f>RawData!C669</f>
        <v>C10477</v>
      </c>
      <c r="D669" s="7" t="str">
        <f>RawData!D669</f>
        <v>Laptop</v>
      </c>
      <c r="E669" s="7">
        <f>RawData!E669</f>
        <v>1</v>
      </c>
      <c r="F669" s="7">
        <f>RawData!F669</f>
        <v>466.42</v>
      </c>
      <c r="G669" s="7" t="str">
        <f>RawData!G669</f>
        <v>172 Main St</v>
      </c>
      <c r="H669" s="7" t="str">
        <f>RawData!H669</f>
        <v>Gift Card</v>
      </c>
      <c r="I669" s="7" t="str">
        <f>RawData!I669</f>
        <v>Pending</v>
      </c>
      <c r="J669" s="7" t="str">
        <f>RawData!J669</f>
        <v>TRK41505339</v>
      </c>
      <c r="K669" s="7">
        <f>RawData!K669</f>
        <v>5</v>
      </c>
      <c r="L669" s="7" t="str">
        <f>IF(RawData!L669="","No Coupon",RawData!L669)</f>
        <v>SAVE10</v>
      </c>
      <c r="M669" s="7" t="str">
        <f>RawData!M669</f>
        <v>Email</v>
      </c>
      <c r="N669" s="7">
        <f>RawData!N669</f>
        <v>466.42</v>
      </c>
    </row>
    <row r="670" spans="1:14" x14ac:dyDescent="0.3">
      <c r="A670" s="7" t="str">
        <f>RawData!A670</f>
        <v>ORD200668</v>
      </c>
      <c r="B670" s="11">
        <f>RawData!B670</f>
        <v>45478</v>
      </c>
      <c r="C670" s="7" t="str">
        <f>RawData!C670</f>
        <v>C61257</v>
      </c>
      <c r="D670" s="7" t="str">
        <f>RawData!D670</f>
        <v>Monitor</v>
      </c>
      <c r="E670" s="7">
        <f>RawData!E670</f>
        <v>2</v>
      </c>
      <c r="F670" s="7">
        <f>RawData!F670</f>
        <v>253.67</v>
      </c>
      <c r="G670" s="7" t="str">
        <f>RawData!G670</f>
        <v>981 Main St</v>
      </c>
      <c r="H670" s="7" t="str">
        <f>RawData!H670</f>
        <v>Cash</v>
      </c>
      <c r="I670" s="7" t="str">
        <f>RawData!I670</f>
        <v>Returned</v>
      </c>
      <c r="J670" s="7" t="str">
        <f>RawData!J670</f>
        <v>TRK25226070</v>
      </c>
      <c r="K670" s="7">
        <f>RawData!K670</f>
        <v>3</v>
      </c>
      <c r="L670" s="7" t="str">
        <f>IF(RawData!L670="","No Coupon",RawData!L670)</f>
        <v>WINTER15</v>
      </c>
      <c r="M670" s="7" t="str">
        <f>RawData!M670</f>
        <v>Facebook</v>
      </c>
      <c r="N670" s="7">
        <f>RawData!N670</f>
        <v>507.34</v>
      </c>
    </row>
    <row r="671" spans="1:14" x14ac:dyDescent="0.3">
      <c r="A671" s="7" t="str">
        <f>RawData!A671</f>
        <v>ORD200669</v>
      </c>
      <c r="B671" s="11">
        <f>RawData!B671</f>
        <v>44962</v>
      </c>
      <c r="C671" s="7" t="str">
        <f>RawData!C671</f>
        <v>C60547</v>
      </c>
      <c r="D671" s="7" t="str">
        <f>RawData!D671</f>
        <v>Desk</v>
      </c>
      <c r="E671" s="7">
        <f>RawData!E671</f>
        <v>1</v>
      </c>
      <c r="F671" s="7">
        <f>RawData!F671</f>
        <v>257</v>
      </c>
      <c r="G671" s="7" t="str">
        <f>RawData!G671</f>
        <v>812 Main St</v>
      </c>
      <c r="H671" s="7" t="str">
        <f>RawData!H671</f>
        <v>Debit Card</v>
      </c>
      <c r="I671" s="7" t="str">
        <f>RawData!I671</f>
        <v>Cancelled</v>
      </c>
      <c r="J671" s="7" t="str">
        <f>RawData!J671</f>
        <v>TRK65694249</v>
      </c>
      <c r="K671" s="7">
        <f>RawData!K671</f>
        <v>5</v>
      </c>
      <c r="L671" s="7" t="str">
        <f>IF(RawData!L671="","No Coupon",RawData!L671)</f>
        <v>No Coupon</v>
      </c>
      <c r="M671" s="7" t="str">
        <f>RawData!M671</f>
        <v>Referral</v>
      </c>
      <c r="N671" s="7">
        <f>RawData!N671</f>
        <v>257</v>
      </c>
    </row>
    <row r="672" spans="1:14" x14ac:dyDescent="0.3">
      <c r="A672" s="7" t="str">
        <f>RawData!A672</f>
        <v>ORD200670</v>
      </c>
      <c r="B672" s="11">
        <f>RawData!B672</f>
        <v>45400</v>
      </c>
      <c r="C672" s="7" t="str">
        <f>RawData!C672</f>
        <v>C14576</v>
      </c>
      <c r="D672" s="7" t="str">
        <f>RawData!D672</f>
        <v>Desk</v>
      </c>
      <c r="E672" s="7">
        <f>RawData!E672</f>
        <v>4</v>
      </c>
      <c r="F672" s="7">
        <f>RawData!F672</f>
        <v>539.20000000000005</v>
      </c>
      <c r="G672" s="7" t="str">
        <f>RawData!G672</f>
        <v>747 Main St</v>
      </c>
      <c r="H672" s="7" t="str">
        <f>RawData!H672</f>
        <v>Credit Card</v>
      </c>
      <c r="I672" s="7" t="str">
        <f>RawData!I672</f>
        <v>Pending</v>
      </c>
      <c r="J672" s="7" t="str">
        <f>RawData!J672</f>
        <v>TRK21637540</v>
      </c>
      <c r="K672" s="7">
        <f>RawData!K672</f>
        <v>8</v>
      </c>
      <c r="L672" s="7" t="str">
        <f>IF(RawData!L672="","No Coupon",RawData!L672)</f>
        <v>FREESHIP</v>
      </c>
      <c r="M672" s="7" t="str">
        <f>RawData!M672</f>
        <v>Google</v>
      </c>
      <c r="N672" s="7">
        <f>RawData!N672</f>
        <v>2156.8000000000002</v>
      </c>
    </row>
    <row r="673" spans="1:14" x14ac:dyDescent="0.3">
      <c r="A673" s="7" t="str">
        <f>RawData!A673</f>
        <v>ORD200671</v>
      </c>
      <c r="B673" s="11">
        <f>RawData!B673</f>
        <v>45092</v>
      </c>
      <c r="C673" s="7" t="str">
        <f>RawData!C673</f>
        <v>C49282</v>
      </c>
      <c r="D673" s="7" t="str">
        <f>RawData!D673</f>
        <v>Chair</v>
      </c>
      <c r="E673" s="7">
        <f>RawData!E673</f>
        <v>5</v>
      </c>
      <c r="F673" s="7">
        <f>RawData!F673</f>
        <v>50.74</v>
      </c>
      <c r="G673" s="7" t="str">
        <f>RawData!G673</f>
        <v>737 Main St</v>
      </c>
      <c r="H673" s="7" t="str">
        <f>RawData!H673</f>
        <v>Gift Card</v>
      </c>
      <c r="I673" s="7" t="str">
        <f>RawData!I673</f>
        <v>Cancelled</v>
      </c>
      <c r="J673" s="7" t="str">
        <f>RawData!J673</f>
        <v>TRK88653901</v>
      </c>
      <c r="K673" s="7">
        <f>RawData!K673</f>
        <v>7</v>
      </c>
      <c r="L673" s="7" t="str">
        <f>IF(RawData!L673="","No Coupon",RawData!L673)</f>
        <v>WINTER15</v>
      </c>
      <c r="M673" s="7" t="str">
        <f>RawData!M673</f>
        <v>Google</v>
      </c>
      <c r="N673" s="7">
        <f>RawData!N673</f>
        <v>253.7</v>
      </c>
    </row>
    <row r="674" spans="1:14" x14ac:dyDescent="0.3">
      <c r="A674" s="7" t="str">
        <f>RawData!A674</f>
        <v>ORD200672</v>
      </c>
      <c r="B674" s="11">
        <f>RawData!B674</f>
        <v>45055</v>
      </c>
      <c r="C674" s="7" t="str">
        <f>RawData!C674</f>
        <v>C14017</v>
      </c>
      <c r="D674" s="7" t="str">
        <f>RawData!D674</f>
        <v>Phone</v>
      </c>
      <c r="E674" s="7">
        <f>RawData!E674</f>
        <v>2</v>
      </c>
      <c r="F674" s="7">
        <f>RawData!F674</f>
        <v>624.16</v>
      </c>
      <c r="G674" s="7" t="str">
        <f>RawData!G674</f>
        <v>984 Main St</v>
      </c>
      <c r="H674" s="7" t="str">
        <f>RawData!H674</f>
        <v>Debit Card</v>
      </c>
      <c r="I674" s="7" t="str">
        <f>RawData!I674</f>
        <v>Shipped</v>
      </c>
      <c r="J674" s="7" t="str">
        <f>RawData!J674</f>
        <v>TRK71009446</v>
      </c>
      <c r="K674" s="7">
        <f>RawData!K674</f>
        <v>2</v>
      </c>
      <c r="L674" s="7" t="str">
        <f>IF(RawData!L674="","No Coupon",RawData!L674)</f>
        <v>SAVE10</v>
      </c>
      <c r="M674" s="7" t="str">
        <f>RawData!M674</f>
        <v>Instagram</v>
      </c>
      <c r="N674" s="7">
        <f>RawData!N674</f>
        <v>1248.32</v>
      </c>
    </row>
    <row r="675" spans="1:14" x14ac:dyDescent="0.3">
      <c r="A675" s="7" t="str">
        <f>RawData!A675</f>
        <v>ORD200673</v>
      </c>
      <c r="B675" s="11">
        <f>RawData!B675</f>
        <v>44978</v>
      </c>
      <c r="C675" s="7" t="str">
        <f>RawData!C675</f>
        <v>C46504</v>
      </c>
      <c r="D675" s="7" t="str">
        <f>RawData!D675</f>
        <v>Tablet</v>
      </c>
      <c r="E675" s="7">
        <f>RawData!E675</f>
        <v>2</v>
      </c>
      <c r="F675" s="7">
        <f>RawData!F675</f>
        <v>372.92</v>
      </c>
      <c r="G675" s="7" t="str">
        <f>RawData!G675</f>
        <v>131 Main St</v>
      </c>
      <c r="H675" s="7" t="str">
        <f>RawData!H675</f>
        <v>Credit Card</v>
      </c>
      <c r="I675" s="7" t="str">
        <f>RawData!I675</f>
        <v>Delivered</v>
      </c>
      <c r="J675" s="7" t="str">
        <f>RawData!J675</f>
        <v>TRK95024356</v>
      </c>
      <c r="K675" s="7">
        <f>RawData!K675</f>
        <v>7</v>
      </c>
      <c r="L675" s="7" t="str">
        <f>IF(RawData!L675="","No Coupon",RawData!L675)</f>
        <v>SAVE10</v>
      </c>
      <c r="M675" s="7" t="str">
        <f>RawData!M675</f>
        <v>Email</v>
      </c>
      <c r="N675" s="7">
        <f>RawData!N675</f>
        <v>745.84</v>
      </c>
    </row>
    <row r="676" spans="1:14" x14ac:dyDescent="0.3">
      <c r="A676" s="7" t="str">
        <f>RawData!A676</f>
        <v>ORD200674</v>
      </c>
      <c r="B676" s="11">
        <f>RawData!B676</f>
        <v>45300</v>
      </c>
      <c r="C676" s="7" t="str">
        <f>RawData!C676</f>
        <v>C56928</v>
      </c>
      <c r="D676" s="7" t="str">
        <f>RawData!D676</f>
        <v>Laptop</v>
      </c>
      <c r="E676" s="7">
        <f>RawData!E676</f>
        <v>4</v>
      </c>
      <c r="F676" s="7">
        <f>RawData!F676</f>
        <v>358.75</v>
      </c>
      <c r="G676" s="7" t="str">
        <f>RawData!G676</f>
        <v>860 Main St</v>
      </c>
      <c r="H676" s="7" t="str">
        <f>RawData!H676</f>
        <v>Gift Card</v>
      </c>
      <c r="I676" s="7" t="str">
        <f>RawData!I676</f>
        <v>Delivered</v>
      </c>
      <c r="J676" s="7" t="str">
        <f>RawData!J676</f>
        <v>TRK57792939</v>
      </c>
      <c r="K676" s="7">
        <f>RawData!K676</f>
        <v>9</v>
      </c>
      <c r="L676" s="7" t="str">
        <f>IF(RawData!L676="","No Coupon",RawData!L676)</f>
        <v>SAVE10</v>
      </c>
      <c r="M676" s="7" t="str">
        <f>RawData!M676</f>
        <v>Facebook</v>
      </c>
      <c r="N676" s="7">
        <f>RawData!N676</f>
        <v>1435</v>
      </c>
    </row>
    <row r="677" spans="1:14" x14ac:dyDescent="0.3">
      <c r="A677" s="7" t="str">
        <f>RawData!A677</f>
        <v>ORD200675</v>
      </c>
      <c r="B677" s="11">
        <f>RawData!B677</f>
        <v>45510</v>
      </c>
      <c r="C677" s="7" t="str">
        <f>RawData!C677</f>
        <v>C97749</v>
      </c>
      <c r="D677" s="7" t="str">
        <f>RawData!D677</f>
        <v>Desk</v>
      </c>
      <c r="E677" s="7">
        <f>RawData!E677</f>
        <v>3</v>
      </c>
      <c r="F677" s="7">
        <f>RawData!F677</f>
        <v>342.02</v>
      </c>
      <c r="G677" s="7" t="str">
        <f>RawData!G677</f>
        <v>906 Main St</v>
      </c>
      <c r="H677" s="7" t="str">
        <f>RawData!H677</f>
        <v>Debit Card</v>
      </c>
      <c r="I677" s="7" t="str">
        <f>RawData!I677</f>
        <v>Pending</v>
      </c>
      <c r="J677" s="7" t="str">
        <f>RawData!J677</f>
        <v>TRK90233116</v>
      </c>
      <c r="K677" s="7">
        <f>RawData!K677</f>
        <v>5</v>
      </c>
      <c r="L677" s="7" t="str">
        <f>IF(RawData!L677="","No Coupon",RawData!L677)</f>
        <v>No Coupon</v>
      </c>
      <c r="M677" s="7" t="str">
        <f>RawData!M677</f>
        <v>Email</v>
      </c>
      <c r="N677" s="7">
        <f>RawData!N677</f>
        <v>1026.06</v>
      </c>
    </row>
    <row r="678" spans="1:14" x14ac:dyDescent="0.3">
      <c r="A678" s="7" t="str">
        <f>RawData!A678</f>
        <v>ORD200676</v>
      </c>
      <c r="B678" s="11">
        <f>RawData!B678</f>
        <v>45831</v>
      </c>
      <c r="C678" s="7" t="str">
        <f>RawData!C678</f>
        <v>C90431</v>
      </c>
      <c r="D678" s="7" t="str">
        <f>RawData!D678</f>
        <v>Laptop</v>
      </c>
      <c r="E678" s="7">
        <f>RawData!E678</f>
        <v>2</v>
      </c>
      <c r="F678" s="7">
        <f>RawData!F678</f>
        <v>422.34</v>
      </c>
      <c r="G678" s="7" t="str">
        <f>RawData!G678</f>
        <v>985 Main St</v>
      </c>
      <c r="H678" s="7" t="str">
        <f>RawData!H678</f>
        <v>Credit Card</v>
      </c>
      <c r="I678" s="7" t="str">
        <f>RawData!I678</f>
        <v>Cancelled</v>
      </c>
      <c r="J678" s="7" t="str">
        <f>RawData!J678</f>
        <v>TRK44151723</v>
      </c>
      <c r="K678" s="7">
        <f>RawData!K678</f>
        <v>4</v>
      </c>
      <c r="L678" s="7" t="str">
        <f>IF(RawData!L678="","No Coupon",RawData!L678)</f>
        <v>FREESHIP</v>
      </c>
      <c r="M678" s="7" t="str">
        <f>RawData!M678</f>
        <v>Instagram</v>
      </c>
      <c r="N678" s="7">
        <f>RawData!N678</f>
        <v>844.68</v>
      </c>
    </row>
    <row r="679" spans="1:14" x14ac:dyDescent="0.3">
      <c r="A679" s="7" t="str">
        <f>RawData!A679</f>
        <v>ORD200677</v>
      </c>
      <c r="B679" s="11">
        <f>RawData!B679</f>
        <v>45750</v>
      </c>
      <c r="C679" s="7" t="str">
        <f>RawData!C679</f>
        <v>C56722</v>
      </c>
      <c r="D679" s="7" t="str">
        <f>RawData!D679</f>
        <v>Tablet</v>
      </c>
      <c r="E679" s="7">
        <f>RawData!E679</f>
        <v>5</v>
      </c>
      <c r="F679" s="7">
        <f>RawData!F679</f>
        <v>22.07</v>
      </c>
      <c r="G679" s="7" t="str">
        <f>RawData!G679</f>
        <v>179 Main St</v>
      </c>
      <c r="H679" s="7" t="str">
        <f>RawData!H679</f>
        <v>Online</v>
      </c>
      <c r="I679" s="7" t="str">
        <f>RawData!I679</f>
        <v>Cancelled</v>
      </c>
      <c r="J679" s="7" t="str">
        <f>RawData!J679</f>
        <v>TRK78778569</v>
      </c>
      <c r="K679" s="7">
        <f>RawData!K679</f>
        <v>7</v>
      </c>
      <c r="L679" s="7" t="str">
        <f>IF(RawData!L679="","No Coupon",RawData!L679)</f>
        <v>FREESHIP</v>
      </c>
      <c r="M679" s="7" t="str">
        <f>RawData!M679</f>
        <v>Instagram</v>
      </c>
      <c r="N679" s="7">
        <f>RawData!N679</f>
        <v>110.35</v>
      </c>
    </row>
    <row r="680" spans="1:14" x14ac:dyDescent="0.3">
      <c r="A680" s="7" t="str">
        <f>RawData!A680</f>
        <v>ORD200678</v>
      </c>
      <c r="B680" s="11">
        <f>RawData!B680</f>
        <v>45620</v>
      </c>
      <c r="C680" s="7" t="str">
        <f>RawData!C680</f>
        <v>C40863</v>
      </c>
      <c r="D680" s="7" t="str">
        <f>RawData!D680</f>
        <v>Chair</v>
      </c>
      <c r="E680" s="7">
        <f>RawData!E680</f>
        <v>3</v>
      </c>
      <c r="F680" s="7">
        <f>RawData!F680</f>
        <v>163.13</v>
      </c>
      <c r="G680" s="7" t="str">
        <f>RawData!G680</f>
        <v>457 Main St</v>
      </c>
      <c r="H680" s="7" t="str">
        <f>RawData!H680</f>
        <v>Gift Card</v>
      </c>
      <c r="I680" s="7" t="str">
        <f>RawData!I680</f>
        <v>Shipped</v>
      </c>
      <c r="J680" s="7" t="str">
        <f>RawData!J680</f>
        <v>TRK20553345</v>
      </c>
      <c r="K680" s="7">
        <f>RawData!K680</f>
        <v>5</v>
      </c>
      <c r="L680" s="7" t="str">
        <f>IF(RawData!L680="","No Coupon",RawData!L680)</f>
        <v>WINTER15</v>
      </c>
      <c r="M680" s="7" t="str">
        <f>RawData!M680</f>
        <v>Facebook</v>
      </c>
      <c r="N680" s="7">
        <f>RawData!N680</f>
        <v>489.39</v>
      </c>
    </row>
    <row r="681" spans="1:14" x14ac:dyDescent="0.3">
      <c r="A681" s="7" t="str">
        <f>RawData!A681</f>
        <v>ORD200679</v>
      </c>
      <c r="B681" s="11">
        <f>RawData!B681</f>
        <v>44959</v>
      </c>
      <c r="C681" s="7" t="str">
        <f>RawData!C681</f>
        <v>C40798</v>
      </c>
      <c r="D681" s="7" t="str">
        <f>RawData!D681</f>
        <v>Tablet</v>
      </c>
      <c r="E681" s="7">
        <f>RawData!E681</f>
        <v>3</v>
      </c>
      <c r="F681" s="7">
        <f>RawData!F681</f>
        <v>360.66</v>
      </c>
      <c r="G681" s="7" t="str">
        <f>RawData!G681</f>
        <v>304 Main St</v>
      </c>
      <c r="H681" s="7" t="str">
        <f>RawData!H681</f>
        <v>Online</v>
      </c>
      <c r="I681" s="7" t="str">
        <f>RawData!I681</f>
        <v>Returned</v>
      </c>
      <c r="J681" s="7" t="str">
        <f>RawData!J681</f>
        <v>TRK66106697</v>
      </c>
      <c r="K681" s="7">
        <f>RawData!K681</f>
        <v>5</v>
      </c>
      <c r="L681" s="7" t="str">
        <f>IF(RawData!L681="","No Coupon",RawData!L681)</f>
        <v>FREESHIP</v>
      </c>
      <c r="M681" s="7" t="str">
        <f>RawData!M681</f>
        <v>Instagram</v>
      </c>
      <c r="N681" s="7">
        <f>RawData!N681</f>
        <v>1081.98</v>
      </c>
    </row>
    <row r="682" spans="1:14" x14ac:dyDescent="0.3">
      <c r="A682" s="7" t="str">
        <f>RawData!A682</f>
        <v>ORD200680</v>
      </c>
      <c r="B682" s="11">
        <f>RawData!B682</f>
        <v>45165</v>
      </c>
      <c r="C682" s="7" t="str">
        <f>RawData!C682</f>
        <v>C16702</v>
      </c>
      <c r="D682" s="7" t="str">
        <f>RawData!D682</f>
        <v>Monitor</v>
      </c>
      <c r="E682" s="7">
        <f>RawData!E682</f>
        <v>3</v>
      </c>
      <c r="F682" s="7">
        <f>RawData!F682</f>
        <v>463.39</v>
      </c>
      <c r="G682" s="7" t="str">
        <f>RawData!G682</f>
        <v>694 Main St</v>
      </c>
      <c r="H682" s="7" t="str">
        <f>RawData!H682</f>
        <v>Credit Card</v>
      </c>
      <c r="I682" s="7" t="str">
        <f>RawData!I682</f>
        <v>Returned</v>
      </c>
      <c r="J682" s="7" t="str">
        <f>RawData!J682</f>
        <v>TRK16953491</v>
      </c>
      <c r="K682" s="7">
        <f>RawData!K682</f>
        <v>3</v>
      </c>
      <c r="L682" s="7" t="str">
        <f>IF(RawData!L682="","No Coupon",RawData!L682)</f>
        <v>No Coupon</v>
      </c>
      <c r="M682" s="7" t="str">
        <f>RawData!M682</f>
        <v>Facebook</v>
      </c>
      <c r="N682" s="7">
        <f>RawData!N682</f>
        <v>1390.17</v>
      </c>
    </row>
    <row r="683" spans="1:14" x14ac:dyDescent="0.3">
      <c r="A683" s="7" t="str">
        <f>RawData!A683</f>
        <v>ORD200681</v>
      </c>
      <c r="B683" s="11">
        <f>RawData!B683</f>
        <v>45321</v>
      </c>
      <c r="C683" s="7" t="str">
        <f>RawData!C683</f>
        <v>C38262</v>
      </c>
      <c r="D683" s="7" t="str">
        <f>RawData!D683</f>
        <v>Tablet</v>
      </c>
      <c r="E683" s="7">
        <f>RawData!E683</f>
        <v>1</v>
      </c>
      <c r="F683" s="7">
        <f>RawData!F683</f>
        <v>155.27000000000001</v>
      </c>
      <c r="G683" s="7" t="str">
        <f>RawData!G683</f>
        <v>548 Main St</v>
      </c>
      <c r="H683" s="7" t="str">
        <f>RawData!H683</f>
        <v>Debit Card</v>
      </c>
      <c r="I683" s="7" t="str">
        <f>RawData!I683</f>
        <v>Shipped</v>
      </c>
      <c r="J683" s="7" t="str">
        <f>RawData!J683</f>
        <v>TRK47300502</v>
      </c>
      <c r="K683" s="7">
        <f>RawData!K683</f>
        <v>6</v>
      </c>
      <c r="L683" s="7" t="str">
        <f>IF(RawData!L683="","No Coupon",RawData!L683)</f>
        <v>No Coupon</v>
      </c>
      <c r="M683" s="7" t="str">
        <f>RawData!M683</f>
        <v>Email</v>
      </c>
      <c r="N683" s="7">
        <f>RawData!N683</f>
        <v>155.27000000000001</v>
      </c>
    </row>
    <row r="684" spans="1:14" x14ac:dyDescent="0.3">
      <c r="A684" s="7" t="str">
        <f>RawData!A684</f>
        <v>ORD200682</v>
      </c>
      <c r="B684" s="11">
        <f>RawData!B684</f>
        <v>45130</v>
      </c>
      <c r="C684" s="7" t="str">
        <f>RawData!C684</f>
        <v>C50274</v>
      </c>
      <c r="D684" s="7" t="str">
        <f>RawData!D684</f>
        <v>Monitor</v>
      </c>
      <c r="E684" s="7">
        <f>RawData!E684</f>
        <v>3</v>
      </c>
      <c r="F684" s="7">
        <f>RawData!F684</f>
        <v>509.42</v>
      </c>
      <c r="G684" s="7" t="str">
        <f>RawData!G684</f>
        <v>449 Main St</v>
      </c>
      <c r="H684" s="7" t="str">
        <f>RawData!H684</f>
        <v>Credit Card</v>
      </c>
      <c r="I684" s="7" t="str">
        <f>RawData!I684</f>
        <v>Cancelled</v>
      </c>
      <c r="J684" s="7" t="str">
        <f>RawData!J684</f>
        <v>TRK91729086</v>
      </c>
      <c r="K684" s="7">
        <f>RawData!K684</f>
        <v>5</v>
      </c>
      <c r="L684" s="7" t="str">
        <f>IF(RawData!L684="","No Coupon",RawData!L684)</f>
        <v>FREESHIP</v>
      </c>
      <c r="M684" s="7" t="str">
        <f>RawData!M684</f>
        <v>Google</v>
      </c>
      <c r="N684" s="7">
        <f>RawData!N684</f>
        <v>1528.26</v>
      </c>
    </row>
    <row r="685" spans="1:14" x14ac:dyDescent="0.3">
      <c r="A685" s="7" t="str">
        <f>RawData!A685</f>
        <v>ORD200683</v>
      </c>
      <c r="B685" s="11">
        <f>RawData!B685</f>
        <v>45795</v>
      </c>
      <c r="C685" s="7" t="str">
        <f>RawData!C685</f>
        <v>C91591</v>
      </c>
      <c r="D685" s="7" t="str">
        <f>RawData!D685</f>
        <v>Desk</v>
      </c>
      <c r="E685" s="7">
        <f>RawData!E685</f>
        <v>4</v>
      </c>
      <c r="F685" s="7">
        <f>RawData!F685</f>
        <v>652.48</v>
      </c>
      <c r="G685" s="7" t="str">
        <f>RawData!G685</f>
        <v>887 Main St</v>
      </c>
      <c r="H685" s="7" t="str">
        <f>RawData!H685</f>
        <v>Cash</v>
      </c>
      <c r="I685" s="7" t="str">
        <f>RawData!I685</f>
        <v>Pending</v>
      </c>
      <c r="J685" s="7" t="str">
        <f>RawData!J685</f>
        <v>TRK23554043</v>
      </c>
      <c r="K685" s="7">
        <f>RawData!K685</f>
        <v>5</v>
      </c>
      <c r="L685" s="7" t="str">
        <f>IF(RawData!L685="","No Coupon",RawData!L685)</f>
        <v>FREESHIP</v>
      </c>
      <c r="M685" s="7" t="str">
        <f>RawData!M685</f>
        <v>Instagram</v>
      </c>
      <c r="N685" s="7">
        <f>RawData!N685</f>
        <v>2609.92</v>
      </c>
    </row>
    <row r="686" spans="1:14" x14ac:dyDescent="0.3">
      <c r="A686" s="7" t="str">
        <f>RawData!A686</f>
        <v>ORD200684</v>
      </c>
      <c r="B686" s="11">
        <f>RawData!B686</f>
        <v>45557</v>
      </c>
      <c r="C686" s="7" t="str">
        <f>RawData!C686</f>
        <v>C96583</v>
      </c>
      <c r="D686" s="7" t="str">
        <f>RawData!D686</f>
        <v>Printer</v>
      </c>
      <c r="E686" s="7">
        <f>RawData!E686</f>
        <v>4</v>
      </c>
      <c r="F686" s="7">
        <f>RawData!F686</f>
        <v>34.840000000000003</v>
      </c>
      <c r="G686" s="7" t="str">
        <f>RawData!G686</f>
        <v>288 Main St</v>
      </c>
      <c r="H686" s="7" t="str">
        <f>RawData!H686</f>
        <v>Credit Card</v>
      </c>
      <c r="I686" s="7" t="str">
        <f>RawData!I686</f>
        <v>Shipped</v>
      </c>
      <c r="J686" s="7" t="str">
        <f>RawData!J686</f>
        <v>TRK64353241</v>
      </c>
      <c r="K686" s="7">
        <f>RawData!K686</f>
        <v>8</v>
      </c>
      <c r="L686" s="7" t="str">
        <f>IF(RawData!L686="","No Coupon",RawData!L686)</f>
        <v>No Coupon</v>
      </c>
      <c r="M686" s="7" t="str">
        <f>RawData!M686</f>
        <v>Email</v>
      </c>
      <c r="N686" s="7">
        <f>RawData!N686</f>
        <v>139.36000000000001</v>
      </c>
    </row>
    <row r="687" spans="1:14" x14ac:dyDescent="0.3">
      <c r="A687" s="7" t="str">
        <f>RawData!A687</f>
        <v>ORD200685</v>
      </c>
      <c r="B687" s="11">
        <f>RawData!B687</f>
        <v>45695</v>
      </c>
      <c r="C687" s="7" t="str">
        <f>RawData!C687</f>
        <v>C64579</v>
      </c>
      <c r="D687" s="7" t="str">
        <f>RawData!D687</f>
        <v>Desk</v>
      </c>
      <c r="E687" s="7">
        <f>RawData!E687</f>
        <v>1</v>
      </c>
      <c r="F687" s="7">
        <f>RawData!F687</f>
        <v>234.37</v>
      </c>
      <c r="G687" s="7" t="str">
        <f>RawData!G687</f>
        <v>638 Main St</v>
      </c>
      <c r="H687" s="7" t="str">
        <f>RawData!H687</f>
        <v>Debit Card</v>
      </c>
      <c r="I687" s="7" t="str">
        <f>RawData!I687</f>
        <v>Shipped</v>
      </c>
      <c r="J687" s="7" t="str">
        <f>RawData!J687</f>
        <v>TRK10276565</v>
      </c>
      <c r="K687" s="7">
        <f>RawData!K687</f>
        <v>5</v>
      </c>
      <c r="L687" s="7" t="str">
        <f>IF(RawData!L687="","No Coupon",RawData!L687)</f>
        <v>FREESHIP</v>
      </c>
      <c r="M687" s="7" t="str">
        <f>RawData!M687</f>
        <v>Email</v>
      </c>
      <c r="N687" s="7">
        <f>RawData!N687</f>
        <v>234.37</v>
      </c>
    </row>
    <row r="688" spans="1:14" x14ac:dyDescent="0.3">
      <c r="A688" s="7" t="str">
        <f>RawData!A688</f>
        <v>ORD200686</v>
      </c>
      <c r="B688" s="11">
        <f>RawData!B688</f>
        <v>45208</v>
      </c>
      <c r="C688" s="7" t="str">
        <f>RawData!C688</f>
        <v>C41903</v>
      </c>
      <c r="D688" s="7" t="str">
        <f>RawData!D688</f>
        <v>Desk</v>
      </c>
      <c r="E688" s="7">
        <f>RawData!E688</f>
        <v>3</v>
      </c>
      <c r="F688" s="7">
        <f>RawData!F688</f>
        <v>53.6</v>
      </c>
      <c r="G688" s="7" t="str">
        <f>RawData!G688</f>
        <v>525 Main St</v>
      </c>
      <c r="H688" s="7" t="str">
        <f>RawData!H688</f>
        <v>Cash</v>
      </c>
      <c r="I688" s="7" t="str">
        <f>RawData!I688</f>
        <v>Pending</v>
      </c>
      <c r="J688" s="7" t="str">
        <f>RawData!J688</f>
        <v>TRK59112382</v>
      </c>
      <c r="K688" s="7">
        <f>RawData!K688</f>
        <v>4</v>
      </c>
      <c r="L688" s="7" t="str">
        <f>IF(RawData!L688="","No Coupon",RawData!L688)</f>
        <v>WINTER15</v>
      </c>
      <c r="M688" s="7" t="str">
        <f>RawData!M688</f>
        <v>Facebook</v>
      </c>
      <c r="N688" s="7">
        <f>RawData!N688</f>
        <v>160.80000000000001</v>
      </c>
    </row>
    <row r="689" spans="1:14" x14ac:dyDescent="0.3">
      <c r="A689" s="7" t="str">
        <f>RawData!A689</f>
        <v>ORD200687</v>
      </c>
      <c r="B689" s="11">
        <f>RawData!B689</f>
        <v>45182</v>
      </c>
      <c r="C689" s="7" t="str">
        <f>RawData!C689</f>
        <v>C19742</v>
      </c>
      <c r="D689" s="7" t="str">
        <f>RawData!D689</f>
        <v>Tablet</v>
      </c>
      <c r="E689" s="7">
        <f>RawData!E689</f>
        <v>1</v>
      </c>
      <c r="F689" s="7">
        <f>RawData!F689</f>
        <v>332.09</v>
      </c>
      <c r="G689" s="7" t="str">
        <f>RawData!G689</f>
        <v>408 Main St</v>
      </c>
      <c r="H689" s="7" t="str">
        <f>RawData!H689</f>
        <v>Gift Card</v>
      </c>
      <c r="I689" s="7" t="str">
        <f>RawData!I689</f>
        <v>Returned</v>
      </c>
      <c r="J689" s="7" t="str">
        <f>RawData!J689</f>
        <v>TRK68845230</v>
      </c>
      <c r="K689" s="7">
        <f>RawData!K689</f>
        <v>5</v>
      </c>
      <c r="L689" s="7" t="str">
        <f>IF(RawData!L689="","No Coupon",RawData!L689)</f>
        <v>FREESHIP</v>
      </c>
      <c r="M689" s="7" t="str">
        <f>RawData!M689</f>
        <v>Instagram</v>
      </c>
      <c r="N689" s="7">
        <f>RawData!N689</f>
        <v>332.09</v>
      </c>
    </row>
    <row r="690" spans="1:14" x14ac:dyDescent="0.3">
      <c r="A690" s="7" t="str">
        <f>RawData!A690</f>
        <v>ORD200688</v>
      </c>
      <c r="B690" s="11">
        <f>RawData!B690</f>
        <v>45357</v>
      </c>
      <c r="C690" s="7" t="str">
        <f>RawData!C690</f>
        <v>C20077</v>
      </c>
      <c r="D690" s="7" t="str">
        <f>RawData!D690</f>
        <v>Monitor</v>
      </c>
      <c r="E690" s="7">
        <f>RawData!E690</f>
        <v>4</v>
      </c>
      <c r="F690" s="7">
        <f>RawData!F690</f>
        <v>593.22</v>
      </c>
      <c r="G690" s="7" t="str">
        <f>RawData!G690</f>
        <v>154 Main St</v>
      </c>
      <c r="H690" s="7" t="str">
        <f>RawData!H690</f>
        <v>Credit Card</v>
      </c>
      <c r="I690" s="7" t="str">
        <f>RawData!I690</f>
        <v>Cancelled</v>
      </c>
      <c r="J690" s="7" t="str">
        <f>RawData!J690</f>
        <v>TRK36415742</v>
      </c>
      <c r="K690" s="7">
        <f>RawData!K690</f>
        <v>8</v>
      </c>
      <c r="L690" s="7" t="str">
        <f>IF(RawData!L690="","No Coupon",RawData!L690)</f>
        <v>WINTER15</v>
      </c>
      <c r="M690" s="7" t="str">
        <f>RawData!M690</f>
        <v>Facebook</v>
      </c>
      <c r="N690" s="7">
        <f>RawData!N690</f>
        <v>2372.88</v>
      </c>
    </row>
    <row r="691" spans="1:14" x14ac:dyDescent="0.3">
      <c r="A691" s="7" t="str">
        <f>RawData!A691</f>
        <v>ORD200689</v>
      </c>
      <c r="B691" s="11">
        <f>RawData!B691</f>
        <v>45167</v>
      </c>
      <c r="C691" s="7" t="str">
        <f>RawData!C691</f>
        <v>C13186</v>
      </c>
      <c r="D691" s="7" t="str">
        <f>RawData!D691</f>
        <v>Tablet</v>
      </c>
      <c r="E691" s="7">
        <f>RawData!E691</f>
        <v>2</v>
      </c>
      <c r="F691" s="7">
        <f>RawData!F691</f>
        <v>444.84</v>
      </c>
      <c r="G691" s="7" t="str">
        <f>RawData!G691</f>
        <v>787 Main St</v>
      </c>
      <c r="H691" s="7" t="str">
        <f>RawData!H691</f>
        <v>Online</v>
      </c>
      <c r="I691" s="7" t="str">
        <f>RawData!I691</f>
        <v>Shipped</v>
      </c>
      <c r="J691" s="7" t="str">
        <f>RawData!J691</f>
        <v>TRK56967415</v>
      </c>
      <c r="K691" s="7">
        <f>RawData!K691</f>
        <v>7</v>
      </c>
      <c r="L691" s="7" t="str">
        <f>IF(RawData!L691="","No Coupon",RawData!L691)</f>
        <v>No Coupon</v>
      </c>
      <c r="M691" s="7" t="str">
        <f>RawData!M691</f>
        <v>Facebook</v>
      </c>
      <c r="N691" s="7">
        <f>RawData!N691</f>
        <v>889.68</v>
      </c>
    </row>
    <row r="692" spans="1:14" x14ac:dyDescent="0.3">
      <c r="A692" s="7" t="str">
        <f>RawData!A692</f>
        <v>ORD200690</v>
      </c>
      <c r="B692" s="11">
        <f>RawData!B692</f>
        <v>45485</v>
      </c>
      <c r="C692" s="7" t="str">
        <f>RawData!C692</f>
        <v>C29318</v>
      </c>
      <c r="D692" s="7" t="str">
        <f>RawData!D692</f>
        <v>Monitor</v>
      </c>
      <c r="E692" s="7">
        <f>RawData!E692</f>
        <v>1</v>
      </c>
      <c r="F692" s="7">
        <f>RawData!F692</f>
        <v>24.48</v>
      </c>
      <c r="G692" s="7" t="str">
        <f>RawData!G692</f>
        <v>128 Main St</v>
      </c>
      <c r="H692" s="7" t="str">
        <f>RawData!H692</f>
        <v>Gift Card</v>
      </c>
      <c r="I692" s="7" t="str">
        <f>RawData!I692</f>
        <v>Returned</v>
      </c>
      <c r="J692" s="7" t="str">
        <f>RawData!J692</f>
        <v>TRK88666721</v>
      </c>
      <c r="K692" s="7">
        <f>RawData!K692</f>
        <v>1</v>
      </c>
      <c r="L692" s="7" t="str">
        <f>IF(RawData!L692="","No Coupon",RawData!L692)</f>
        <v>No Coupon</v>
      </c>
      <c r="M692" s="7" t="str">
        <f>RawData!M692</f>
        <v>Instagram</v>
      </c>
      <c r="N692" s="7">
        <f>RawData!N692</f>
        <v>24.48</v>
      </c>
    </row>
    <row r="693" spans="1:14" x14ac:dyDescent="0.3">
      <c r="A693" s="7" t="str">
        <f>RawData!A693</f>
        <v>ORD200691</v>
      </c>
      <c r="B693" s="11">
        <f>RawData!B693</f>
        <v>45620</v>
      </c>
      <c r="C693" s="7" t="str">
        <f>RawData!C693</f>
        <v>C36137</v>
      </c>
      <c r="D693" s="7" t="str">
        <f>RawData!D693</f>
        <v>Laptop</v>
      </c>
      <c r="E693" s="7">
        <f>RawData!E693</f>
        <v>3</v>
      </c>
      <c r="F693" s="7">
        <f>RawData!F693</f>
        <v>239.08</v>
      </c>
      <c r="G693" s="7" t="str">
        <f>RawData!G693</f>
        <v>396 Main St</v>
      </c>
      <c r="H693" s="7" t="str">
        <f>RawData!H693</f>
        <v>Cash</v>
      </c>
      <c r="I693" s="7" t="str">
        <f>RawData!I693</f>
        <v>Shipped</v>
      </c>
      <c r="J693" s="7" t="str">
        <f>RawData!J693</f>
        <v>TRK57376416</v>
      </c>
      <c r="K693" s="7">
        <f>RawData!K693</f>
        <v>8</v>
      </c>
      <c r="L693" s="7" t="str">
        <f>IF(RawData!L693="","No Coupon",RawData!L693)</f>
        <v>No Coupon</v>
      </c>
      <c r="M693" s="7" t="str">
        <f>RawData!M693</f>
        <v>Google</v>
      </c>
      <c r="N693" s="7">
        <f>RawData!N693</f>
        <v>717.24</v>
      </c>
    </row>
    <row r="694" spans="1:14" x14ac:dyDescent="0.3">
      <c r="A694" s="7" t="str">
        <f>RawData!A694</f>
        <v>ORD200692</v>
      </c>
      <c r="B694" s="11">
        <f>RawData!B694</f>
        <v>44949</v>
      </c>
      <c r="C694" s="7" t="str">
        <f>RawData!C694</f>
        <v>C25534</v>
      </c>
      <c r="D694" s="7" t="str">
        <f>RawData!D694</f>
        <v>Desk</v>
      </c>
      <c r="E694" s="7">
        <f>RawData!E694</f>
        <v>5</v>
      </c>
      <c r="F694" s="7">
        <f>RawData!F694</f>
        <v>196.84</v>
      </c>
      <c r="G694" s="7" t="str">
        <f>RawData!G694</f>
        <v>319 Main St</v>
      </c>
      <c r="H694" s="7" t="str">
        <f>RawData!H694</f>
        <v>Credit Card</v>
      </c>
      <c r="I694" s="7" t="str">
        <f>RawData!I694</f>
        <v>Delivered</v>
      </c>
      <c r="J694" s="7" t="str">
        <f>RawData!J694</f>
        <v>TRK68347402</v>
      </c>
      <c r="K694" s="7">
        <f>RawData!K694</f>
        <v>5</v>
      </c>
      <c r="L694" s="7" t="str">
        <f>IF(RawData!L694="","No Coupon",RawData!L694)</f>
        <v>WINTER15</v>
      </c>
      <c r="M694" s="7" t="str">
        <f>RawData!M694</f>
        <v>Instagram</v>
      </c>
      <c r="N694" s="7">
        <f>RawData!N694</f>
        <v>984.2</v>
      </c>
    </row>
    <row r="695" spans="1:14" x14ac:dyDescent="0.3">
      <c r="A695" s="7" t="str">
        <f>RawData!A695</f>
        <v>ORD200693</v>
      </c>
      <c r="B695" s="11">
        <f>RawData!B695</f>
        <v>45728</v>
      </c>
      <c r="C695" s="7" t="str">
        <f>RawData!C695</f>
        <v>C62070</v>
      </c>
      <c r="D695" s="7" t="str">
        <f>RawData!D695</f>
        <v>Monitor</v>
      </c>
      <c r="E695" s="7">
        <f>RawData!E695</f>
        <v>1</v>
      </c>
      <c r="F695" s="7">
        <f>RawData!F695</f>
        <v>176.58</v>
      </c>
      <c r="G695" s="7" t="str">
        <f>RawData!G695</f>
        <v>674 Main St</v>
      </c>
      <c r="H695" s="7" t="str">
        <f>RawData!H695</f>
        <v>Debit Card</v>
      </c>
      <c r="I695" s="7" t="str">
        <f>RawData!I695</f>
        <v>Returned</v>
      </c>
      <c r="J695" s="7" t="str">
        <f>RawData!J695</f>
        <v>TRK10267127</v>
      </c>
      <c r="K695" s="7">
        <f>RawData!K695</f>
        <v>4</v>
      </c>
      <c r="L695" s="7" t="str">
        <f>IF(RawData!L695="","No Coupon",RawData!L695)</f>
        <v>No Coupon</v>
      </c>
      <c r="M695" s="7" t="str">
        <f>RawData!M695</f>
        <v>Referral</v>
      </c>
      <c r="N695" s="7">
        <f>RawData!N695</f>
        <v>176.58</v>
      </c>
    </row>
    <row r="696" spans="1:14" x14ac:dyDescent="0.3">
      <c r="A696" s="7" t="str">
        <f>RawData!A696</f>
        <v>ORD200694</v>
      </c>
      <c r="B696" s="11">
        <f>RawData!B696</f>
        <v>45201</v>
      </c>
      <c r="C696" s="7" t="str">
        <f>RawData!C696</f>
        <v>C92049</v>
      </c>
      <c r="D696" s="7" t="str">
        <f>RawData!D696</f>
        <v>Printer</v>
      </c>
      <c r="E696" s="7">
        <f>RawData!E696</f>
        <v>4</v>
      </c>
      <c r="F696" s="7">
        <f>RawData!F696</f>
        <v>666.52</v>
      </c>
      <c r="G696" s="7" t="str">
        <f>RawData!G696</f>
        <v>619 Main St</v>
      </c>
      <c r="H696" s="7" t="str">
        <f>RawData!H696</f>
        <v>Cash</v>
      </c>
      <c r="I696" s="7" t="str">
        <f>RawData!I696</f>
        <v>Shipped</v>
      </c>
      <c r="J696" s="7" t="str">
        <f>RawData!J696</f>
        <v>TRK32287092</v>
      </c>
      <c r="K696" s="7">
        <f>RawData!K696</f>
        <v>8</v>
      </c>
      <c r="L696" s="7" t="str">
        <f>IF(RawData!L696="","No Coupon",RawData!L696)</f>
        <v>FREESHIP</v>
      </c>
      <c r="M696" s="7" t="str">
        <f>RawData!M696</f>
        <v>Email</v>
      </c>
      <c r="N696" s="7">
        <f>RawData!N696</f>
        <v>2666.08</v>
      </c>
    </row>
    <row r="697" spans="1:14" x14ac:dyDescent="0.3">
      <c r="A697" s="7" t="str">
        <f>RawData!A697</f>
        <v>ORD200695</v>
      </c>
      <c r="B697" s="11">
        <f>RawData!B697</f>
        <v>45619</v>
      </c>
      <c r="C697" s="7" t="str">
        <f>RawData!C697</f>
        <v>C52604</v>
      </c>
      <c r="D697" s="7" t="str">
        <f>RawData!D697</f>
        <v>Printer</v>
      </c>
      <c r="E697" s="7">
        <f>RawData!E697</f>
        <v>5</v>
      </c>
      <c r="F697" s="7">
        <f>RawData!F697</f>
        <v>101.3</v>
      </c>
      <c r="G697" s="7" t="str">
        <f>RawData!G697</f>
        <v>553 Main St</v>
      </c>
      <c r="H697" s="7" t="str">
        <f>RawData!H697</f>
        <v>Online</v>
      </c>
      <c r="I697" s="7" t="str">
        <f>RawData!I697</f>
        <v>Shipped</v>
      </c>
      <c r="J697" s="7" t="str">
        <f>RawData!J697</f>
        <v>TRK48839788</v>
      </c>
      <c r="K697" s="7">
        <f>RawData!K697</f>
        <v>7</v>
      </c>
      <c r="L697" s="7" t="str">
        <f>IF(RawData!L697="","No Coupon",RawData!L697)</f>
        <v>FREESHIP</v>
      </c>
      <c r="M697" s="7" t="str">
        <f>RawData!M697</f>
        <v>Email</v>
      </c>
      <c r="N697" s="7">
        <f>RawData!N697</f>
        <v>506.5</v>
      </c>
    </row>
    <row r="698" spans="1:14" x14ac:dyDescent="0.3">
      <c r="A698" s="7" t="str">
        <f>RawData!A698</f>
        <v>ORD200696</v>
      </c>
      <c r="B698" s="11">
        <f>RawData!B698</f>
        <v>45109</v>
      </c>
      <c r="C698" s="7" t="str">
        <f>RawData!C698</f>
        <v>C22429</v>
      </c>
      <c r="D698" s="7" t="str">
        <f>RawData!D698</f>
        <v>Chair</v>
      </c>
      <c r="E698" s="7">
        <f>RawData!E698</f>
        <v>4</v>
      </c>
      <c r="F698" s="7">
        <f>RawData!F698</f>
        <v>151.19999999999999</v>
      </c>
      <c r="G698" s="7" t="str">
        <f>RawData!G698</f>
        <v>965 Main St</v>
      </c>
      <c r="H698" s="7" t="str">
        <f>RawData!H698</f>
        <v>Gift Card</v>
      </c>
      <c r="I698" s="7" t="str">
        <f>RawData!I698</f>
        <v>Pending</v>
      </c>
      <c r="J698" s="7" t="str">
        <f>RawData!J698</f>
        <v>TRK38572927</v>
      </c>
      <c r="K698" s="7">
        <f>RawData!K698</f>
        <v>9</v>
      </c>
      <c r="L698" s="7" t="str">
        <f>IF(RawData!L698="","No Coupon",RawData!L698)</f>
        <v>WINTER15</v>
      </c>
      <c r="M698" s="7" t="str">
        <f>RawData!M698</f>
        <v>Facebook</v>
      </c>
      <c r="N698" s="7">
        <f>RawData!N698</f>
        <v>604.79999999999995</v>
      </c>
    </row>
    <row r="699" spans="1:14" x14ac:dyDescent="0.3">
      <c r="A699" s="7" t="str">
        <f>RawData!A699</f>
        <v>ORD200697</v>
      </c>
      <c r="B699" s="11">
        <f>RawData!B699</f>
        <v>45692</v>
      </c>
      <c r="C699" s="7" t="str">
        <f>RawData!C699</f>
        <v>C27430</v>
      </c>
      <c r="D699" s="7" t="str">
        <f>RawData!D699</f>
        <v>Printer</v>
      </c>
      <c r="E699" s="7">
        <f>RawData!E699</f>
        <v>5</v>
      </c>
      <c r="F699" s="7">
        <f>RawData!F699</f>
        <v>94.85</v>
      </c>
      <c r="G699" s="7" t="str">
        <f>RawData!G699</f>
        <v>788 Main St</v>
      </c>
      <c r="H699" s="7" t="str">
        <f>RawData!H699</f>
        <v>Cash</v>
      </c>
      <c r="I699" s="7" t="str">
        <f>RawData!I699</f>
        <v>Shipped</v>
      </c>
      <c r="J699" s="7" t="str">
        <f>RawData!J699</f>
        <v>TRK45025840</v>
      </c>
      <c r="K699" s="7">
        <f>RawData!K699</f>
        <v>6</v>
      </c>
      <c r="L699" s="7" t="str">
        <f>IF(RawData!L699="","No Coupon",RawData!L699)</f>
        <v>WINTER15</v>
      </c>
      <c r="M699" s="7" t="str">
        <f>RawData!M699</f>
        <v>Email</v>
      </c>
      <c r="N699" s="7">
        <f>RawData!N699</f>
        <v>474.25</v>
      </c>
    </row>
    <row r="700" spans="1:14" x14ac:dyDescent="0.3">
      <c r="A700" s="7" t="str">
        <f>RawData!A700</f>
        <v>ORD200698</v>
      </c>
      <c r="B700" s="11">
        <f>RawData!B700</f>
        <v>44930</v>
      </c>
      <c r="C700" s="7" t="str">
        <f>RawData!C700</f>
        <v>C44366</v>
      </c>
      <c r="D700" s="7" t="str">
        <f>RawData!D700</f>
        <v>Laptop</v>
      </c>
      <c r="E700" s="7">
        <f>RawData!E700</f>
        <v>2</v>
      </c>
      <c r="F700" s="7">
        <f>RawData!F700</f>
        <v>388.22</v>
      </c>
      <c r="G700" s="7" t="str">
        <f>RawData!G700</f>
        <v>169 Main St</v>
      </c>
      <c r="H700" s="7" t="str">
        <f>RawData!H700</f>
        <v>Cash</v>
      </c>
      <c r="I700" s="7" t="str">
        <f>RawData!I700</f>
        <v>Delivered</v>
      </c>
      <c r="J700" s="7" t="str">
        <f>RawData!J700</f>
        <v>TRK48658394</v>
      </c>
      <c r="K700" s="7">
        <f>RawData!K700</f>
        <v>2</v>
      </c>
      <c r="L700" s="7" t="str">
        <f>IF(RawData!L700="","No Coupon",RawData!L700)</f>
        <v>WINTER15</v>
      </c>
      <c r="M700" s="7" t="str">
        <f>RawData!M700</f>
        <v>Instagram</v>
      </c>
      <c r="N700" s="7">
        <f>RawData!N700</f>
        <v>776.44</v>
      </c>
    </row>
    <row r="701" spans="1:14" x14ac:dyDescent="0.3">
      <c r="A701" s="7" t="str">
        <f>RawData!A701</f>
        <v>ORD200699</v>
      </c>
      <c r="B701" s="11">
        <f>RawData!B701</f>
        <v>45243</v>
      </c>
      <c r="C701" s="7" t="str">
        <f>RawData!C701</f>
        <v>C36813</v>
      </c>
      <c r="D701" s="7" t="str">
        <f>RawData!D701</f>
        <v>Laptop</v>
      </c>
      <c r="E701" s="7">
        <f>RawData!E701</f>
        <v>3</v>
      </c>
      <c r="F701" s="7">
        <f>RawData!F701</f>
        <v>614.15</v>
      </c>
      <c r="G701" s="7" t="str">
        <f>RawData!G701</f>
        <v>897 Main St</v>
      </c>
      <c r="H701" s="7" t="str">
        <f>RawData!H701</f>
        <v>Gift Card</v>
      </c>
      <c r="I701" s="7" t="str">
        <f>RawData!I701</f>
        <v>Cancelled</v>
      </c>
      <c r="J701" s="7" t="str">
        <f>RawData!J701</f>
        <v>TRK84088900</v>
      </c>
      <c r="K701" s="7">
        <f>RawData!K701</f>
        <v>3</v>
      </c>
      <c r="L701" s="7" t="str">
        <f>IF(RawData!L701="","No Coupon",RawData!L701)</f>
        <v>No Coupon</v>
      </c>
      <c r="M701" s="7" t="str">
        <f>RawData!M701</f>
        <v>Facebook</v>
      </c>
      <c r="N701" s="7">
        <f>RawData!N701</f>
        <v>1842.45</v>
      </c>
    </row>
    <row r="702" spans="1:14" x14ac:dyDescent="0.3">
      <c r="A702" s="7" t="str">
        <f>RawData!A702</f>
        <v>ORD200700</v>
      </c>
      <c r="B702" s="11">
        <f>RawData!B702</f>
        <v>45560</v>
      </c>
      <c r="C702" s="7" t="str">
        <f>RawData!C702</f>
        <v>C40201</v>
      </c>
      <c r="D702" s="7" t="str">
        <f>RawData!D702</f>
        <v>Laptop</v>
      </c>
      <c r="E702" s="7">
        <f>RawData!E702</f>
        <v>2</v>
      </c>
      <c r="F702" s="7">
        <f>RawData!F702</f>
        <v>92.91</v>
      </c>
      <c r="G702" s="7" t="str">
        <f>RawData!G702</f>
        <v>555 Main St</v>
      </c>
      <c r="H702" s="7" t="str">
        <f>RawData!H702</f>
        <v>Cash</v>
      </c>
      <c r="I702" s="7" t="str">
        <f>RawData!I702</f>
        <v>Returned</v>
      </c>
      <c r="J702" s="7" t="str">
        <f>RawData!J702</f>
        <v>TRK30198779</v>
      </c>
      <c r="K702" s="7">
        <f>RawData!K702</f>
        <v>3</v>
      </c>
      <c r="L702" s="7" t="str">
        <f>IF(RawData!L702="","No Coupon",RawData!L702)</f>
        <v>WINTER15</v>
      </c>
      <c r="M702" s="7" t="str">
        <f>RawData!M702</f>
        <v>Instagram</v>
      </c>
      <c r="N702" s="7">
        <f>RawData!N702</f>
        <v>185.82</v>
      </c>
    </row>
    <row r="703" spans="1:14" x14ac:dyDescent="0.3">
      <c r="A703" s="7" t="str">
        <f>RawData!A703</f>
        <v>ORD200701</v>
      </c>
      <c r="B703" s="11">
        <f>RawData!B703</f>
        <v>45466</v>
      </c>
      <c r="C703" s="7" t="str">
        <f>RawData!C703</f>
        <v>C75456</v>
      </c>
      <c r="D703" s="7" t="str">
        <f>RawData!D703</f>
        <v>Monitor</v>
      </c>
      <c r="E703" s="7">
        <f>RawData!E703</f>
        <v>3</v>
      </c>
      <c r="F703" s="7">
        <f>RawData!F703</f>
        <v>92.22</v>
      </c>
      <c r="G703" s="7" t="str">
        <f>RawData!G703</f>
        <v>115 Main St</v>
      </c>
      <c r="H703" s="7" t="str">
        <f>RawData!H703</f>
        <v>Credit Card</v>
      </c>
      <c r="I703" s="7" t="str">
        <f>RawData!I703</f>
        <v>Delivered</v>
      </c>
      <c r="J703" s="7" t="str">
        <f>RawData!J703</f>
        <v>TRK90519490</v>
      </c>
      <c r="K703" s="7">
        <f>RawData!K703</f>
        <v>5</v>
      </c>
      <c r="L703" s="7" t="str">
        <f>IF(RawData!L703="","No Coupon",RawData!L703)</f>
        <v>FREESHIP</v>
      </c>
      <c r="M703" s="7" t="str">
        <f>RawData!M703</f>
        <v>Email</v>
      </c>
      <c r="N703" s="7">
        <f>RawData!N703</f>
        <v>276.66000000000003</v>
      </c>
    </row>
    <row r="704" spans="1:14" x14ac:dyDescent="0.3">
      <c r="A704" s="7" t="str">
        <f>RawData!A704</f>
        <v>ORD200702</v>
      </c>
      <c r="B704" s="11">
        <f>RawData!B704</f>
        <v>45452</v>
      </c>
      <c r="C704" s="7" t="str">
        <f>RawData!C704</f>
        <v>C33315</v>
      </c>
      <c r="D704" s="7" t="str">
        <f>RawData!D704</f>
        <v>Printer</v>
      </c>
      <c r="E704" s="7">
        <f>RawData!E704</f>
        <v>3</v>
      </c>
      <c r="F704" s="7">
        <f>RawData!F704</f>
        <v>562.54999999999995</v>
      </c>
      <c r="G704" s="7" t="str">
        <f>RawData!G704</f>
        <v>154 Main St</v>
      </c>
      <c r="H704" s="7" t="str">
        <f>RawData!H704</f>
        <v>Debit Card</v>
      </c>
      <c r="I704" s="7" t="str">
        <f>RawData!I704</f>
        <v>Returned</v>
      </c>
      <c r="J704" s="7" t="str">
        <f>RawData!J704</f>
        <v>TRK43589369</v>
      </c>
      <c r="K704" s="7">
        <f>RawData!K704</f>
        <v>6</v>
      </c>
      <c r="L704" s="7" t="str">
        <f>IF(RawData!L704="","No Coupon",RawData!L704)</f>
        <v>No Coupon</v>
      </c>
      <c r="M704" s="7" t="str">
        <f>RawData!M704</f>
        <v>Email</v>
      </c>
      <c r="N704" s="7">
        <f>RawData!N704</f>
        <v>1687.65</v>
      </c>
    </row>
    <row r="705" spans="1:14" x14ac:dyDescent="0.3">
      <c r="A705" s="7" t="str">
        <f>RawData!A705</f>
        <v>ORD200703</v>
      </c>
      <c r="B705" s="11">
        <f>RawData!B705</f>
        <v>45007</v>
      </c>
      <c r="C705" s="7" t="str">
        <f>RawData!C705</f>
        <v>C89336</v>
      </c>
      <c r="D705" s="7" t="str">
        <f>RawData!D705</f>
        <v>Desk</v>
      </c>
      <c r="E705" s="7">
        <f>RawData!E705</f>
        <v>1</v>
      </c>
      <c r="F705" s="7">
        <f>RawData!F705</f>
        <v>92.79</v>
      </c>
      <c r="G705" s="7" t="str">
        <f>RawData!G705</f>
        <v>799 Main St</v>
      </c>
      <c r="H705" s="7" t="str">
        <f>RawData!H705</f>
        <v>Cash</v>
      </c>
      <c r="I705" s="7" t="str">
        <f>RawData!I705</f>
        <v>Pending</v>
      </c>
      <c r="J705" s="7" t="str">
        <f>RawData!J705</f>
        <v>TRK47665103</v>
      </c>
      <c r="K705" s="7">
        <f>RawData!K705</f>
        <v>3</v>
      </c>
      <c r="L705" s="7" t="str">
        <f>IF(RawData!L705="","No Coupon",RawData!L705)</f>
        <v>WINTER15</v>
      </c>
      <c r="M705" s="7" t="str">
        <f>RawData!M705</f>
        <v>Email</v>
      </c>
      <c r="N705" s="7">
        <f>RawData!N705</f>
        <v>92.79</v>
      </c>
    </row>
    <row r="706" spans="1:14" x14ac:dyDescent="0.3">
      <c r="A706" s="7" t="str">
        <f>RawData!A706</f>
        <v>ORD200704</v>
      </c>
      <c r="B706" s="11">
        <f>RawData!B706</f>
        <v>45080</v>
      </c>
      <c r="C706" s="7" t="str">
        <f>RawData!C706</f>
        <v>C96034</v>
      </c>
      <c r="D706" s="7" t="str">
        <f>RawData!D706</f>
        <v>Desk</v>
      </c>
      <c r="E706" s="7">
        <f>RawData!E706</f>
        <v>4</v>
      </c>
      <c r="F706" s="7">
        <f>RawData!F706</f>
        <v>30.27</v>
      </c>
      <c r="G706" s="7" t="str">
        <f>RawData!G706</f>
        <v>819 Main St</v>
      </c>
      <c r="H706" s="7" t="str">
        <f>RawData!H706</f>
        <v>Online</v>
      </c>
      <c r="I706" s="7" t="str">
        <f>RawData!I706</f>
        <v>Delivered</v>
      </c>
      <c r="J706" s="7" t="str">
        <f>RawData!J706</f>
        <v>TRK87261034</v>
      </c>
      <c r="K706" s="7">
        <f>RawData!K706</f>
        <v>9</v>
      </c>
      <c r="L706" s="7" t="str">
        <f>IF(RawData!L706="","No Coupon",RawData!L706)</f>
        <v>FREESHIP</v>
      </c>
      <c r="M706" s="7" t="str">
        <f>RawData!M706</f>
        <v>Google</v>
      </c>
      <c r="N706" s="7">
        <f>RawData!N706</f>
        <v>121.08</v>
      </c>
    </row>
    <row r="707" spans="1:14" x14ac:dyDescent="0.3">
      <c r="A707" s="7" t="str">
        <f>RawData!A707</f>
        <v>ORD200705</v>
      </c>
      <c r="B707" s="11">
        <f>RawData!B707</f>
        <v>45746</v>
      </c>
      <c r="C707" s="7" t="str">
        <f>RawData!C707</f>
        <v>C50114</v>
      </c>
      <c r="D707" s="7" t="str">
        <f>RawData!D707</f>
        <v>Monitor</v>
      </c>
      <c r="E707" s="7">
        <f>RawData!E707</f>
        <v>2</v>
      </c>
      <c r="F707" s="7">
        <f>RawData!F707</f>
        <v>49.08</v>
      </c>
      <c r="G707" s="7" t="str">
        <f>RawData!G707</f>
        <v>420 Main St</v>
      </c>
      <c r="H707" s="7" t="str">
        <f>RawData!H707</f>
        <v>Debit Card</v>
      </c>
      <c r="I707" s="7" t="str">
        <f>RawData!I707</f>
        <v>Returned</v>
      </c>
      <c r="J707" s="7" t="str">
        <f>RawData!J707</f>
        <v>TRK20214786</v>
      </c>
      <c r="K707" s="7">
        <f>RawData!K707</f>
        <v>7</v>
      </c>
      <c r="L707" s="7" t="str">
        <f>IF(RawData!L707="","No Coupon",RawData!L707)</f>
        <v>FREESHIP</v>
      </c>
      <c r="M707" s="7" t="str">
        <f>RawData!M707</f>
        <v>Instagram</v>
      </c>
      <c r="N707" s="7">
        <f>RawData!N707</f>
        <v>98.16</v>
      </c>
    </row>
    <row r="708" spans="1:14" x14ac:dyDescent="0.3">
      <c r="A708" s="7" t="str">
        <f>RawData!A708</f>
        <v>ORD200706</v>
      </c>
      <c r="B708" s="11">
        <f>RawData!B708</f>
        <v>45718</v>
      </c>
      <c r="C708" s="7" t="str">
        <f>RawData!C708</f>
        <v>C85330</v>
      </c>
      <c r="D708" s="7" t="str">
        <f>RawData!D708</f>
        <v>Desk</v>
      </c>
      <c r="E708" s="7">
        <f>RawData!E708</f>
        <v>5</v>
      </c>
      <c r="F708" s="7">
        <f>RawData!F708</f>
        <v>228.09</v>
      </c>
      <c r="G708" s="7" t="str">
        <f>RawData!G708</f>
        <v>969 Main St</v>
      </c>
      <c r="H708" s="7" t="str">
        <f>RawData!H708</f>
        <v>Gift Card</v>
      </c>
      <c r="I708" s="7" t="str">
        <f>RawData!I708</f>
        <v>Returned</v>
      </c>
      <c r="J708" s="7" t="str">
        <f>RawData!J708</f>
        <v>TRK97693301</v>
      </c>
      <c r="K708" s="7">
        <f>RawData!K708</f>
        <v>9</v>
      </c>
      <c r="L708" s="7" t="str">
        <f>IF(RawData!L708="","No Coupon",RawData!L708)</f>
        <v>FREESHIP</v>
      </c>
      <c r="M708" s="7" t="str">
        <f>RawData!M708</f>
        <v>Facebook</v>
      </c>
      <c r="N708" s="7">
        <f>RawData!N708</f>
        <v>1140.45</v>
      </c>
    </row>
    <row r="709" spans="1:14" x14ac:dyDescent="0.3">
      <c r="A709" s="7" t="str">
        <f>RawData!A709</f>
        <v>ORD200707</v>
      </c>
      <c r="B709" s="11">
        <f>RawData!B709</f>
        <v>45597</v>
      </c>
      <c r="C709" s="7" t="str">
        <f>RawData!C709</f>
        <v>C31761</v>
      </c>
      <c r="D709" s="7" t="str">
        <f>RawData!D709</f>
        <v>Chair</v>
      </c>
      <c r="E709" s="7">
        <f>RawData!E709</f>
        <v>4</v>
      </c>
      <c r="F709" s="7">
        <f>RawData!F709</f>
        <v>650.04</v>
      </c>
      <c r="G709" s="7" t="str">
        <f>RawData!G709</f>
        <v>989 Main St</v>
      </c>
      <c r="H709" s="7" t="str">
        <f>RawData!H709</f>
        <v>Gift Card</v>
      </c>
      <c r="I709" s="7" t="str">
        <f>RawData!I709</f>
        <v>Cancelled</v>
      </c>
      <c r="J709" s="7" t="str">
        <f>RawData!J709</f>
        <v>TRK17628852</v>
      </c>
      <c r="K709" s="7">
        <f>RawData!K709</f>
        <v>6</v>
      </c>
      <c r="L709" s="7" t="str">
        <f>IF(RawData!L709="","No Coupon",RawData!L709)</f>
        <v>SAVE10</v>
      </c>
      <c r="M709" s="7" t="str">
        <f>RawData!M709</f>
        <v>Facebook</v>
      </c>
      <c r="N709" s="7">
        <f>RawData!N709</f>
        <v>2600.16</v>
      </c>
    </row>
    <row r="710" spans="1:14" x14ac:dyDescent="0.3">
      <c r="A710" s="7" t="str">
        <f>RawData!A710</f>
        <v>ORD200708</v>
      </c>
      <c r="B710" s="11">
        <f>RawData!B710</f>
        <v>45720</v>
      </c>
      <c r="C710" s="7" t="str">
        <f>RawData!C710</f>
        <v>C25268</v>
      </c>
      <c r="D710" s="7" t="str">
        <f>RawData!D710</f>
        <v>Printer</v>
      </c>
      <c r="E710" s="7">
        <f>RawData!E710</f>
        <v>1</v>
      </c>
      <c r="F710" s="7">
        <f>RawData!F710</f>
        <v>665.11</v>
      </c>
      <c r="G710" s="7" t="str">
        <f>RawData!G710</f>
        <v>788 Main St</v>
      </c>
      <c r="H710" s="7" t="str">
        <f>RawData!H710</f>
        <v>Cash</v>
      </c>
      <c r="I710" s="7" t="str">
        <f>RawData!I710</f>
        <v>Pending</v>
      </c>
      <c r="J710" s="7" t="str">
        <f>RawData!J710</f>
        <v>TRK20481215</v>
      </c>
      <c r="K710" s="7">
        <f>RawData!K710</f>
        <v>3</v>
      </c>
      <c r="L710" s="7" t="str">
        <f>IF(RawData!L710="","No Coupon",RawData!L710)</f>
        <v>FREESHIP</v>
      </c>
      <c r="M710" s="7" t="str">
        <f>RawData!M710</f>
        <v>Instagram</v>
      </c>
      <c r="N710" s="7">
        <f>RawData!N710</f>
        <v>665.11</v>
      </c>
    </row>
    <row r="711" spans="1:14" x14ac:dyDescent="0.3">
      <c r="A711" s="7" t="str">
        <f>RawData!A711</f>
        <v>ORD200709</v>
      </c>
      <c r="B711" s="11">
        <f>RawData!B711</f>
        <v>45633</v>
      </c>
      <c r="C711" s="7" t="str">
        <f>RawData!C711</f>
        <v>C17132</v>
      </c>
      <c r="D711" s="7" t="str">
        <f>RawData!D711</f>
        <v>Desk</v>
      </c>
      <c r="E711" s="7">
        <f>RawData!E711</f>
        <v>1</v>
      </c>
      <c r="F711" s="7">
        <f>RawData!F711</f>
        <v>386.03</v>
      </c>
      <c r="G711" s="7" t="str">
        <f>RawData!G711</f>
        <v>855 Main St</v>
      </c>
      <c r="H711" s="7" t="str">
        <f>RawData!H711</f>
        <v>Online</v>
      </c>
      <c r="I711" s="7" t="str">
        <f>RawData!I711</f>
        <v>Pending</v>
      </c>
      <c r="J711" s="7" t="str">
        <f>RawData!J711</f>
        <v>TRK37504692</v>
      </c>
      <c r="K711" s="7">
        <f>RawData!K711</f>
        <v>4</v>
      </c>
      <c r="L711" s="7" t="str">
        <f>IF(RawData!L711="","No Coupon",RawData!L711)</f>
        <v>FREESHIP</v>
      </c>
      <c r="M711" s="7" t="str">
        <f>RawData!M711</f>
        <v>Google</v>
      </c>
      <c r="N711" s="7">
        <f>RawData!N711</f>
        <v>386.03</v>
      </c>
    </row>
    <row r="712" spans="1:14" x14ac:dyDescent="0.3">
      <c r="A712" s="7" t="str">
        <f>RawData!A712</f>
        <v>ORD200710</v>
      </c>
      <c r="B712" s="11">
        <f>RawData!B712</f>
        <v>45495</v>
      </c>
      <c r="C712" s="7" t="str">
        <f>RawData!C712</f>
        <v>C48790</v>
      </c>
      <c r="D712" s="7" t="str">
        <f>RawData!D712</f>
        <v>Laptop</v>
      </c>
      <c r="E712" s="7">
        <f>RawData!E712</f>
        <v>5</v>
      </c>
      <c r="F712" s="7">
        <f>RawData!F712</f>
        <v>21.54</v>
      </c>
      <c r="G712" s="7" t="str">
        <f>RawData!G712</f>
        <v>113 Main St</v>
      </c>
      <c r="H712" s="7" t="str">
        <f>RawData!H712</f>
        <v>Gift Card</v>
      </c>
      <c r="I712" s="7" t="str">
        <f>RawData!I712</f>
        <v>Returned</v>
      </c>
      <c r="J712" s="7" t="str">
        <f>RawData!J712</f>
        <v>TRK19086608</v>
      </c>
      <c r="K712" s="7">
        <f>RawData!K712</f>
        <v>10</v>
      </c>
      <c r="L712" s="7" t="str">
        <f>IF(RawData!L712="","No Coupon",RawData!L712)</f>
        <v>No Coupon</v>
      </c>
      <c r="M712" s="7" t="str">
        <f>RawData!M712</f>
        <v>Google</v>
      </c>
      <c r="N712" s="7">
        <f>RawData!N712</f>
        <v>107.7</v>
      </c>
    </row>
    <row r="713" spans="1:14" x14ac:dyDescent="0.3">
      <c r="A713" s="7" t="str">
        <f>RawData!A713</f>
        <v>ORD200711</v>
      </c>
      <c r="B713" s="11">
        <f>RawData!B713</f>
        <v>45477</v>
      </c>
      <c r="C713" s="7" t="str">
        <f>RawData!C713</f>
        <v>C61070</v>
      </c>
      <c r="D713" s="7" t="str">
        <f>RawData!D713</f>
        <v>Tablet</v>
      </c>
      <c r="E713" s="7">
        <f>RawData!E713</f>
        <v>2</v>
      </c>
      <c r="F713" s="7">
        <f>RawData!F713</f>
        <v>475.78</v>
      </c>
      <c r="G713" s="7" t="str">
        <f>RawData!G713</f>
        <v>632 Main St</v>
      </c>
      <c r="H713" s="7" t="str">
        <f>RawData!H713</f>
        <v>Online</v>
      </c>
      <c r="I713" s="7" t="str">
        <f>RawData!I713</f>
        <v>Shipped</v>
      </c>
      <c r="J713" s="7" t="str">
        <f>RawData!J713</f>
        <v>TRK90764894</v>
      </c>
      <c r="K713" s="7">
        <f>RawData!K713</f>
        <v>2</v>
      </c>
      <c r="L713" s="7" t="str">
        <f>IF(RawData!L713="","No Coupon",RawData!L713)</f>
        <v>WINTER15</v>
      </c>
      <c r="M713" s="7" t="str">
        <f>RawData!M713</f>
        <v>Google</v>
      </c>
      <c r="N713" s="7">
        <f>RawData!N713</f>
        <v>951.56</v>
      </c>
    </row>
    <row r="714" spans="1:14" x14ac:dyDescent="0.3">
      <c r="A714" s="7" t="str">
        <f>RawData!A714</f>
        <v>ORD200712</v>
      </c>
      <c r="B714" s="11">
        <f>RawData!B714</f>
        <v>45300</v>
      </c>
      <c r="C714" s="7" t="str">
        <f>RawData!C714</f>
        <v>C56969</v>
      </c>
      <c r="D714" s="7" t="str">
        <f>RawData!D714</f>
        <v>Tablet</v>
      </c>
      <c r="E714" s="7">
        <f>RawData!E714</f>
        <v>2</v>
      </c>
      <c r="F714" s="7">
        <f>RawData!F714</f>
        <v>68.400000000000006</v>
      </c>
      <c r="G714" s="7" t="str">
        <f>RawData!G714</f>
        <v>993 Main St</v>
      </c>
      <c r="H714" s="7" t="str">
        <f>RawData!H714</f>
        <v>Gift Card</v>
      </c>
      <c r="I714" s="7" t="str">
        <f>RawData!I714</f>
        <v>Pending</v>
      </c>
      <c r="J714" s="7" t="str">
        <f>RawData!J714</f>
        <v>TRK10513339</v>
      </c>
      <c r="K714" s="7">
        <f>RawData!K714</f>
        <v>7</v>
      </c>
      <c r="L714" s="7" t="str">
        <f>IF(RawData!L714="","No Coupon",RawData!L714)</f>
        <v>FREESHIP</v>
      </c>
      <c r="M714" s="7" t="str">
        <f>RawData!M714</f>
        <v>Email</v>
      </c>
      <c r="N714" s="7">
        <f>RawData!N714</f>
        <v>136.80000000000001</v>
      </c>
    </row>
    <row r="715" spans="1:14" x14ac:dyDescent="0.3">
      <c r="A715" s="7" t="str">
        <f>RawData!A715</f>
        <v>ORD200713</v>
      </c>
      <c r="B715" s="11">
        <f>RawData!B715</f>
        <v>45829</v>
      </c>
      <c r="C715" s="7" t="str">
        <f>RawData!C715</f>
        <v>C65056</v>
      </c>
      <c r="D715" s="7" t="str">
        <f>RawData!D715</f>
        <v>Tablet</v>
      </c>
      <c r="E715" s="7">
        <f>RawData!E715</f>
        <v>4</v>
      </c>
      <c r="F715" s="7">
        <f>RawData!F715</f>
        <v>532.49</v>
      </c>
      <c r="G715" s="7" t="str">
        <f>RawData!G715</f>
        <v>638 Main St</v>
      </c>
      <c r="H715" s="7" t="str">
        <f>RawData!H715</f>
        <v>Online</v>
      </c>
      <c r="I715" s="7" t="str">
        <f>RawData!I715</f>
        <v>Cancelled</v>
      </c>
      <c r="J715" s="7" t="str">
        <f>RawData!J715</f>
        <v>TRK31705278</v>
      </c>
      <c r="K715" s="7">
        <f>RawData!K715</f>
        <v>6</v>
      </c>
      <c r="L715" s="7" t="str">
        <f>IF(RawData!L715="","No Coupon",RawData!L715)</f>
        <v>SAVE10</v>
      </c>
      <c r="M715" s="7" t="str">
        <f>RawData!M715</f>
        <v>Facebook</v>
      </c>
      <c r="N715" s="7">
        <f>RawData!N715</f>
        <v>2129.96</v>
      </c>
    </row>
    <row r="716" spans="1:14" x14ac:dyDescent="0.3">
      <c r="A716" s="7" t="str">
        <f>RawData!A716</f>
        <v>ORD200714</v>
      </c>
      <c r="B716" s="11">
        <f>RawData!B716</f>
        <v>45037</v>
      </c>
      <c r="C716" s="7" t="str">
        <f>RawData!C716</f>
        <v>C84888</v>
      </c>
      <c r="D716" s="7" t="str">
        <f>RawData!D716</f>
        <v>Laptop</v>
      </c>
      <c r="E716" s="7">
        <f>RawData!E716</f>
        <v>1</v>
      </c>
      <c r="F716" s="7">
        <f>RawData!F716</f>
        <v>51.73</v>
      </c>
      <c r="G716" s="7" t="str">
        <f>RawData!G716</f>
        <v>278 Main St</v>
      </c>
      <c r="H716" s="7" t="str">
        <f>RawData!H716</f>
        <v>Debit Card</v>
      </c>
      <c r="I716" s="7" t="str">
        <f>RawData!I716</f>
        <v>Pending</v>
      </c>
      <c r="J716" s="7" t="str">
        <f>RawData!J716</f>
        <v>TRK23612847</v>
      </c>
      <c r="K716" s="7">
        <f>RawData!K716</f>
        <v>1</v>
      </c>
      <c r="L716" s="7" t="str">
        <f>IF(RawData!L716="","No Coupon",RawData!L716)</f>
        <v>FREESHIP</v>
      </c>
      <c r="M716" s="7" t="str">
        <f>RawData!M716</f>
        <v>Facebook</v>
      </c>
      <c r="N716" s="7">
        <f>RawData!N716</f>
        <v>51.73</v>
      </c>
    </row>
    <row r="717" spans="1:14" x14ac:dyDescent="0.3">
      <c r="A717" s="7" t="str">
        <f>RawData!A717</f>
        <v>ORD200715</v>
      </c>
      <c r="B717" s="11">
        <f>RawData!B717</f>
        <v>45499</v>
      </c>
      <c r="C717" s="7" t="str">
        <f>RawData!C717</f>
        <v>C68266</v>
      </c>
      <c r="D717" s="7" t="str">
        <f>RawData!D717</f>
        <v>Printer</v>
      </c>
      <c r="E717" s="7">
        <f>RawData!E717</f>
        <v>3</v>
      </c>
      <c r="F717" s="7">
        <f>RawData!F717</f>
        <v>653.63</v>
      </c>
      <c r="G717" s="7" t="str">
        <f>RawData!G717</f>
        <v>281 Main St</v>
      </c>
      <c r="H717" s="7" t="str">
        <f>RawData!H717</f>
        <v>Online</v>
      </c>
      <c r="I717" s="7" t="str">
        <f>RawData!I717</f>
        <v>Delivered</v>
      </c>
      <c r="J717" s="7" t="str">
        <f>RawData!J717</f>
        <v>TRK96161062</v>
      </c>
      <c r="K717" s="7">
        <f>RawData!K717</f>
        <v>7</v>
      </c>
      <c r="L717" s="7" t="str">
        <f>IF(RawData!L717="","No Coupon",RawData!L717)</f>
        <v>FREESHIP</v>
      </c>
      <c r="M717" s="7" t="str">
        <f>RawData!M717</f>
        <v>Email</v>
      </c>
      <c r="N717" s="7">
        <f>RawData!N717</f>
        <v>1960.89</v>
      </c>
    </row>
    <row r="718" spans="1:14" x14ac:dyDescent="0.3">
      <c r="A718" s="7" t="str">
        <f>RawData!A718</f>
        <v>ORD200716</v>
      </c>
      <c r="B718" s="11">
        <f>RawData!B718</f>
        <v>45456</v>
      </c>
      <c r="C718" s="7" t="str">
        <f>RawData!C718</f>
        <v>C84115</v>
      </c>
      <c r="D718" s="7" t="str">
        <f>RawData!D718</f>
        <v>Chair</v>
      </c>
      <c r="E718" s="7">
        <f>RawData!E718</f>
        <v>3</v>
      </c>
      <c r="F718" s="7">
        <f>RawData!F718</f>
        <v>454.29</v>
      </c>
      <c r="G718" s="7" t="str">
        <f>RawData!G718</f>
        <v>891 Main St</v>
      </c>
      <c r="H718" s="7" t="str">
        <f>RawData!H718</f>
        <v>Credit Card</v>
      </c>
      <c r="I718" s="7" t="str">
        <f>RawData!I718</f>
        <v>Pending</v>
      </c>
      <c r="J718" s="7" t="str">
        <f>RawData!J718</f>
        <v>TRK25466842</v>
      </c>
      <c r="K718" s="7">
        <f>RawData!K718</f>
        <v>4</v>
      </c>
      <c r="L718" s="7" t="str">
        <f>IF(RawData!L718="","No Coupon",RawData!L718)</f>
        <v>WINTER15</v>
      </c>
      <c r="M718" s="7" t="str">
        <f>RawData!M718</f>
        <v>Google</v>
      </c>
      <c r="N718" s="7">
        <f>RawData!N718</f>
        <v>1362.87</v>
      </c>
    </row>
    <row r="719" spans="1:14" x14ac:dyDescent="0.3">
      <c r="A719" s="7" t="str">
        <f>RawData!A719</f>
        <v>ORD200717</v>
      </c>
      <c r="B719" s="11">
        <f>RawData!B719</f>
        <v>45215</v>
      </c>
      <c r="C719" s="7" t="str">
        <f>RawData!C719</f>
        <v>C50087</v>
      </c>
      <c r="D719" s="7" t="str">
        <f>RawData!D719</f>
        <v>Chair</v>
      </c>
      <c r="E719" s="7">
        <f>RawData!E719</f>
        <v>3</v>
      </c>
      <c r="F719" s="7">
        <f>RawData!F719</f>
        <v>122.11</v>
      </c>
      <c r="G719" s="7" t="str">
        <f>RawData!G719</f>
        <v>707 Main St</v>
      </c>
      <c r="H719" s="7" t="str">
        <f>RawData!H719</f>
        <v>Online</v>
      </c>
      <c r="I719" s="7" t="str">
        <f>RawData!I719</f>
        <v>Delivered</v>
      </c>
      <c r="J719" s="7" t="str">
        <f>RawData!J719</f>
        <v>TRK31143760</v>
      </c>
      <c r="K719" s="7">
        <f>RawData!K719</f>
        <v>4</v>
      </c>
      <c r="L719" s="7" t="str">
        <f>IF(RawData!L719="","No Coupon",RawData!L719)</f>
        <v>WINTER15</v>
      </c>
      <c r="M719" s="7" t="str">
        <f>RawData!M719</f>
        <v>Email</v>
      </c>
      <c r="N719" s="7">
        <f>RawData!N719</f>
        <v>366.33</v>
      </c>
    </row>
    <row r="720" spans="1:14" x14ac:dyDescent="0.3">
      <c r="A720" s="7" t="str">
        <f>RawData!A720</f>
        <v>ORD200718</v>
      </c>
      <c r="B720" s="11">
        <f>RawData!B720</f>
        <v>45024</v>
      </c>
      <c r="C720" s="7" t="str">
        <f>RawData!C720</f>
        <v>C16790</v>
      </c>
      <c r="D720" s="7" t="str">
        <f>RawData!D720</f>
        <v>Laptop</v>
      </c>
      <c r="E720" s="7">
        <f>RawData!E720</f>
        <v>4</v>
      </c>
      <c r="F720" s="7">
        <f>RawData!F720</f>
        <v>64.739999999999995</v>
      </c>
      <c r="G720" s="7" t="str">
        <f>RawData!G720</f>
        <v>718 Main St</v>
      </c>
      <c r="H720" s="7" t="str">
        <f>RawData!H720</f>
        <v>Gift Card</v>
      </c>
      <c r="I720" s="7" t="str">
        <f>RawData!I720</f>
        <v>Cancelled</v>
      </c>
      <c r="J720" s="7" t="str">
        <f>RawData!J720</f>
        <v>TRK91791367</v>
      </c>
      <c r="K720" s="7">
        <f>RawData!K720</f>
        <v>8</v>
      </c>
      <c r="L720" s="7" t="str">
        <f>IF(RawData!L720="","No Coupon",RawData!L720)</f>
        <v>SAVE10</v>
      </c>
      <c r="M720" s="7" t="str">
        <f>RawData!M720</f>
        <v>Google</v>
      </c>
      <c r="N720" s="7">
        <f>RawData!N720</f>
        <v>258.95999999999998</v>
      </c>
    </row>
    <row r="721" spans="1:14" x14ac:dyDescent="0.3">
      <c r="A721" s="7" t="str">
        <f>RawData!A721</f>
        <v>ORD200719</v>
      </c>
      <c r="B721" s="11">
        <f>RawData!B721</f>
        <v>45312</v>
      </c>
      <c r="C721" s="7" t="str">
        <f>RawData!C721</f>
        <v>C46920</v>
      </c>
      <c r="D721" s="7" t="str">
        <f>RawData!D721</f>
        <v>Laptop</v>
      </c>
      <c r="E721" s="7">
        <f>RawData!E721</f>
        <v>2</v>
      </c>
      <c r="F721" s="7">
        <f>RawData!F721</f>
        <v>681.06</v>
      </c>
      <c r="G721" s="7" t="str">
        <f>RawData!G721</f>
        <v>703 Main St</v>
      </c>
      <c r="H721" s="7" t="str">
        <f>RawData!H721</f>
        <v>Debit Card</v>
      </c>
      <c r="I721" s="7" t="str">
        <f>RawData!I721</f>
        <v>Shipped</v>
      </c>
      <c r="J721" s="7" t="str">
        <f>RawData!J721</f>
        <v>TRK86403837</v>
      </c>
      <c r="K721" s="7">
        <f>RawData!K721</f>
        <v>3</v>
      </c>
      <c r="L721" s="7" t="str">
        <f>IF(RawData!L721="","No Coupon",RawData!L721)</f>
        <v>FREESHIP</v>
      </c>
      <c r="M721" s="7" t="str">
        <f>RawData!M721</f>
        <v>Facebook</v>
      </c>
      <c r="N721" s="7">
        <f>RawData!N721</f>
        <v>1362.12</v>
      </c>
    </row>
    <row r="722" spans="1:14" x14ac:dyDescent="0.3">
      <c r="A722" s="7" t="str">
        <f>RawData!A722</f>
        <v>ORD200720</v>
      </c>
      <c r="B722" s="11">
        <f>RawData!B722</f>
        <v>45190</v>
      </c>
      <c r="C722" s="7" t="str">
        <f>RawData!C722</f>
        <v>C12740</v>
      </c>
      <c r="D722" s="7" t="str">
        <f>RawData!D722</f>
        <v>Desk</v>
      </c>
      <c r="E722" s="7">
        <f>RawData!E722</f>
        <v>5</v>
      </c>
      <c r="F722" s="7">
        <f>RawData!F722</f>
        <v>128.94999999999999</v>
      </c>
      <c r="G722" s="7" t="str">
        <f>RawData!G722</f>
        <v>305 Main St</v>
      </c>
      <c r="H722" s="7" t="str">
        <f>RawData!H722</f>
        <v>Cash</v>
      </c>
      <c r="I722" s="7" t="str">
        <f>RawData!I722</f>
        <v>Pending</v>
      </c>
      <c r="J722" s="7" t="str">
        <f>RawData!J722</f>
        <v>TRK98506513</v>
      </c>
      <c r="K722" s="7">
        <f>RawData!K722</f>
        <v>10</v>
      </c>
      <c r="L722" s="7" t="str">
        <f>IF(RawData!L722="","No Coupon",RawData!L722)</f>
        <v>FREESHIP</v>
      </c>
      <c r="M722" s="7" t="str">
        <f>RawData!M722</f>
        <v>Instagram</v>
      </c>
      <c r="N722" s="7">
        <f>RawData!N722</f>
        <v>644.75</v>
      </c>
    </row>
    <row r="723" spans="1:14" x14ac:dyDescent="0.3">
      <c r="A723" s="7" t="str">
        <f>RawData!A723</f>
        <v>ORD200721</v>
      </c>
      <c r="B723" s="11">
        <f>RawData!B723</f>
        <v>45369</v>
      </c>
      <c r="C723" s="7" t="str">
        <f>RawData!C723</f>
        <v>C46557</v>
      </c>
      <c r="D723" s="7" t="str">
        <f>RawData!D723</f>
        <v>Desk</v>
      </c>
      <c r="E723" s="7">
        <f>RawData!E723</f>
        <v>2</v>
      </c>
      <c r="F723" s="7">
        <f>RawData!F723</f>
        <v>118.59</v>
      </c>
      <c r="G723" s="7" t="str">
        <f>RawData!G723</f>
        <v>890 Main St</v>
      </c>
      <c r="H723" s="7" t="str">
        <f>RawData!H723</f>
        <v>Credit Card</v>
      </c>
      <c r="I723" s="7" t="str">
        <f>RawData!I723</f>
        <v>Delivered</v>
      </c>
      <c r="J723" s="7" t="str">
        <f>RawData!J723</f>
        <v>TRK56110689</v>
      </c>
      <c r="K723" s="7">
        <f>RawData!K723</f>
        <v>2</v>
      </c>
      <c r="L723" s="7" t="str">
        <f>IF(RawData!L723="","No Coupon",RawData!L723)</f>
        <v>No Coupon</v>
      </c>
      <c r="M723" s="7" t="str">
        <f>RawData!M723</f>
        <v>Email</v>
      </c>
      <c r="N723" s="7">
        <f>RawData!N723</f>
        <v>237.18</v>
      </c>
    </row>
    <row r="724" spans="1:14" x14ac:dyDescent="0.3">
      <c r="A724" s="7" t="str">
        <f>RawData!A724</f>
        <v>ORD200722</v>
      </c>
      <c r="B724" s="11">
        <f>RawData!B724</f>
        <v>45611</v>
      </c>
      <c r="C724" s="7" t="str">
        <f>RawData!C724</f>
        <v>C58156</v>
      </c>
      <c r="D724" s="7" t="str">
        <f>RawData!D724</f>
        <v>Printer</v>
      </c>
      <c r="E724" s="7">
        <f>RawData!E724</f>
        <v>1</v>
      </c>
      <c r="F724" s="7">
        <f>RawData!F724</f>
        <v>95.1</v>
      </c>
      <c r="G724" s="7" t="str">
        <f>RawData!G724</f>
        <v>516 Main St</v>
      </c>
      <c r="H724" s="7" t="str">
        <f>RawData!H724</f>
        <v>Gift Card</v>
      </c>
      <c r="I724" s="7" t="str">
        <f>RawData!I724</f>
        <v>Pending</v>
      </c>
      <c r="J724" s="7" t="str">
        <f>RawData!J724</f>
        <v>TRK49719458</v>
      </c>
      <c r="K724" s="7">
        <f>RawData!K724</f>
        <v>1</v>
      </c>
      <c r="L724" s="7" t="str">
        <f>IF(RawData!L724="","No Coupon",RawData!L724)</f>
        <v>WINTER15</v>
      </c>
      <c r="M724" s="7" t="str">
        <f>RawData!M724</f>
        <v>Instagram</v>
      </c>
      <c r="N724" s="7">
        <f>RawData!N724</f>
        <v>95.1</v>
      </c>
    </row>
    <row r="725" spans="1:14" x14ac:dyDescent="0.3">
      <c r="A725" s="7" t="str">
        <f>RawData!A725</f>
        <v>ORD200723</v>
      </c>
      <c r="B725" s="11">
        <f>RawData!B725</f>
        <v>45269</v>
      </c>
      <c r="C725" s="7" t="str">
        <f>RawData!C725</f>
        <v>C14455</v>
      </c>
      <c r="D725" s="7" t="str">
        <f>RawData!D725</f>
        <v>Desk</v>
      </c>
      <c r="E725" s="7">
        <f>RawData!E725</f>
        <v>3</v>
      </c>
      <c r="F725" s="7">
        <f>RawData!F725</f>
        <v>54.95</v>
      </c>
      <c r="G725" s="7" t="str">
        <f>RawData!G725</f>
        <v>385 Main St</v>
      </c>
      <c r="H725" s="7" t="str">
        <f>RawData!H725</f>
        <v>Cash</v>
      </c>
      <c r="I725" s="7" t="str">
        <f>RawData!I725</f>
        <v>Returned</v>
      </c>
      <c r="J725" s="7" t="str">
        <f>RawData!J725</f>
        <v>TRK50933724</v>
      </c>
      <c r="K725" s="7">
        <f>RawData!K725</f>
        <v>8</v>
      </c>
      <c r="L725" s="7" t="str">
        <f>IF(RawData!L725="","No Coupon",RawData!L725)</f>
        <v>SAVE10</v>
      </c>
      <c r="M725" s="7" t="str">
        <f>RawData!M725</f>
        <v>Referral</v>
      </c>
      <c r="N725" s="7">
        <f>RawData!N725</f>
        <v>164.85</v>
      </c>
    </row>
    <row r="726" spans="1:14" x14ac:dyDescent="0.3">
      <c r="A726" s="7" t="str">
        <f>RawData!A726</f>
        <v>ORD200724</v>
      </c>
      <c r="B726" s="11">
        <f>RawData!B726</f>
        <v>45583</v>
      </c>
      <c r="C726" s="7" t="str">
        <f>RawData!C726</f>
        <v>C63150</v>
      </c>
      <c r="D726" s="7" t="str">
        <f>RawData!D726</f>
        <v>Printer</v>
      </c>
      <c r="E726" s="7">
        <f>RawData!E726</f>
        <v>3</v>
      </c>
      <c r="F726" s="7">
        <f>RawData!F726</f>
        <v>136.97</v>
      </c>
      <c r="G726" s="7" t="str">
        <f>RawData!G726</f>
        <v>326 Main St</v>
      </c>
      <c r="H726" s="7" t="str">
        <f>RawData!H726</f>
        <v>Credit Card</v>
      </c>
      <c r="I726" s="7" t="str">
        <f>RawData!I726</f>
        <v>Returned</v>
      </c>
      <c r="J726" s="7" t="str">
        <f>RawData!J726</f>
        <v>TRK19348078</v>
      </c>
      <c r="K726" s="7">
        <f>RawData!K726</f>
        <v>4</v>
      </c>
      <c r="L726" s="7" t="str">
        <f>IF(RawData!L726="","No Coupon",RawData!L726)</f>
        <v>FREESHIP</v>
      </c>
      <c r="M726" s="7" t="str">
        <f>RawData!M726</f>
        <v>Referral</v>
      </c>
      <c r="N726" s="7">
        <f>RawData!N726</f>
        <v>410.91</v>
      </c>
    </row>
    <row r="727" spans="1:14" x14ac:dyDescent="0.3">
      <c r="A727" s="7" t="str">
        <f>RawData!A727</f>
        <v>ORD200725</v>
      </c>
      <c r="B727" s="11">
        <f>RawData!B727</f>
        <v>44997</v>
      </c>
      <c r="C727" s="7" t="str">
        <f>RawData!C727</f>
        <v>C95269</v>
      </c>
      <c r="D727" s="7" t="str">
        <f>RawData!D727</f>
        <v>Chair</v>
      </c>
      <c r="E727" s="7">
        <f>RawData!E727</f>
        <v>2</v>
      </c>
      <c r="F727" s="7">
        <f>RawData!F727</f>
        <v>194.85</v>
      </c>
      <c r="G727" s="7" t="str">
        <f>RawData!G727</f>
        <v>372 Main St</v>
      </c>
      <c r="H727" s="7" t="str">
        <f>RawData!H727</f>
        <v>Gift Card</v>
      </c>
      <c r="I727" s="7" t="str">
        <f>RawData!I727</f>
        <v>Returned</v>
      </c>
      <c r="J727" s="7" t="str">
        <f>RawData!J727</f>
        <v>TRK45670926</v>
      </c>
      <c r="K727" s="7">
        <f>RawData!K727</f>
        <v>5</v>
      </c>
      <c r="L727" s="7" t="str">
        <f>IF(RawData!L727="","No Coupon",RawData!L727)</f>
        <v>No Coupon</v>
      </c>
      <c r="M727" s="7" t="str">
        <f>RawData!M727</f>
        <v>Referral</v>
      </c>
      <c r="N727" s="7">
        <f>RawData!N727</f>
        <v>389.7</v>
      </c>
    </row>
    <row r="728" spans="1:14" x14ac:dyDescent="0.3">
      <c r="A728" s="7" t="str">
        <f>RawData!A728</f>
        <v>ORD200726</v>
      </c>
      <c r="B728" s="11">
        <f>RawData!B728</f>
        <v>45590</v>
      </c>
      <c r="C728" s="7" t="str">
        <f>RawData!C728</f>
        <v>C18105</v>
      </c>
      <c r="D728" s="7" t="str">
        <f>RawData!D728</f>
        <v>Laptop</v>
      </c>
      <c r="E728" s="7">
        <f>RawData!E728</f>
        <v>4</v>
      </c>
      <c r="F728" s="7">
        <f>RawData!F728</f>
        <v>583.02</v>
      </c>
      <c r="G728" s="7" t="str">
        <f>RawData!G728</f>
        <v>338 Main St</v>
      </c>
      <c r="H728" s="7" t="str">
        <f>RawData!H728</f>
        <v>Online</v>
      </c>
      <c r="I728" s="7" t="str">
        <f>RawData!I728</f>
        <v>Delivered</v>
      </c>
      <c r="J728" s="7" t="str">
        <f>RawData!J728</f>
        <v>TRK94006117</v>
      </c>
      <c r="K728" s="7">
        <f>RawData!K728</f>
        <v>4</v>
      </c>
      <c r="L728" s="7" t="str">
        <f>IF(RawData!L728="","No Coupon",RawData!L728)</f>
        <v>FREESHIP</v>
      </c>
      <c r="M728" s="7" t="str">
        <f>RawData!M728</f>
        <v>Facebook</v>
      </c>
      <c r="N728" s="7">
        <f>RawData!N728</f>
        <v>2332.08</v>
      </c>
    </row>
    <row r="729" spans="1:14" x14ac:dyDescent="0.3">
      <c r="A729" s="7" t="str">
        <f>RawData!A729</f>
        <v>ORD200727</v>
      </c>
      <c r="B729" s="11">
        <f>RawData!B729</f>
        <v>45564</v>
      </c>
      <c r="C729" s="7" t="str">
        <f>RawData!C729</f>
        <v>C29063</v>
      </c>
      <c r="D729" s="7" t="str">
        <f>RawData!D729</f>
        <v>Chair</v>
      </c>
      <c r="E729" s="7">
        <f>RawData!E729</f>
        <v>5</v>
      </c>
      <c r="F729" s="7">
        <f>RawData!F729</f>
        <v>95.75</v>
      </c>
      <c r="G729" s="7" t="str">
        <f>RawData!G729</f>
        <v>379 Main St</v>
      </c>
      <c r="H729" s="7" t="str">
        <f>RawData!H729</f>
        <v>Online</v>
      </c>
      <c r="I729" s="7" t="str">
        <f>RawData!I729</f>
        <v>Shipped</v>
      </c>
      <c r="J729" s="7" t="str">
        <f>RawData!J729</f>
        <v>TRK92745947</v>
      </c>
      <c r="K729" s="7">
        <f>RawData!K729</f>
        <v>8</v>
      </c>
      <c r="L729" s="7" t="str">
        <f>IF(RawData!L729="","No Coupon",RawData!L729)</f>
        <v>SAVE10</v>
      </c>
      <c r="M729" s="7" t="str">
        <f>RawData!M729</f>
        <v>Instagram</v>
      </c>
      <c r="N729" s="7">
        <f>RawData!N729</f>
        <v>478.75</v>
      </c>
    </row>
    <row r="730" spans="1:14" x14ac:dyDescent="0.3">
      <c r="A730" s="7" t="str">
        <f>RawData!A730</f>
        <v>ORD200728</v>
      </c>
      <c r="B730" s="11">
        <f>RawData!B730</f>
        <v>45502</v>
      </c>
      <c r="C730" s="7" t="str">
        <f>RawData!C730</f>
        <v>C10154</v>
      </c>
      <c r="D730" s="7" t="str">
        <f>RawData!D730</f>
        <v>Desk</v>
      </c>
      <c r="E730" s="7">
        <f>RawData!E730</f>
        <v>4</v>
      </c>
      <c r="F730" s="7">
        <f>RawData!F730</f>
        <v>325.76</v>
      </c>
      <c r="G730" s="7" t="str">
        <f>RawData!G730</f>
        <v>827 Main St</v>
      </c>
      <c r="H730" s="7" t="str">
        <f>RawData!H730</f>
        <v>Gift Card</v>
      </c>
      <c r="I730" s="7" t="str">
        <f>RawData!I730</f>
        <v>Shipped</v>
      </c>
      <c r="J730" s="7" t="str">
        <f>RawData!J730</f>
        <v>TRK79793300</v>
      </c>
      <c r="K730" s="7">
        <f>RawData!K730</f>
        <v>8</v>
      </c>
      <c r="L730" s="7" t="str">
        <f>IF(RawData!L730="","No Coupon",RawData!L730)</f>
        <v>WINTER15</v>
      </c>
      <c r="M730" s="7" t="str">
        <f>RawData!M730</f>
        <v>Email</v>
      </c>
      <c r="N730" s="7">
        <f>RawData!N730</f>
        <v>1303.04</v>
      </c>
    </row>
    <row r="731" spans="1:14" x14ac:dyDescent="0.3">
      <c r="A731" s="7" t="str">
        <f>RawData!A731</f>
        <v>ORD200729</v>
      </c>
      <c r="B731" s="11">
        <f>RawData!B731</f>
        <v>45177</v>
      </c>
      <c r="C731" s="7" t="str">
        <f>RawData!C731</f>
        <v>C36997</v>
      </c>
      <c r="D731" s="7" t="str">
        <f>RawData!D731</f>
        <v>Phone</v>
      </c>
      <c r="E731" s="7">
        <f>RawData!E731</f>
        <v>4</v>
      </c>
      <c r="F731" s="7">
        <f>RawData!F731</f>
        <v>186.41</v>
      </c>
      <c r="G731" s="7" t="str">
        <f>RawData!G731</f>
        <v>819 Main St</v>
      </c>
      <c r="H731" s="7" t="str">
        <f>RawData!H731</f>
        <v>Gift Card</v>
      </c>
      <c r="I731" s="7" t="str">
        <f>RawData!I731</f>
        <v>Pending</v>
      </c>
      <c r="J731" s="7" t="str">
        <f>RawData!J731</f>
        <v>TRK92794872</v>
      </c>
      <c r="K731" s="7">
        <f>RawData!K731</f>
        <v>6</v>
      </c>
      <c r="L731" s="7" t="str">
        <f>IF(RawData!L731="","No Coupon",RawData!L731)</f>
        <v>SAVE10</v>
      </c>
      <c r="M731" s="7" t="str">
        <f>RawData!M731</f>
        <v>Google</v>
      </c>
      <c r="N731" s="7">
        <f>RawData!N731</f>
        <v>745.64</v>
      </c>
    </row>
    <row r="732" spans="1:14" x14ac:dyDescent="0.3">
      <c r="A732" s="7" t="str">
        <f>RawData!A732</f>
        <v>ORD200730</v>
      </c>
      <c r="B732" s="11">
        <f>RawData!B732</f>
        <v>45710</v>
      </c>
      <c r="C732" s="7" t="str">
        <f>RawData!C732</f>
        <v>C77357</v>
      </c>
      <c r="D732" s="7" t="str">
        <f>RawData!D732</f>
        <v>Phone</v>
      </c>
      <c r="E732" s="7">
        <f>RawData!E732</f>
        <v>1</v>
      </c>
      <c r="F732" s="7">
        <f>RawData!F732</f>
        <v>474.6</v>
      </c>
      <c r="G732" s="7" t="str">
        <f>RawData!G732</f>
        <v>407 Main St</v>
      </c>
      <c r="H732" s="7" t="str">
        <f>RawData!H732</f>
        <v>Debit Card</v>
      </c>
      <c r="I732" s="7" t="str">
        <f>RawData!I732</f>
        <v>Delivered</v>
      </c>
      <c r="J732" s="7" t="str">
        <f>RawData!J732</f>
        <v>TRK91943923</v>
      </c>
      <c r="K732" s="7">
        <f>RawData!K732</f>
        <v>4</v>
      </c>
      <c r="L732" s="7" t="str">
        <f>IF(RawData!L732="","No Coupon",RawData!L732)</f>
        <v>SAVE10</v>
      </c>
      <c r="M732" s="7" t="str">
        <f>RawData!M732</f>
        <v>Email</v>
      </c>
      <c r="N732" s="7">
        <f>RawData!N732</f>
        <v>474.6</v>
      </c>
    </row>
    <row r="733" spans="1:14" x14ac:dyDescent="0.3">
      <c r="A733" s="7" t="str">
        <f>RawData!A733</f>
        <v>ORD200731</v>
      </c>
      <c r="B733" s="11">
        <f>RawData!B733</f>
        <v>45450</v>
      </c>
      <c r="C733" s="7" t="str">
        <f>RawData!C733</f>
        <v>C71310</v>
      </c>
      <c r="D733" s="7" t="str">
        <f>RawData!D733</f>
        <v>Printer</v>
      </c>
      <c r="E733" s="7">
        <f>RawData!E733</f>
        <v>5</v>
      </c>
      <c r="F733" s="7">
        <f>RawData!F733</f>
        <v>584.46</v>
      </c>
      <c r="G733" s="7" t="str">
        <f>RawData!G733</f>
        <v>308 Main St</v>
      </c>
      <c r="H733" s="7" t="str">
        <f>RawData!H733</f>
        <v>Credit Card</v>
      </c>
      <c r="I733" s="7" t="str">
        <f>RawData!I733</f>
        <v>Returned</v>
      </c>
      <c r="J733" s="7" t="str">
        <f>RawData!J733</f>
        <v>TRK48292586</v>
      </c>
      <c r="K733" s="7">
        <f>RawData!K733</f>
        <v>8</v>
      </c>
      <c r="L733" s="7" t="str">
        <f>IF(RawData!L733="","No Coupon",RawData!L733)</f>
        <v>No Coupon</v>
      </c>
      <c r="M733" s="7" t="str">
        <f>RawData!M733</f>
        <v>Email</v>
      </c>
      <c r="N733" s="7">
        <f>RawData!N733</f>
        <v>2922.3</v>
      </c>
    </row>
    <row r="734" spans="1:14" x14ac:dyDescent="0.3">
      <c r="A734" s="7" t="str">
        <f>RawData!A734</f>
        <v>ORD200732</v>
      </c>
      <c r="B734" s="11">
        <f>RawData!B734</f>
        <v>45723</v>
      </c>
      <c r="C734" s="7" t="str">
        <f>RawData!C734</f>
        <v>C80987</v>
      </c>
      <c r="D734" s="7" t="str">
        <f>RawData!D734</f>
        <v>Laptop</v>
      </c>
      <c r="E734" s="7">
        <f>RawData!E734</f>
        <v>1</v>
      </c>
      <c r="F734" s="7">
        <f>RawData!F734</f>
        <v>132.05000000000001</v>
      </c>
      <c r="G734" s="7" t="str">
        <f>RawData!G734</f>
        <v>787 Main St</v>
      </c>
      <c r="H734" s="7" t="str">
        <f>RawData!H734</f>
        <v>Online</v>
      </c>
      <c r="I734" s="7" t="str">
        <f>RawData!I734</f>
        <v>Delivered</v>
      </c>
      <c r="J734" s="7" t="str">
        <f>RawData!J734</f>
        <v>TRK42187776</v>
      </c>
      <c r="K734" s="7">
        <f>RawData!K734</f>
        <v>2</v>
      </c>
      <c r="L734" s="7" t="str">
        <f>IF(RawData!L734="","No Coupon",RawData!L734)</f>
        <v>No Coupon</v>
      </c>
      <c r="M734" s="7" t="str">
        <f>RawData!M734</f>
        <v>Google</v>
      </c>
      <c r="N734" s="7">
        <f>RawData!N734</f>
        <v>132.05000000000001</v>
      </c>
    </row>
    <row r="735" spans="1:14" x14ac:dyDescent="0.3">
      <c r="A735" s="7" t="str">
        <f>RawData!A735</f>
        <v>ORD200733</v>
      </c>
      <c r="B735" s="11">
        <f>RawData!B735</f>
        <v>45264</v>
      </c>
      <c r="C735" s="7" t="str">
        <f>RawData!C735</f>
        <v>C90757</v>
      </c>
      <c r="D735" s="7" t="str">
        <f>RawData!D735</f>
        <v>Tablet</v>
      </c>
      <c r="E735" s="7">
        <f>RawData!E735</f>
        <v>4</v>
      </c>
      <c r="F735" s="7">
        <f>RawData!F735</f>
        <v>494.84</v>
      </c>
      <c r="G735" s="7" t="str">
        <f>RawData!G735</f>
        <v>694 Main St</v>
      </c>
      <c r="H735" s="7" t="str">
        <f>RawData!H735</f>
        <v>Cash</v>
      </c>
      <c r="I735" s="7" t="str">
        <f>RawData!I735</f>
        <v>Returned</v>
      </c>
      <c r="J735" s="7" t="str">
        <f>RawData!J735</f>
        <v>TRK87991608</v>
      </c>
      <c r="K735" s="7">
        <f>RawData!K735</f>
        <v>8</v>
      </c>
      <c r="L735" s="7" t="str">
        <f>IF(RawData!L735="","No Coupon",RawData!L735)</f>
        <v>SAVE10</v>
      </c>
      <c r="M735" s="7" t="str">
        <f>RawData!M735</f>
        <v>Email</v>
      </c>
      <c r="N735" s="7">
        <f>RawData!N735</f>
        <v>1979.36</v>
      </c>
    </row>
    <row r="736" spans="1:14" x14ac:dyDescent="0.3">
      <c r="A736" s="7" t="str">
        <f>RawData!A736</f>
        <v>ORD200734</v>
      </c>
      <c r="B736" s="11">
        <f>RawData!B736</f>
        <v>45314</v>
      </c>
      <c r="C736" s="7" t="str">
        <f>RawData!C736</f>
        <v>C51898</v>
      </c>
      <c r="D736" s="7" t="str">
        <f>RawData!D736</f>
        <v>Printer</v>
      </c>
      <c r="E736" s="7">
        <f>RawData!E736</f>
        <v>4</v>
      </c>
      <c r="F736" s="7">
        <f>RawData!F736</f>
        <v>224.61</v>
      </c>
      <c r="G736" s="7" t="str">
        <f>RawData!G736</f>
        <v>630 Main St</v>
      </c>
      <c r="H736" s="7" t="str">
        <f>RawData!H736</f>
        <v>Credit Card</v>
      </c>
      <c r="I736" s="7" t="str">
        <f>RawData!I736</f>
        <v>Returned</v>
      </c>
      <c r="J736" s="7" t="str">
        <f>RawData!J736</f>
        <v>TRK19767885</v>
      </c>
      <c r="K736" s="7">
        <f>RawData!K736</f>
        <v>6</v>
      </c>
      <c r="L736" s="7" t="str">
        <f>IF(RawData!L736="","No Coupon",RawData!L736)</f>
        <v>WINTER15</v>
      </c>
      <c r="M736" s="7" t="str">
        <f>RawData!M736</f>
        <v>Facebook</v>
      </c>
      <c r="N736" s="7">
        <f>RawData!N736</f>
        <v>898.44</v>
      </c>
    </row>
    <row r="737" spans="1:14" x14ac:dyDescent="0.3">
      <c r="A737" s="7" t="str">
        <f>RawData!A737</f>
        <v>ORD200735</v>
      </c>
      <c r="B737" s="11">
        <f>RawData!B737</f>
        <v>45471</v>
      </c>
      <c r="C737" s="7" t="str">
        <f>RawData!C737</f>
        <v>C94508</v>
      </c>
      <c r="D737" s="7" t="str">
        <f>RawData!D737</f>
        <v>Monitor</v>
      </c>
      <c r="E737" s="7">
        <f>RawData!E737</f>
        <v>4</v>
      </c>
      <c r="F737" s="7">
        <f>RawData!F737</f>
        <v>44.07</v>
      </c>
      <c r="G737" s="7" t="str">
        <f>RawData!G737</f>
        <v>359 Main St</v>
      </c>
      <c r="H737" s="7" t="str">
        <f>RawData!H737</f>
        <v>Debit Card</v>
      </c>
      <c r="I737" s="7" t="str">
        <f>RawData!I737</f>
        <v>Pending</v>
      </c>
      <c r="J737" s="7" t="str">
        <f>RawData!J737</f>
        <v>TRK13443264</v>
      </c>
      <c r="K737" s="7">
        <f>RawData!K737</f>
        <v>6</v>
      </c>
      <c r="L737" s="7" t="str">
        <f>IF(RawData!L737="","No Coupon",RawData!L737)</f>
        <v>No Coupon</v>
      </c>
      <c r="M737" s="7" t="str">
        <f>RawData!M737</f>
        <v>Email</v>
      </c>
      <c r="N737" s="7">
        <f>RawData!N737</f>
        <v>176.28</v>
      </c>
    </row>
    <row r="738" spans="1:14" x14ac:dyDescent="0.3">
      <c r="A738" s="7" t="str">
        <f>RawData!A738</f>
        <v>ORD200736</v>
      </c>
      <c r="B738" s="11">
        <f>RawData!B738</f>
        <v>45331</v>
      </c>
      <c r="C738" s="7" t="str">
        <f>RawData!C738</f>
        <v>C59441</v>
      </c>
      <c r="D738" s="7" t="str">
        <f>RawData!D738</f>
        <v>Monitor</v>
      </c>
      <c r="E738" s="7">
        <f>RawData!E738</f>
        <v>5</v>
      </c>
      <c r="F738" s="7">
        <f>RawData!F738</f>
        <v>418.53</v>
      </c>
      <c r="G738" s="7" t="str">
        <f>RawData!G738</f>
        <v>696 Main St</v>
      </c>
      <c r="H738" s="7" t="str">
        <f>RawData!H738</f>
        <v>Credit Card</v>
      </c>
      <c r="I738" s="7" t="str">
        <f>RawData!I738</f>
        <v>Pending</v>
      </c>
      <c r="J738" s="7" t="str">
        <f>RawData!J738</f>
        <v>TRK66186874</v>
      </c>
      <c r="K738" s="7">
        <f>RawData!K738</f>
        <v>6</v>
      </c>
      <c r="L738" s="7" t="str">
        <f>IF(RawData!L738="","No Coupon",RawData!L738)</f>
        <v>FREESHIP</v>
      </c>
      <c r="M738" s="7" t="str">
        <f>RawData!M738</f>
        <v>Google</v>
      </c>
      <c r="N738" s="7">
        <f>RawData!N738</f>
        <v>2092.65</v>
      </c>
    </row>
    <row r="739" spans="1:14" x14ac:dyDescent="0.3">
      <c r="A739" s="7" t="str">
        <f>RawData!A739</f>
        <v>ORD200737</v>
      </c>
      <c r="B739" s="11">
        <f>RawData!B739</f>
        <v>45294</v>
      </c>
      <c r="C739" s="7" t="str">
        <f>RawData!C739</f>
        <v>C91029</v>
      </c>
      <c r="D739" s="7" t="str">
        <f>RawData!D739</f>
        <v>Phone</v>
      </c>
      <c r="E739" s="7">
        <f>RawData!E739</f>
        <v>4</v>
      </c>
      <c r="F739" s="7">
        <f>RawData!F739</f>
        <v>532.87</v>
      </c>
      <c r="G739" s="7" t="str">
        <f>RawData!G739</f>
        <v>972 Main St</v>
      </c>
      <c r="H739" s="7" t="str">
        <f>RawData!H739</f>
        <v>Cash</v>
      </c>
      <c r="I739" s="7" t="str">
        <f>RawData!I739</f>
        <v>Pending</v>
      </c>
      <c r="J739" s="7" t="str">
        <f>RawData!J739</f>
        <v>TRK25501930</v>
      </c>
      <c r="K739" s="7">
        <f>RawData!K739</f>
        <v>9</v>
      </c>
      <c r="L739" s="7" t="str">
        <f>IF(RawData!L739="","No Coupon",RawData!L739)</f>
        <v>FREESHIP</v>
      </c>
      <c r="M739" s="7" t="str">
        <f>RawData!M739</f>
        <v>Instagram</v>
      </c>
      <c r="N739" s="7">
        <f>RawData!N739</f>
        <v>2131.48</v>
      </c>
    </row>
    <row r="740" spans="1:14" x14ac:dyDescent="0.3">
      <c r="A740" s="7" t="str">
        <f>RawData!A740</f>
        <v>ORD200738</v>
      </c>
      <c r="B740" s="11">
        <f>RawData!B740</f>
        <v>45812</v>
      </c>
      <c r="C740" s="7" t="str">
        <f>RawData!C740</f>
        <v>C96261</v>
      </c>
      <c r="D740" s="7" t="str">
        <f>RawData!D740</f>
        <v>Phone</v>
      </c>
      <c r="E740" s="7">
        <f>RawData!E740</f>
        <v>2</v>
      </c>
      <c r="F740" s="7">
        <f>RawData!F740</f>
        <v>485.37</v>
      </c>
      <c r="G740" s="7" t="str">
        <f>RawData!G740</f>
        <v>264 Main St</v>
      </c>
      <c r="H740" s="7" t="str">
        <f>RawData!H740</f>
        <v>Credit Card</v>
      </c>
      <c r="I740" s="7" t="str">
        <f>RawData!I740</f>
        <v>Shipped</v>
      </c>
      <c r="J740" s="7" t="str">
        <f>RawData!J740</f>
        <v>TRK44998396</v>
      </c>
      <c r="K740" s="7">
        <f>RawData!K740</f>
        <v>5</v>
      </c>
      <c r="L740" s="7" t="str">
        <f>IF(RawData!L740="","No Coupon",RawData!L740)</f>
        <v>SAVE10</v>
      </c>
      <c r="M740" s="7" t="str">
        <f>RawData!M740</f>
        <v>Email</v>
      </c>
      <c r="N740" s="7">
        <f>RawData!N740</f>
        <v>970.74</v>
      </c>
    </row>
    <row r="741" spans="1:14" x14ac:dyDescent="0.3">
      <c r="A741" s="7" t="str">
        <f>RawData!A741</f>
        <v>ORD200739</v>
      </c>
      <c r="B741" s="11">
        <f>RawData!B741</f>
        <v>45456</v>
      </c>
      <c r="C741" s="7" t="str">
        <f>RawData!C741</f>
        <v>C35123</v>
      </c>
      <c r="D741" s="7" t="str">
        <f>RawData!D741</f>
        <v>Phone</v>
      </c>
      <c r="E741" s="7">
        <f>RawData!E741</f>
        <v>4</v>
      </c>
      <c r="F741" s="7">
        <f>RawData!F741</f>
        <v>386.73</v>
      </c>
      <c r="G741" s="7" t="str">
        <f>RawData!G741</f>
        <v>513 Main St</v>
      </c>
      <c r="H741" s="7" t="str">
        <f>RawData!H741</f>
        <v>Cash</v>
      </c>
      <c r="I741" s="7" t="str">
        <f>RawData!I741</f>
        <v>Delivered</v>
      </c>
      <c r="J741" s="7" t="str">
        <f>RawData!J741</f>
        <v>TRK58979275</v>
      </c>
      <c r="K741" s="7">
        <f>RawData!K741</f>
        <v>4</v>
      </c>
      <c r="L741" s="7" t="str">
        <f>IF(RawData!L741="","No Coupon",RawData!L741)</f>
        <v>SAVE10</v>
      </c>
      <c r="M741" s="7" t="str">
        <f>RawData!M741</f>
        <v>Facebook</v>
      </c>
      <c r="N741" s="7">
        <f>RawData!N741</f>
        <v>1546.92</v>
      </c>
    </row>
    <row r="742" spans="1:14" x14ac:dyDescent="0.3">
      <c r="A742" s="7" t="str">
        <f>RawData!A742</f>
        <v>ORD200740</v>
      </c>
      <c r="B742" s="11">
        <f>RawData!B742</f>
        <v>45493</v>
      </c>
      <c r="C742" s="7" t="str">
        <f>RawData!C742</f>
        <v>C10892</v>
      </c>
      <c r="D742" s="7" t="str">
        <f>RawData!D742</f>
        <v>Desk</v>
      </c>
      <c r="E742" s="7">
        <f>RawData!E742</f>
        <v>2</v>
      </c>
      <c r="F742" s="7">
        <f>RawData!F742</f>
        <v>377.47</v>
      </c>
      <c r="G742" s="7" t="str">
        <f>RawData!G742</f>
        <v>433 Main St</v>
      </c>
      <c r="H742" s="7" t="str">
        <f>RawData!H742</f>
        <v>Cash</v>
      </c>
      <c r="I742" s="7" t="str">
        <f>RawData!I742</f>
        <v>Pending</v>
      </c>
      <c r="J742" s="7" t="str">
        <f>RawData!J742</f>
        <v>TRK76154554</v>
      </c>
      <c r="K742" s="7">
        <f>RawData!K742</f>
        <v>7</v>
      </c>
      <c r="L742" s="7" t="str">
        <f>IF(RawData!L742="","No Coupon",RawData!L742)</f>
        <v>No Coupon</v>
      </c>
      <c r="M742" s="7" t="str">
        <f>RawData!M742</f>
        <v>Google</v>
      </c>
      <c r="N742" s="7">
        <f>RawData!N742</f>
        <v>754.94</v>
      </c>
    </row>
    <row r="743" spans="1:14" x14ac:dyDescent="0.3">
      <c r="A743" s="7" t="str">
        <f>RawData!A743</f>
        <v>ORD200741</v>
      </c>
      <c r="B743" s="11">
        <f>RawData!B743</f>
        <v>45680</v>
      </c>
      <c r="C743" s="7" t="str">
        <f>RawData!C743</f>
        <v>C99683</v>
      </c>
      <c r="D743" s="7" t="str">
        <f>RawData!D743</f>
        <v>Monitor</v>
      </c>
      <c r="E743" s="7">
        <f>RawData!E743</f>
        <v>5</v>
      </c>
      <c r="F743" s="7">
        <f>RawData!F743</f>
        <v>332.64</v>
      </c>
      <c r="G743" s="7" t="str">
        <f>RawData!G743</f>
        <v>945 Main St</v>
      </c>
      <c r="H743" s="7" t="str">
        <f>RawData!H743</f>
        <v>Gift Card</v>
      </c>
      <c r="I743" s="7" t="str">
        <f>RawData!I743</f>
        <v>Delivered</v>
      </c>
      <c r="J743" s="7" t="str">
        <f>RawData!J743</f>
        <v>TRK87305883</v>
      </c>
      <c r="K743" s="7">
        <f>RawData!K743</f>
        <v>10</v>
      </c>
      <c r="L743" s="7" t="str">
        <f>IF(RawData!L743="","No Coupon",RawData!L743)</f>
        <v>No Coupon</v>
      </c>
      <c r="M743" s="7" t="str">
        <f>RawData!M743</f>
        <v>Referral</v>
      </c>
      <c r="N743" s="7">
        <f>RawData!N743</f>
        <v>1663.2</v>
      </c>
    </row>
    <row r="744" spans="1:14" x14ac:dyDescent="0.3">
      <c r="A744" s="7" t="str">
        <f>RawData!A744</f>
        <v>ORD200742</v>
      </c>
      <c r="B744" s="11">
        <f>RawData!B744</f>
        <v>45626</v>
      </c>
      <c r="C744" s="7" t="str">
        <f>RawData!C744</f>
        <v>C41974</v>
      </c>
      <c r="D744" s="7" t="str">
        <f>RawData!D744</f>
        <v>Laptop</v>
      </c>
      <c r="E744" s="7">
        <f>RawData!E744</f>
        <v>3</v>
      </c>
      <c r="F744" s="7">
        <f>RawData!F744</f>
        <v>699.93</v>
      </c>
      <c r="G744" s="7" t="str">
        <f>RawData!G744</f>
        <v>726 Main St</v>
      </c>
      <c r="H744" s="7" t="str">
        <f>RawData!H744</f>
        <v>Cash</v>
      </c>
      <c r="I744" s="7" t="str">
        <f>RawData!I744</f>
        <v>Returned</v>
      </c>
      <c r="J744" s="7" t="str">
        <f>RawData!J744</f>
        <v>TRK48051468</v>
      </c>
      <c r="K744" s="7">
        <f>RawData!K744</f>
        <v>7</v>
      </c>
      <c r="L744" s="7" t="str">
        <f>IF(RawData!L744="","No Coupon",RawData!L744)</f>
        <v>SAVE10</v>
      </c>
      <c r="M744" s="7" t="str">
        <f>RawData!M744</f>
        <v>Google</v>
      </c>
      <c r="N744" s="7">
        <f>RawData!N744</f>
        <v>2099.79</v>
      </c>
    </row>
    <row r="745" spans="1:14" x14ac:dyDescent="0.3">
      <c r="A745" s="7" t="str">
        <f>RawData!A745</f>
        <v>ORD200743</v>
      </c>
      <c r="B745" s="11">
        <f>RawData!B745</f>
        <v>45565</v>
      </c>
      <c r="C745" s="7" t="str">
        <f>RawData!C745</f>
        <v>C23978</v>
      </c>
      <c r="D745" s="7" t="str">
        <f>RawData!D745</f>
        <v>Monitor</v>
      </c>
      <c r="E745" s="7">
        <f>RawData!E745</f>
        <v>1</v>
      </c>
      <c r="F745" s="7">
        <f>RawData!F745</f>
        <v>576.35</v>
      </c>
      <c r="G745" s="7" t="str">
        <f>RawData!G745</f>
        <v>549 Main St</v>
      </c>
      <c r="H745" s="7" t="str">
        <f>RawData!H745</f>
        <v>Gift Card</v>
      </c>
      <c r="I745" s="7" t="str">
        <f>RawData!I745</f>
        <v>Returned</v>
      </c>
      <c r="J745" s="7" t="str">
        <f>RawData!J745</f>
        <v>TRK87090813</v>
      </c>
      <c r="K745" s="7">
        <f>RawData!K745</f>
        <v>1</v>
      </c>
      <c r="L745" s="7" t="str">
        <f>IF(RawData!L745="","No Coupon",RawData!L745)</f>
        <v>WINTER15</v>
      </c>
      <c r="M745" s="7" t="str">
        <f>RawData!M745</f>
        <v>Instagram</v>
      </c>
      <c r="N745" s="7">
        <f>RawData!N745</f>
        <v>576.35</v>
      </c>
    </row>
    <row r="746" spans="1:14" x14ac:dyDescent="0.3">
      <c r="A746" s="7" t="str">
        <f>RawData!A746</f>
        <v>ORD200744</v>
      </c>
      <c r="B746" s="11">
        <f>RawData!B746</f>
        <v>45455</v>
      </c>
      <c r="C746" s="7" t="str">
        <f>RawData!C746</f>
        <v>C10642</v>
      </c>
      <c r="D746" s="7" t="str">
        <f>RawData!D746</f>
        <v>Tablet</v>
      </c>
      <c r="E746" s="7">
        <f>RawData!E746</f>
        <v>2</v>
      </c>
      <c r="F746" s="7">
        <f>RawData!F746</f>
        <v>461.37</v>
      </c>
      <c r="G746" s="7" t="str">
        <f>RawData!G746</f>
        <v>200 Main St</v>
      </c>
      <c r="H746" s="7" t="str">
        <f>RawData!H746</f>
        <v>Cash</v>
      </c>
      <c r="I746" s="7" t="str">
        <f>RawData!I746</f>
        <v>Delivered</v>
      </c>
      <c r="J746" s="7" t="str">
        <f>RawData!J746</f>
        <v>TRK98725693</v>
      </c>
      <c r="K746" s="7">
        <f>RawData!K746</f>
        <v>5</v>
      </c>
      <c r="L746" s="7" t="str">
        <f>IF(RawData!L746="","No Coupon",RawData!L746)</f>
        <v>SAVE10</v>
      </c>
      <c r="M746" s="7" t="str">
        <f>RawData!M746</f>
        <v>Google</v>
      </c>
      <c r="N746" s="7">
        <f>RawData!N746</f>
        <v>922.74</v>
      </c>
    </row>
    <row r="747" spans="1:14" x14ac:dyDescent="0.3">
      <c r="A747" s="7" t="str">
        <f>RawData!A747</f>
        <v>ORD200745</v>
      </c>
      <c r="B747" s="11">
        <f>RawData!B747</f>
        <v>44987</v>
      </c>
      <c r="C747" s="7" t="str">
        <f>RawData!C747</f>
        <v>C73813</v>
      </c>
      <c r="D747" s="7" t="str">
        <f>RawData!D747</f>
        <v>Printer</v>
      </c>
      <c r="E747" s="7">
        <f>RawData!E747</f>
        <v>4</v>
      </c>
      <c r="F747" s="7">
        <f>RawData!F747</f>
        <v>111.3</v>
      </c>
      <c r="G747" s="7" t="str">
        <f>RawData!G747</f>
        <v>364 Main St</v>
      </c>
      <c r="H747" s="7" t="str">
        <f>RawData!H747</f>
        <v>Debit Card</v>
      </c>
      <c r="I747" s="7" t="str">
        <f>RawData!I747</f>
        <v>Pending</v>
      </c>
      <c r="J747" s="7" t="str">
        <f>RawData!J747</f>
        <v>TRK89906749</v>
      </c>
      <c r="K747" s="7">
        <f>RawData!K747</f>
        <v>7</v>
      </c>
      <c r="L747" s="7" t="str">
        <f>IF(RawData!L747="","No Coupon",RawData!L747)</f>
        <v>FREESHIP</v>
      </c>
      <c r="M747" s="7" t="str">
        <f>RawData!M747</f>
        <v>Email</v>
      </c>
      <c r="N747" s="7">
        <f>RawData!N747</f>
        <v>445.2</v>
      </c>
    </row>
    <row r="748" spans="1:14" x14ac:dyDescent="0.3">
      <c r="A748" s="7" t="str">
        <f>RawData!A748</f>
        <v>ORD200746</v>
      </c>
      <c r="B748" s="11">
        <f>RawData!B748</f>
        <v>45712</v>
      </c>
      <c r="C748" s="7" t="str">
        <f>RawData!C748</f>
        <v>C32183</v>
      </c>
      <c r="D748" s="7" t="str">
        <f>RawData!D748</f>
        <v>Desk</v>
      </c>
      <c r="E748" s="7">
        <f>RawData!E748</f>
        <v>3</v>
      </c>
      <c r="F748" s="7">
        <f>RawData!F748</f>
        <v>661.89</v>
      </c>
      <c r="G748" s="7" t="str">
        <f>RawData!G748</f>
        <v>551 Main St</v>
      </c>
      <c r="H748" s="7" t="str">
        <f>RawData!H748</f>
        <v>Online</v>
      </c>
      <c r="I748" s="7" t="str">
        <f>RawData!I748</f>
        <v>Cancelled</v>
      </c>
      <c r="J748" s="7" t="str">
        <f>RawData!J748</f>
        <v>TRK76287027</v>
      </c>
      <c r="K748" s="7">
        <f>RawData!K748</f>
        <v>6</v>
      </c>
      <c r="L748" s="7" t="str">
        <f>IF(RawData!L748="","No Coupon",RawData!L748)</f>
        <v>WINTER15</v>
      </c>
      <c r="M748" s="7" t="str">
        <f>RawData!M748</f>
        <v>Referral</v>
      </c>
      <c r="N748" s="7">
        <f>RawData!N748</f>
        <v>1985.67</v>
      </c>
    </row>
    <row r="749" spans="1:14" x14ac:dyDescent="0.3">
      <c r="A749" s="7" t="str">
        <f>RawData!A749</f>
        <v>ORD200747</v>
      </c>
      <c r="B749" s="11">
        <f>RawData!B749</f>
        <v>45728</v>
      </c>
      <c r="C749" s="7" t="str">
        <f>RawData!C749</f>
        <v>C54277</v>
      </c>
      <c r="D749" s="7" t="str">
        <f>RawData!D749</f>
        <v>Tablet</v>
      </c>
      <c r="E749" s="7">
        <f>RawData!E749</f>
        <v>2</v>
      </c>
      <c r="F749" s="7">
        <f>RawData!F749</f>
        <v>259.58</v>
      </c>
      <c r="G749" s="7" t="str">
        <f>RawData!G749</f>
        <v>940 Main St</v>
      </c>
      <c r="H749" s="7" t="str">
        <f>RawData!H749</f>
        <v>Debit Card</v>
      </c>
      <c r="I749" s="7" t="str">
        <f>RawData!I749</f>
        <v>Delivered</v>
      </c>
      <c r="J749" s="7" t="str">
        <f>RawData!J749</f>
        <v>TRK26500181</v>
      </c>
      <c r="K749" s="7">
        <f>RawData!K749</f>
        <v>7</v>
      </c>
      <c r="L749" s="7" t="str">
        <f>IF(RawData!L749="","No Coupon",RawData!L749)</f>
        <v>FREESHIP</v>
      </c>
      <c r="M749" s="7" t="str">
        <f>RawData!M749</f>
        <v>Instagram</v>
      </c>
      <c r="N749" s="7">
        <f>RawData!N749</f>
        <v>519.16</v>
      </c>
    </row>
    <row r="750" spans="1:14" x14ac:dyDescent="0.3">
      <c r="A750" s="7" t="str">
        <f>RawData!A750</f>
        <v>ORD200748</v>
      </c>
      <c r="B750" s="11">
        <f>RawData!B750</f>
        <v>45488</v>
      </c>
      <c r="C750" s="7" t="str">
        <f>RawData!C750</f>
        <v>C56553</v>
      </c>
      <c r="D750" s="7" t="str">
        <f>RawData!D750</f>
        <v>Tablet</v>
      </c>
      <c r="E750" s="7">
        <f>RawData!E750</f>
        <v>3</v>
      </c>
      <c r="F750" s="7">
        <f>RawData!F750</f>
        <v>70.81</v>
      </c>
      <c r="G750" s="7" t="str">
        <f>RawData!G750</f>
        <v>249 Main St</v>
      </c>
      <c r="H750" s="7" t="str">
        <f>RawData!H750</f>
        <v>Credit Card</v>
      </c>
      <c r="I750" s="7" t="str">
        <f>RawData!I750</f>
        <v>Shipped</v>
      </c>
      <c r="J750" s="7" t="str">
        <f>RawData!J750</f>
        <v>TRK37667360</v>
      </c>
      <c r="K750" s="7">
        <f>RawData!K750</f>
        <v>8</v>
      </c>
      <c r="L750" s="7" t="str">
        <f>IF(RawData!L750="","No Coupon",RawData!L750)</f>
        <v>FREESHIP</v>
      </c>
      <c r="M750" s="7" t="str">
        <f>RawData!M750</f>
        <v>Referral</v>
      </c>
      <c r="N750" s="7">
        <f>RawData!N750</f>
        <v>212.43</v>
      </c>
    </row>
    <row r="751" spans="1:14" x14ac:dyDescent="0.3">
      <c r="A751" s="7" t="str">
        <f>RawData!A751</f>
        <v>ORD200749</v>
      </c>
      <c r="B751" s="11">
        <f>RawData!B751</f>
        <v>45760</v>
      </c>
      <c r="C751" s="7" t="str">
        <f>RawData!C751</f>
        <v>C17551</v>
      </c>
      <c r="D751" s="7" t="str">
        <f>RawData!D751</f>
        <v>Laptop</v>
      </c>
      <c r="E751" s="7">
        <f>RawData!E751</f>
        <v>1</v>
      </c>
      <c r="F751" s="7">
        <f>RawData!F751</f>
        <v>518.39</v>
      </c>
      <c r="G751" s="7" t="str">
        <f>RawData!G751</f>
        <v>997 Main St</v>
      </c>
      <c r="H751" s="7" t="str">
        <f>RawData!H751</f>
        <v>Debit Card</v>
      </c>
      <c r="I751" s="7" t="str">
        <f>RawData!I751</f>
        <v>Pending</v>
      </c>
      <c r="J751" s="7" t="str">
        <f>RawData!J751</f>
        <v>TRK88797170</v>
      </c>
      <c r="K751" s="7">
        <f>RawData!K751</f>
        <v>4</v>
      </c>
      <c r="L751" s="7" t="str">
        <f>IF(RawData!L751="","No Coupon",RawData!L751)</f>
        <v>FREESHIP</v>
      </c>
      <c r="M751" s="7" t="str">
        <f>RawData!M751</f>
        <v>Instagram</v>
      </c>
      <c r="N751" s="7">
        <f>RawData!N751</f>
        <v>518.39</v>
      </c>
    </row>
    <row r="752" spans="1:14" x14ac:dyDescent="0.3">
      <c r="A752" s="7" t="str">
        <f>RawData!A752</f>
        <v>ORD200750</v>
      </c>
      <c r="B752" s="11">
        <f>RawData!B752</f>
        <v>44940</v>
      </c>
      <c r="C752" s="7" t="str">
        <f>RawData!C752</f>
        <v>C14737</v>
      </c>
      <c r="D752" s="7" t="str">
        <f>RawData!D752</f>
        <v>Tablet</v>
      </c>
      <c r="E752" s="7">
        <f>RawData!E752</f>
        <v>4</v>
      </c>
      <c r="F752" s="7">
        <f>RawData!F752</f>
        <v>145.41</v>
      </c>
      <c r="G752" s="7" t="str">
        <f>RawData!G752</f>
        <v>637 Main St</v>
      </c>
      <c r="H752" s="7" t="str">
        <f>RawData!H752</f>
        <v>Credit Card</v>
      </c>
      <c r="I752" s="7" t="str">
        <f>RawData!I752</f>
        <v>Returned</v>
      </c>
      <c r="J752" s="7" t="str">
        <f>RawData!J752</f>
        <v>TRK10295115</v>
      </c>
      <c r="K752" s="7">
        <f>RawData!K752</f>
        <v>7</v>
      </c>
      <c r="L752" s="7" t="str">
        <f>IF(RawData!L752="","No Coupon",RawData!L752)</f>
        <v>FREESHIP</v>
      </c>
      <c r="M752" s="7" t="str">
        <f>RawData!M752</f>
        <v>Email</v>
      </c>
      <c r="N752" s="7">
        <f>RawData!N752</f>
        <v>581.64</v>
      </c>
    </row>
    <row r="753" spans="1:14" x14ac:dyDescent="0.3">
      <c r="A753" s="7" t="str">
        <f>RawData!A753</f>
        <v>ORD200751</v>
      </c>
      <c r="B753" s="11">
        <f>RawData!B753</f>
        <v>44950</v>
      </c>
      <c r="C753" s="7" t="str">
        <f>RawData!C753</f>
        <v>C35168</v>
      </c>
      <c r="D753" s="7" t="str">
        <f>RawData!D753</f>
        <v>Tablet</v>
      </c>
      <c r="E753" s="7">
        <f>RawData!E753</f>
        <v>2</v>
      </c>
      <c r="F753" s="7">
        <f>RawData!F753</f>
        <v>599.86</v>
      </c>
      <c r="G753" s="7" t="str">
        <f>RawData!G753</f>
        <v>455 Main St</v>
      </c>
      <c r="H753" s="7" t="str">
        <f>RawData!H753</f>
        <v>Gift Card</v>
      </c>
      <c r="I753" s="7" t="str">
        <f>RawData!I753</f>
        <v>Pending</v>
      </c>
      <c r="J753" s="7" t="str">
        <f>RawData!J753</f>
        <v>TRK76960854</v>
      </c>
      <c r="K753" s="7">
        <f>RawData!K753</f>
        <v>7</v>
      </c>
      <c r="L753" s="7" t="str">
        <f>IF(RawData!L753="","No Coupon",RawData!L753)</f>
        <v>FREESHIP</v>
      </c>
      <c r="M753" s="7" t="str">
        <f>RawData!M753</f>
        <v>Facebook</v>
      </c>
      <c r="N753" s="7">
        <f>RawData!N753</f>
        <v>1199.72</v>
      </c>
    </row>
    <row r="754" spans="1:14" x14ac:dyDescent="0.3">
      <c r="A754" s="7" t="str">
        <f>RawData!A754</f>
        <v>ORD200752</v>
      </c>
      <c r="B754" s="11">
        <f>RawData!B754</f>
        <v>45568</v>
      </c>
      <c r="C754" s="7" t="str">
        <f>RawData!C754</f>
        <v>C82217</v>
      </c>
      <c r="D754" s="7" t="str">
        <f>RawData!D754</f>
        <v>Phone</v>
      </c>
      <c r="E754" s="7">
        <f>RawData!E754</f>
        <v>4</v>
      </c>
      <c r="F754" s="7">
        <f>RawData!F754</f>
        <v>429.37</v>
      </c>
      <c r="G754" s="7" t="str">
        <f>RawData!G754</f>
        <v>299 Main St</v>
      </c>
      <c r="H754" s="7" t="str">
        <f>RawData!H754</f>
        <v>Credit Card</v>
      </c>
      <c r="I754" s="7" t="str">
        <f>RawData!I754</f>
        <v>Delivered</v>
      </c>
      <c r="J754" s="7" t="str">
        <f>RawData!J754</f>
        <v>TRK33305694</v>
      </c>
      <c r="K754" s="7">
        <f>RawData!K754</f>
        <v>8</v>
      </c>
      <c r="L754" s="7" t="str">
        <f>IF(RawData!L754="","No Coupon",RawData!L754)</f>
        <v>FREESHIP</v>
      </c>
      <c r="M754" s="7" t="str">
        <f>RawData!M754</f>
        <v>Google</v>
      </c>
      <c r="N754" s="7">
        <f>RawData!N754</f>
        <v>1717.48</v>
      </c>
    </row>
    <row r="755" spans="1:14" x14ac:dyDescent="0.3">
      <c r="A755" s="7" t="str">
        <f>RawData!A755</f>
        <v>ORD200753</v>
      </c>
      <c r="B755" s="11">
        <f>RawData!B755</f>
        <v>45406</v>
      </c>
      <c r="C755" s="7" t="str">
        <f>RawData!C755</f>
        <v>C42270</v>
      </c>
      <c r="D755" s="7" t="str">
        <f>RawData!D755</f>
        <v>Phone</v>
      </c>
      <c r="E755" s="7">
        <f>RawData!E755</f>
        <v>2</v>
      </c>
      <c r="F755" s="7">
        <f>RawData!F755</f>
        <v>241.49</v>
      </c>
      <c r="G755" s="7" t="str">
        <f>RawData!G755</f>
        <v>864 Main St</v>
      </c>
      <c r="H755" s="7" t="str">
        <f>RawData!H755</f>
        <v>Debit Card</v>
      </c>
      <c r="I755" s="7" t="str">
        <f>RawData!I755</f>
        <v>Returned</v>
      </c>
      <c r="J755" s="7" t="str">
        <f>RawData!J755</f>
        <v>TRK72697796</v>
      </c>
      <c r="K755" s="7">
        <f>RawData!K755</f>
        <v>7</v>
      </c>
      <c r="L755" s="7" t="str">
        <f>IF(RawData!L755="","No Coupon",RawData!L755)</f>
        <v>FREESHIP</v>
      </c>
      <c r="M755" s="7" t="str">
        <f>RawData!M755</f>
        <v>Instagram</v>
      </c>
      <c r="N755" s="7">
        <f>RawData!N755</f>
        <v>482.98</v>
      </c>
    </row>
    <row r="756" spans="1:14" x14ac:dyDescent="0.3">
      <c r="A756" s="7" t="str">
        <f>RawData!A756</f>
        <v>ORD200754</v>
      </c>
      <c r="B756" s="11">
        <f>RawData!B756</f>
        <v>45808</v>
      </c>
      <c r="C756" s="7" t="str">
        <f>RawData!C756</f>
        <v>C48846</v>
      </c>
      <c r="D756" s="7" t="str">
        <f>RawData!D756</f>
        <v>Printer</v>
      </c>
      <c r="E756" s="7">
        <f>RawData!E756</f>
        <v>2</v>
      </c>
      <c r="F756" s="7">
        <f>RawData!F756</f>
        <v>452.05</v>
      </c>
      <c r="G756" s="7" t="str">
        <f>RawData!G756</f>
        <v>983 Main St</v>
      </c>
      <c r="H756" s="7" t="str">
        <f>RawData!H756</f>
        <v>Credit Card</v>
      </c>
      <c r="I756" s="7" t="str">
        <f>RawData!I756</f>
        <v>Returned</v>
      </c>
      <c r="J756" s="7" t="str">
        <f>RawData!J756</f>
        <v>TRK52804097</v>
      </c>
      <c r="K756" s="7">
        <f>RawData!K756</f>
        <v>3</v>
      </c>
      <c r="L756" s="7" t="str">
        <f>IF(RawData!L756="","No Coupon",RawData!L756)</f>
        <v>WINTER15</v>
      </c>
      <c r="M756" s="7" t="str">
        <f>RawData!M756</f>
        <v>Email</v>
      </c>
      <c r="N756" s="7">
        <f>RawData!N756</f>
        <v>904.1</v>
      </c>
    </row>
    <row r="757" spans="1:14" x14ac:dyDescent="0.3">
      <c r="A757" s="7" t="str">
        <f>RawData!A757</f>
        <v>ORD200755</v>
      </c>
      <c r="B757" s="11">
        <f>RawData!B757</f>
        <v>45090</v>
      </c>
      <c r="C757" s="7" t="str">
        <f>RawData!C757</f>
        <v>C54160</v>
      </c>
      <c r="D757" s="7" t="str">
        <f>RawData!D757</f>
        <v>Desk</v>
      </c>
      <c r="E757" s="7">
        <f>RawData!E757</f>
        <v>3</v>
      </c>
      <c r="F757" s="7">
        <f>RawData!F757</f>
        <v>336.71</v>
      </c>
      <c r="G757" s="7" t="str">
        <f>RawData!G757</f>
        <v>658 Main St</v>
      </c>
      <c r="H757" s="7" t="str">
        <f>RawData!H757</f>
        <v>Credit Card</v>
      </c>
      <c r="I757" s="7" t="str">
        <f>RawData!I757</f>
        <v>Pending</v>
      </c>
      <c r="J757" s="7" t="str">
        <f>RawData!J757</f>
        <v>TRK60515972</v>
      </c>
      <c r="K757" s="7">
        <f>RawData!K757</f>
        <v>4</v>
      </c>
      <c r="L757" s="7" t="str">
        <f>IF(RawData!L757="","No Coupon",RawData!L757)</f>
        <v>No Coupon</v>
      </c>
      <c r="M757" s="7" t="str">
        <f>RawData!M757</f>
        <v>Email</v>
      </c>
      <c r="N757" s="7">
        <f>RawData!N757</f>
        <v>1010.13</v>
      </c>
    </row>
    <row r="758" spans="1:14" x14ac:dyDescent="0.3">
      <c r="A758" s="7" t="str">
        <f>RawData!A758</f>
        <v>ORD200756</v>
      </c>
      <c r="B758" s="11">
        <f>RawData!B758</f>
        <v>45470</v>
      </c>
      <c r="C758" s="7" t="str">
        <f>RawData!C758</f>
        <v>C14080</v>
      </c>
      <c r="D758" s="7" t="str">
        <f>RawData!D758</f>
        <v>Phone</v>
      </c>
      <c r="E758" s="7">
        <f>RawData!E758</f>
        <v>1</v>
      </c>
      <c r="F758" s="7">
        <f>RawData!F758</f>
        <v>283.69</v>
      </c>
      <c r="G758" s="7" t="str">
        <f>RawData!G758</f>
        <v>202 Main St</v>
      </c>
      <c r="H758" s="7" t="str">
        <f>RawData!H758</f>
        <v>Gift Card</v>
      </c>
      <c r="I758" s="7" t="str">
        <f>RawData!I758</f>
        <v>Shipped</v>
      </c>
      <c r="J758" s="7" t="str">
        <f>RawData!J758</f>
        <v>TRK93163682</v>
      </c>
      <c r="K758" s="7">
        <f>RawData!K758</f>
        <v>6</v>
      </c>
      <c r="L758" s="7" t="str">
        <f>IF(RawData!L758="","No Coupon",RawData!L758)</f>
        <v>No Coupon</v>
      </c>
      <c r="M758" s="7" t="str">
        <f>RawData!M758</f>
        <v>Google</v>
      </c>
      <c r="N758" s="7">
        <f>RawData!N758</f>
        <v>283.69</v>
      </c>
    </row>
    <row r="759" spans="1:14" x14ac:dyDescent="0.3">
      <c r="A759" s="7" t="str">
        <f>RawData!A759</f>
        <v>ORD200757</v>
      </c>
      <c r="B759" s="11">
        <f>RawData!B759</f>
        <v>45344</v>
      </c>
      <c r="C759" s="7" t="str">
        <f>RawData!C759</f>
        <v>C81074</v>
      </c>
      <c r="D759" s="7" t="str">
        <f>RawData!D759</f>
        <v>Desk</v>
      </c>
      <c r="E759" s="7">
        <f>RawData!E759</f>
        <v>1</v>
      </c>
      <c r="F759" s="7">
        <f>RawData!F759</f>
        <v>157.72</v>
      </c>
      <c r="G759" s="7" t="str">
        <f>RawData!G759</f>
        <v>597 Main St</v>
      </c>
      <c r="H759" s="7" t="str">
        <f>RawData!H759</f>
        <v>Debit Card</v>
      </c>
      <c r="I759" s="7" t="str">
        <f>RawData!I759</f>
        <v>Delivered</v>
      </c>
      <c r="J759" s="7" t="str">
        <f>RawData!J759</f>
        <v>TRK91105190</v>
      </c>
      <c r="K759" s="7">
        <f>RawData!K759</f>
        <v>2</v>
      </c>
      <c r="L759" s="7" t="str">
        <f>IF(RawData!L759="","No Coupon",RawData!L759)</f>
        <v>FREESHIP</v>
      </c>
      <c r="M759" s="7" t="str">
        <f>RawData!M759</f>
        <v>Google</v>
      </c>
      <c r="N759" s="7">
        <f>RawData!N759</f>
        <v>157.72</v>
      </c>
    </row>
    <row r="760" spans="1:14" x14ac:dyDescent="0.3">
      <c r="A760" s="7" t="str">
        <f>RawData!A760</f>
        <v>ORD200758</v>
      </c>
      <c r="B760" s="11">
        <f>RawData!B760</f>
        <v>45011</v>
      </c>
      <c r="C760" s="7" t="str">
        <f>RawData!C760</f>
        <v>C69021</v>
      </c>
      <c r="D760" s="7" t="str">
        <f>RawData!D760</f>
        <v>Tablet</v>
      </c>
      <c r="E760" s="7">
        <f>RawData!E760</f>
        <v>3</v>
      </c>
      <c r="F760" s="7">
        <f>RawData!F760</f>
        <v>624.84</v>
      </c>
      <c r="G760" s="7" t="str">
        <f>RawData!G760</f>
        <v>917 Main St</v>
      </c>
      <c r="H760" s="7" t="str">
        <f>RawData!H760</f>
        <v>Credit Card</v>
      </c>
      <c r="I760" s="7" t="str">
        <f>RawData!I760</f>
        <v>Cancelled</v>
      </c>
      <c r="J760" s="7" t="str">
        <f>RawData!J760</f>
        <v>TRK57148510</v>
      </c>
      <c r="K760" s="7">
        <f>RawData!K760</f>
        <v>8</v>
      </c>
      <c r="L760" s="7" t="str">
        <f>IF(RawData!L760="","No Coupon",RawData!L760)</f>
        <v>WINTER15</v>
      </c>
      <c r="M760" s="7" t="str">
        <f>RawData!M760</f>
        <v>Facebook</v>
      </c>
      <c r="N760" s="7">
        <f>RawData!N760</f>
        <v>1874.52</v>
      </c>
    </row>
    <row r="761" spans="1:14" x14ac:dyDescent="0.3">
      <c r="A761" s="7" t="str">
        <f>RawData!A761</f>
        <v>ORD200759</v>
      </c>
      <c r="B761" s="11">
        <f>RawData!B761</f>
        <v>45131</v>
      </c>
      <c r="C761" s="7" t="str">
        <f>RawData!C761</f>
        <v>C96283</v>
      </c>
      <c r="D761" s="7" t="str">
        <f>RawData!D761</f>
        <v>Desk</v>
      </c>
      <c r="E761" s="7">
        <f>RawData!E761</f>
        <v>3</v>
      </c>
      <c r="F761" s="7">
        <f>RawData!F761</f>
        <v>308.01</v>
      </c>
      <c r="G761" s="7" t="str">
        <f>RawData!G761</f>
        <v>366 Main St</v>
      </c>
      <c r="H761" s="7" t="str">
        <f>RawData!H761</f>
        <v>Cash</v>
      </c>
      <c r="I761" s="7" t="str">
        <f>RawData!I761</f>
        <v>Pending</v>
      </c>
      <c r="J761" s="7" t="str">
        <f>RawData!J761</f>
        <v>TRK91784124</v>
      </c>
      <c r="K761" s="7">
        <f>RawData!K761</f>
        <v>3</v>
      </c>
      <c r="L761" s="7" t="str">
        <f>IF(RawData!L761="","No Coupon",RawData!L761)</f>
        <v>FREESHIP</v>
      </c>
      <c r="M761" s="7" t="str">
        <f>RawData!M761</f>
        <v>Facebook</v>
      </c>
      <c r="N761" s="7">
        <f>RawData!N761</f>
        <v>924.03</v>
      </c>
    </row>
    <row r="762" spans="1:14" x14ac:dyDescent="0.3">
      <c r="A762" s="7" t="str">
        <f>RawData!A762</f>
        <v>ORD200760</v>
      </c>
      <c r="B762" s="11">
        <f>RawData!B762</f>
        <v>45706</v>
      </c>
      <c r="C762" s="7" t="str">
        <f>RawData!C762</f>
        <v>C96636</v>
      </c>
      <c r="D762" s="7" t="str">
        <f>RawData!D762</f>
        <v>Desk</v>
      </c>
      <c r="E762" s="7">
        <f>RawData!E762</f>
        <v>1</v>
      </c>
      <c r="F762" s="7">
        <f>RawData!F762</f>
        <v>39.56</v>
      </c>
      <c r="G762" s="7" t="str">
        <f>RawData!G762</f>
        <v>283 Main St</v>
      </c>
      <c r="H762" s="7" t="str">
        <f>RawData!H762</f>
        <v>Debit Card</v>
      </c>
      <c r="I762" s="7" t="str">
        <f>RawData!I762</f>
        <v>Cancelled</v>
      </c>
      <c r="J762" s="7" t="str">
        <f>RawData!J762</f>
        <v>TRK73324346</v>
      </c>
      <c r="K762" s="7">
        <f>RawData!K762</f>
        <v>5</v>
      </c>
      <c r="L762" s="7" t="str">
        <f>IF(RawData!L762="","No Coupon",RawData!L762)</f>
        <v>No Coupon</v>
      </c>
      <c r="M762" s="7" t="str">
        <f>RawData!M762</f>
        <v>Google</v>
      </c>
      <c r="N762" s="7">
        <f>RawData!N762</f>
        <v>39.56</v>
      </c>
    </row>
    <row r="763" spans="1:14" x14ac:dyDescent="0.3">
      <c r="A763" s="7" t="str">
        <f>RawData!A763</f>
        <v>ORD200761</v>
      </c>
      <c r="B763" s="11">
        <f>RawData!B763</f>
        <v>45079</v>
      </c>
      <c r="C763" s="7" t="str">
        <f>RawData!C763</f>
        <v>C37235</v>
      </c>
      <c r="D763" s="7" t="str">
        <f>RawData!D763</f>
        <v>Desk</v>
      </c>
      <c r="E763" s="7">
        <f>RawData!E763</f>
        <v>4</v>
      </c>
      <c r="F763" s="7">
        <f>RawData!F763</f>
        <v>37.76</v>
      </c>
      <c r="G763" s="7" t="str">
        <f>RawData!G763</f>
        <v>217 Main St</v>
      </c>
      <c r="H763" s="7" t="str">
        <f>RawData!H763</f>
        <v>Debit Card</v>
      </c>
      <c r="I763" s="7" t="str">
        <f>RawData!I763</f>
        <v>Delivered</v>
      </c>
      <c r="J763" s="7" t="str">
        <f>RawData!J763</f>
        <v>TRK67789367</v>
      </c>
      <c r="K763" s="7">
        <f>RawData!K763</f>
        <v>7</v>
      </c>
      <c r="L763" s="7" t="str">
        <f>IF(RawData!L763="","No Coupon",RawData!L763)</f>
        <v>No Coupon</v>
      </c>
      <c r="M763" s="7" t="str">
        <f>RawData!M763</f>
        <v>Google</v>
      </c>
      <c r="N763" s="7">
        <f>RawData!N763</f>
        <v>151.04</v>
      </c>
    </row>
    <row r="764" spans="1:14" x14ac:dyDescent="0.3">
      <c r="A764" s="7" t="str">
        <f>RawData!A764</f>
        <v>ORD200762</v>
      </c>
      <c r="B764" s="11">
        <f>RawData!B764</f>
        <v>45552</v>
      </c>
      <c r="C764" s="7" t="str">
        <f>RawData!C764</f>
        <v>C12444</v>
      </c>
      <c r="D764" s="7" t="str">
        <f>RawData!D764</f>
        <v>Phone</v>
      </c>
      <c r="E764" s="7">
        <f>RawData!E764</f>
        <v>3</v>
      </c>
      <c r="F764" s="7">
        <f>RawData!F764</f>
        <v>76.959999999999994</v>
      </c>
      <c r="G764" s="7" t="str">
        <f>RawData!G764</f>
        <v>611 Main St</v>
      </c>
      <c r="H764" s="7" t="str">
        <f>RawData!H764</f>
        <v>Cash</v>
      </c>
      <c r="I764" s="7" t="str">
        <f>RawData!I764</f>
        <v>Returned</v>
      </c>
      <c r="J764" s="7" t="str">
        <f>RawData!J764</f>
        <v>TRK97621403</v>
      </c>
      <c r="K764" s="7">
        <f>RawData!K764</f>
        <v>8</v>
      </c>
      <c r="L764" s="7" t="str">
        <f>IF(RawData!L764="","No Coupon",RawData!L764)</f>
        <v>FREESHIP</v>
      </c>
      <c r="M764" s="7" t="str">
        <f>RawData!M764</f>
        <v>Email</v>
      </c>
      <c r="N764" s="7">
        <f>RawData!N764</f>
        <v>230.88</v>
      </c>
    </row>
    <row r="765" spans="1:14" x14ac:dyDescent="0.3">
      <c r="A765" s="7" t="str">
        <f>RawData!A765</f>
        <v>ORD200763</v>
      </c>
      <c r="B765" s="11">
        <f>RawData!B765</f>
        <v>45022</v>
      </c>
      <c r="C765" s="7" t="str">
        <f>RawData!C765</f>
        <v>C79142</v>
      </c>
      <c r="D765" s="7" t="str">
        <f>RawData!D765</f>
        <v>Laptop</v>
      </c>
      <c r="E765" s="7">
        <f>RawData!E765</f>
        <v>1</v>
      </c>
      <c r="F765" s="7">
        <f>RawData!F765</f>
        <v>569.96</v>
      </c>
      <c r="G765" s="7" t="str">
        <f>RawData!G765</f>
        <v>533 Main St</v>
      </c>
      <c r="H765" s="7" t="str">
        <f>RawData!H765</f>
        <v>Online</v>
      </c>
      <c r="I765" s="7" t="str">
        <f>RawData!I765</f>
        <v>Delivered</v>
      </c>
      <c r="J765" s="7" t="str">
        <f>RawData!J765</f>
        <v>TRK30915955</v>
      </c>
      <c r="K765" s="7">
        <f>RawData!K765</f>
        <v>4</v>
      </c>
      <c r="L765" s="7" t="str">
        <f>IF(RawData!L765="","No Coupon",RawData!L765)</f>
        <v>FREESHIP</v>
      </c>
      <c r="M765" s="7" t="str">
        <f>RawData!M765</f>
        <v>Email</v>
      </c>
      <c r="N765" s="7">
        <f>RawData!N765</f>
        <v>569.96</v>
      </c>
    </row>
    <row r="766" spans="1:14" x14ac:dyDescent="0.3">
      <c r="A766" s="7" t="str">
        <f>RawData!A766</f>
        <v>ORD200764</v>
      </c>
      <c r="B766" s="11">
        <f>RawData!B766</f>
        <v>45361</v>
      </c>
      <c r="C766" s="7" t="str">
        <f>RawData!C766</f>
        <v>C35983</v>
      </c>
      <c r="D766" s="7" t="str">
        <f>RawData!D766</f>
        <v>Laptop</v>
      </c>
      <c r="E766" s="7">
        <f>RawData!E766</f>
        <v>5</v>
      </c>
      <c r="F766" s="7">
        <f>RawData!F766</f>
        <v>627.42999999999995</v>
      </c>
      <c r="G766" s="7" t="str">
        <f>RawData!G766</f>
        <v>806 Main St</v>
      </c>
      <c r="H766" s="7" t="str">
        <f>RawData!H766</f>
        <v>Credit Card</v>
      </c>
      <c r="I766" s="7" t="str">
        <f>RawData!I766</f>
        <v>Cancelled</v>
      </c>
      <c r="J766" s="7" t="str">
        <f>RawData!J766</f>
        <v>TRK14016163</v>
      </c>
      <c r="K766" s="7">
        <f>RawData!K766</f>
        <v>10</v>
      </c>
      <c r="L766" s="7" t="str">
        <f>IF(RawData!L766="","No Coupon",RawData!L766)</f>
        <v>FREESHIP</v>
      </c>
      <c r="M766" s="7" t="str">
        <f>RawData!M766</f>
        <v>Email</v>
      </c>
      <c r="N766" s="7">
        <f>RawData!N766</f>
        <v>3137.15</v>
      </c>
    </row>
    <row r="767" spans="1:14" x14ac:dyDescent="0.3">
      <c r="A767" s="7" t="str">
        <f>RawData!A767</f>
        <v>ORD200765</v>
      </c>
      <c r="B767" s="11">
        <f>RawData!B767</f>
        <v>45205</v>
      </c>
      <c r="C767" s="7" t="str">
        <f>RawData!C767</f>
        <v>C36150</v>
      </c>
      <c r="D767" s="7" t="str">
        <f>RawData!D767</f>
        <v>Laptop</v>
      </c>
      <c r="E767" s="7">
        <f>RawData!E767</f>
        <v>2</v>
      </c>
      <c r="F767" s="7">
        <f>RawData!F767</f>
        <v>534.91</v>
      </c>
      <c r="G767" s="7" t="str">
        <f>RawData!G767</f>
        <v>281 Main St</v>
      </c>
      <c r="H767" s="7" t="str">
        <f>RawData!H767</f>
        <v>Debit Card</v>
      </c>
      <c r="I767" s="7" t="str">
        <f>RawData!I767</f>
        <v>Returned</v>
      </c>
      <c r="J767" s="7" t="str">
        <f>RawData!J767</f>
        <v>TRK96249043</v>
      </c>
      <c r="K767" s="7">
        <f>RawData!K767</f>
        <v>5</v>
      </c>
      <c r="L767" s="7" t="str">
        <f>IF(RawData!L767="","No Coupon",RawData!L767)</f>
        <v>SAVE10</v>
      </c>
      <c r="M767" s="7" t="str">
        <f>RawData!M767</f>
        <v>Google</v>
      </c>
      <c r="N767" s="7">
        <f>RawData!N767</f>
        <v>1069.82</v>
      </c>
    </row>
    <row r="768" spans="1:14" x14ac:dyDescent="0.3">
      <c r="A768" s="7" t="str">
        <f>RawData!A768</f>
        <v>ORD200766</v>
      </c>
      <c r="B768" s="11">
        <f>RawData!B768</f>
        <v>44948</v>
      </c>
      <c r="C768" s="7" t="str">
        <f>RawData!C768</f>
        <v>C91454</v>
      </c>
      <c r="D768" s="7" t="str">
        <f>RawData!D768</f>
        <v>Printer</v>
      </c>
      <c r="E768" s="7">
        <f>RawData!E768</f>
        <v>2</v>
      </c>
      <c r="F768" s="7">
        <f>RawData!F768</f>
        <v>278.88</v>
      </c>
      <c r="G768" s="7" t="str">
        <f>RawData!G768</f>
        <v>494 Main St</v>
      </c>
      <c r="H768" s="7" t="str">
        <f>RawData!H768</f>
        <v>Debit Card</v>
      </c>
      <c r="I768" s="7" t="str">
        <f>RawData!I768</f>
        <v>Pending</v>
      </c>
      <c r="J768" s="7" t="str">
        <f>RawData!J768</f>
        <v>TRK99985340</v>
      </c>
      <c r="K768" s="7">
        <f>RawData!K768</f>
        <v>3</v>
      </c>
      <c r="L768" s="7" t="str">
        <f>IF(RawData!L768="","No Coupon",RawData!L768)</f>
        <v>FREESHIP</v>
      </c>
      <c r="M768" s="7" t="str">
        <f>RawData!M768</f>
        <v>Referral</v>
      </c>
      <c r="N768" s="7">
        <f>RawData!N768</f>
        <v>557.76</v>
      </c>
    </row>
    <row r="769" spans="1:14" x14ac:dyDescent="0.3">
      <c r="A769" s="7" t="str">
        <f>RawData!A769</f>
        <v>ORD200767</v>
      </c>
      <c r="B769" s="11">
        <f>RawData!B769</f>
        <v>45765</v>
      </c>
      <c r="C769" s="7" t="str">
        <f>RawData!C769</f>
        <v>C19368</v>
      </c>
      <c r="D769" s="7" t="str">
        <f>RawData!D769</f>
        <v>Tablet</v>
      </c>
      <c r="E769" s="7">
        <f>RawData!E769</f>
        <v>2</v>
      </c>
      <c r="F769" s="7">
        <f>RawData!F769</f>
        <v>323.22000000000003</v>
      </c>
      <c r="G769" s="7" t="str">
        <f>RawData!G769</f>
        <v>517 Main St</v>
      </c>
      <c r="H769" s="7" t="str">
        <f>RawData!H769</f>
        <v>Credit Card</v>
      </c>
      <c r="I769" s="7" t="str">
        <f>RawData!I769</f>
        <v>Delivered</v>
      </c>
      <c r="J769" s="7" t="str">
        <f>RawData!J769</f>
        <v>TRK80436037</v>
      </c>
      <c r="K769" s="7">
        <f>RawData!K769</f>
        <v>7</v>
      </c>
      <c r="L769" s="7" t="str">
        <f>IF(RawData!L769="","No Coupon",RawData!L769)</f>
        <v>No Coupon</v>
      </c>
      <c r="M769" s="7" t="str">
        <f>RawData!M769</f>
        <v>Instagram</v>
      </c>
      <c r="N769" s="7">
        <f>RawData!N769</f>
        <v>646.44000000000005</v>
      </c>
    </row>
    <row r="770" spans="1:14" x14ac:dyDescent="0.3">
      <c r="A770" s="7" t="str">
        <f>RawData!A770</f>
        <v>ORD200768</v>
      </c>
      <c r="B770" s="11">
        <f>RawData!B770</f>
        <v>45173</v>
      </c>
      <c r="C770" s="7" t="str">
        <f>RawData!C770</f>
        <v>C35987</v>
      </c>
      <c r="D770" s="7" t="str">
        <f>RawData!D770</f>
        <v>Tablet</v>
      </c>
      <c r="E770" s="7">
        <f>RawData!E770</f>
        <v>5</v>
      </c>
      <c r="F770" s="7">
        <f>RawData!F770</f>
        <v>653.46</v>
      </c>
      <c r="G770" s="7" t="str">
        <f>RawData!G770</f>
        <v>165 Main St</v>
      </c>
      <c r="H770" s="7" t="str">
        <f>RawData!H770</f>
        <v>Cash</v>
      </c>
      <c r="I770" s="7" t="str">
        <f>RawData!I770</f>
        <v>Cancelled</v>
      </c>
      <c r="J770" s="7" t="str">
        <f>RawData!J770</f>
        <v>TRK28918815</v>
      </c>
      <c r="K770" s="7">
        <f>RawData!K770</f>
        <v>9</v>
      </c>
      <c r="L770" s="7" t="str">
        <f>IF(RawData!L770="","No Coupon",RawData!L770)</f>
        <v>WINTER15</v>
      </c>
      <c r="M770" s="7" t="str">
        <f>RawData!M770</f>
        <v>Email</v>
      </c>
      <c r="N770" s="7">
        <f>RawData!N770</f>
        <v>3267.3</v>
      </c>
    </row>
    <row r="771" spans="1:14" x14ac:dyDescent="0.3">
      <c r="A771" s="7" t="str">
        <f>RawData!A771</f>
        <v>ORD200769</v>
      </c>
      <c r="B771" s="11">
        <f>RawData!B771</f>
        <v>45113</v>
      </c>
      <c r="C771" s="7" t="str">
        <f>RawData!C771</f>
        <v>C13366</v>
      </c>
      <c r="D771" s="7" t="str">
        <f>RawData!D771</f>
        <v>Printer</v>
      </c>
      <c r="E771" s="7">
        <f>RawData!E771</f>
        <v>4</v>
      </c>
      <c r="F771" s="7">
        <f>RawData!F771</f>
        <v>678.55</v>
      </c>
      <c r="G771" s="7" t="str">
        <f>RawData!G771</f>
        <v>568 Main St</v>
      </c>
      <c r="H771" s="7" t="str">
        <f>RawData!H771</f>
        <v>Cash</v>
      </c>
      <c r="I771" s="7" t="str">
        <f>RawData!I771</f>
        <v>Delivered</v>
      </c>
      <c r="J771" s="7" t="str">
        <f>RawData!J771</f>
        <v>TRK98691410</v>
      </c>
      <c r="K771" s="7">
        <f>RawData!K771</f>
        <v>5</v>
      </c>
      <c r="L771" s="7" t="str">
        <f>IF(RawData!L771="","No Coupon",RawData!L771)</f>
        <v>No Coupon</v>
      </c>
      <c r="M771" s="7" t="str">
        <f>RawData!M771</f>
        <v>Email</v>
      </c>
      <c r="N771" s="7">
        <f>RawData!N771</f>
        <v>2714.2</v>
      </c>
    </row>
    <row r="772" spans="1:14" x14ac:dyDescent="0.3">
      <c r="A772" s="7" t="str">
        <f>RawData!A772</f>
        <v>ORD200770</v>
      </c>
      <c r="B772" s="11">
        <f>RawData!B772</f>
        <v>45333</v>
      </c>
      <c r="C772" s="7" t="str">
        <f>RawData!C772</f>
        <v>C72166</v>
      </c>
      <c r="D772" s="7" t="str">
        <f>RawData!D772</f>
        <v>Desk</v>
      </c>
      <c r="E772" s="7">
        <f>RawData!E772</f>
        <v>1</v>
      </c>
      <c r="F772" s="7">
        <f>RawData!F772</f>
        <v>314.38</v>
      </c>
      <c r="G772" s="7" t="str">
        <f>RawData!G772</f>
        <v>227 Main St</v>
      </c>
      <c r="H772" s="7" t="str">
        <f>RawData!H772</f>
        <v>Online</v>
      </c>
      <c r="I772" s="7" t="str">
        <f>RawData!I772</f>
        <v>Returned</v>
      </c>
      <c r="J772" s="7" t="str">
        <f>RawData!J772</f>
        <v>TRK67733444</v>
      </c>
      <c r="K772" s="7">
        <f>RawData!K772</f>
        <v>6</v>
      </c>
      <c r="L772" s="7" t="str">
        <f>IF(RawData!L772="","No Coupon",RawData!L772)</f>
        <v>No Coupon</v>
      </c>
      <c r="M772" s="7" t="str">
        <f>RawData!M772</f>
        <v>Google</v>
      </c>
      <c r="N772" s="7">
        <f>RawData!N772</f>
        <v>314.38</v>
      </c>
    </row>
    <row r="773" spans="1:14" x14ac:dyDescent="0.3">
      <c r="A773" s="7" t="str">
        <f>RawData!A773</f>
        <v>ORD200771</v>
      </c>
      <c r="B773" s="11">
        <f>RawData!B773</f>
        <v>45455</v>
      </c>
      <c r="C773" s="7" t="str">
        <f>RawData!C773</f>
        <v>C20357</v>
      </c>
      <c r="D773" s="7" t="str">
        <f>RawData!D773</f>
        <v>Phone</v>
      </c>
      <c r="E773" s="7">
        <f>RawData!E773</f>
        <v>3</v>
      </c>
      <c r="F773" s="7">
        <f>RawData!F773</f>
        <v>692.44</v>
      </c>
      <c r="G773" s="7" t="str">
        <f>RawData!G773</f>
        <v>272 Main St</v>
      </c>
      <c r="H773" s="7" t="str">
        <f>RawData!H773</f>
        <v>Debit Card</v>
      </c>
      <c r="I773" s="7" t="str">
        <f>RawData!I773</f>
        <v>Cancelled</v>
      </c>
      <c r="J773" s="7" t="str">
        <f>RawData!J773</f>
        <v>TRK82236408</v>
      </c>
      <c r="K773" s="7">
        <f>RawData!K773</f>
        <v>8</v>
      </c>
      <c r="L773" s="7" t="str">
        <f>IF(RawData!L773="","No Coupon",RawData!L773)</f>
        <v>FREESHIP</v>
      </c>
      <c r="M773" s="7" t="str">
        <f>RawData!M773</f>
        <v>Google</v>
      </c>
      <c r="N773" s="7">
        <f>RawData!N773</f>
        <v>2077.3200000000002</v>
      </c>
    </row>
    <row r="774" spans="1:14" x14ac:dyDescent="0.3">
      <c r="A774" s="7" t="str">
        <f>RawData!A774</f>
        <v>ORD200772</v>
      </c>
      <c r="B774" s="11">
        <f>RawData!B774</f>
        <v>45501</v>
      </c>
      <c r="C774" s="7" t="str">
        <f>RawData!C774</f>
        <v>C33802</v>
      </c>
      <c r="D774" s="7" t="str">
        <f>RawData!D774</f>
        <v>Monitor</v>
      </c>
      <c r="E774" s="7">
        <f>RawData!E774</f>
        <v>1</v>
      </c>
      <c r="F774" s="7">
        <f>RawData!F774</f>
        <v>604.87</v>
      </c>
      <c r="G774" s="7" t="str">
        <f>RawData!G774</f>
        <v>461 Main St</v>
      </c>
      <c r="H774" s="7" t="str">
        <f>RawData!H774</f>
        <v>Online</v>
      </c>
      <c r="I774" s="7" t="str">
        <f>RawData!I774</f>
        <v>Delivered</v>
      </c>
      <c r="J774" s="7" t="str">
        <f>RawData!J774</f>
        <v>TRK25799478</v>
      </c>
      <c r="K774" s="7">
        <f>RawData!K774</f>
        <v>4</v>
      </c>
      <c r="L774" s="7" t="str">
        <f>IF(RawData!L774="","No Coupon",RawData!L774)</f>
        <v>No Coupon</v>
      </c>
      <c r="M774" s="7" t="str">
        <f>RawData!M774</f>
        <v>Instagram</v>
      </c>
      <c r="N774" s="7">
        <f>RawData!N774</f>
        <v>604.87</v>
      </c>
    </row>
    <row r="775" spans="1:14" x14ac:dyDescent="0.3">
      <c r="A775" s="7" t="str">
        <f>RawData!A775</f>
        <v>ORD200773</v>
      </c>
      <c r="B775" s="11">
        <f>RawData!B775</f>
        <v>45836</v>
      </c>
      <c r="C775" s="7" t="str">
        <f>RawData!C775</f>
        <v>C99205</v>
      </c>
      <c r="D775" s="7" t="str">
        <f>RawData!D775</f>
        <v>Phone</v>
      </c>
      <c r="E775" s="7">
        <f>RawData!E775</f>
        <v>2</v>
      </c>
      <c r="F775" s="7">
        <f>RawData!F775</f>
        <v>512.33000000000004</v>
      </c>
      <c r="G775" s="7" t="str">
        <f>RawData!G775</f>
        <v>415 Main St</v>
      </c>
      <c r="H775" s="7" t="str">
        <f>RawData!H775</f>
        <v>Cash</v>
      </c>
      <c r="I775" s="7" t="str">
        <f>RawData!I775</f>
        <v>Cancelled</v>
      </c>
      <c r="J775" s="7" t="str">
        <f>RawData!J775</f>
        <v>TRK48904015</v>
      </c>
      <c r="K775" s="7">
        <f>RawData!K775</f>
        <v>7</v>
      </c>
      <c r="L775" s="7" t="str">
        <f>IF(RawData!L775="","No Coupon",RawData!L775)</f>
        <v>No Coupon</v>
      </c>
      <c r="M775" s="7" t="str">
        <f>RawData!M775</f>
        <v>Facebook</v>
      </c>
      <c r="N775" s="7">
        <f>RawData!N775</f>
        <v>1024.6600000000001</v>
      </c>
    </row>
    <row r="776" spans="1:14" x14ac:dyDescent="0.3">
      <c r="A776" s="7" t="str">
        <f>RawData!A776</f>
        <v>ORD200774</v>
      </c>
      <c r="B776" s="11">
        <f>RawData!B776</f>
        <v>45762</v>
      </c>
      <c r="C776" s="7" t="str">
        <f>RawData!C776</f>
        <v>C29701</v>
      </c>
      <c r="D776" s="7" t="str">
        <f>RawData!D776</f>
        <v>Chair</v>
      </c>
      <c r="E776" s="7">
        <f>RawData!E776</f>
        <v>3</v>
      </c>
      <c r="F776" s="7">
        <f>RawData!F776</f>
        <v>20.54</v>
      </c>
      <c r="G776" s="7" t="str">
        <f>RawData!G776</f>
        <v>257 Main St</v>
      </c>
      <c r="H776" s="7" t="str">
        <f>RawData!H776</f>
        <v>Credit Card</v>
      </c>
      <c r="I776" s="7" t="str">
        <f>RawData!I776</f>
        <v>Cancelled</v>
      </c>
      <c r="J776" s="7" t="str">
        <f>RawData!J776</f>
        <v>TRK42266846</v>
      </c>
      <c r="K776" s="7">
        <f>RawData!K776</f>
        <v>3</v>
      </c>
      <c r="L776" s="7" t="str">
        <f>IF(RawData!L776="","No Coupon",RawData!L776)</f>
        <v>FREESHIP</v>
      </c>
      <c r="M776" s="7" t="str">
        <f>RawData!M776</f>
        <v>Instagram</v>
      </c>
      <c r="N776" s="7">
        <f>RawData!N776</f>
        <v>61.62</v>
      </c>
    </row>
    <row r="777" spans="1:14" x14ac:dyDescent="0.3">
      <c r="A777" s="7" t="str">
        <f>RawData!A777</f>
        <v>ORD200775</v>
      </c>
      <c r="B777" s="11">
        <f>RawData!B777</f>
        <v>44989</v>
      </c>
      <c r="C777" s="7" t="str">
        <f>RawData!C777</f>
        <v>C73941</v>
      </c>
      <c r="D777" s="7" t="str">
        <f>RawData!D777</f>
        <v>Phone</v>
      </c>
      <c r="E777" s="7">
        <f>RawData!E777</f>
        <v>2</v>
      </c>
      <c r="F777" s="7">
        <f>RawData!F777</f>
        <v>625.22</v>
      </c>
      <c r="G777" s="7" t="str">
        <f>RawData!G777</f>
        <v>569 Main St</v>
      </c>
      <c r="H777" s="7" t="str">
        <f>RawData!H777</f>
        <v>Online</v>
      </c>
      <c r="I777" s="7" t="str">
        <f>RawData!I777</f>
        <v>Cancelled</v>
      </c>
      <c r="J777" s="7" t="str">
        <f>RawData!J777</f>
        <v>TRK22051900</v>
      </c>
      <c r="K777" s="7">
        <f>RawData!K777</f>
        <v>5</v>
      </c>
      <c r="L777" s="7" t="str">
        <f>IF(RawData!L777="","No Coupon",RawData!L777)</f>
        <v>No Coupon</v>
      </c>
      <c r="M777" s="7" t="str">
        <f>RawData!M777</f>
        <v>Google</v>
      </c>
      <c r="N777" s="7">
        <f>RawData!N777</f>
        <v>1250.44</v>
      </c>
    </row>
    <row r="778" spans="1:14" x14ac:dyDescent="0.3">
      <c r="A778" s="7" t="str">
        <f>RawData!A778</f>
        <v>ORD200776</v>
      </c>
      <c r="B778" s="11">
        <f>RawData!B778</f>
        <v>45159</v>
      </c>
      <c r="C778" s="7" t="str">
        <f>RawData!C778</f>
        <v>C69168</v>
      </c>
      <c r="D778" s="7" t="str">
        <f>RawData!D778</f>
        <v>Tablet</v>
      </c>
      <c r="E778" s="7">
        <f>RawData!E778</f>
        <v>1</v>
      </c>
      <c r="F778" s="7">
        <f>RawData!F778</f>
        <v>21.19</v>
      </c>
      <c r="G778" s="7" t="str">
        <f>RawData!G778</f>
        <v>482 Main St</v>
      </c>
      <c r="H778" s="7" t="str">
        <f>RawData!H778</f>
        <v>Cash</v>
      </c>
      <c r="I778" s="7" t="str">
        <f>RawData!I778</f>
        <v>Returned</v>
      </c>
      <c r="J778" s="7" t="str">
        <f>RawData!J778</f>
        <v>TRK10446197</v>
      </c>
      <c r="K778" s="7">
        <f>RawData!K778</f>
        <v>5</v>
      </c>
      <c r="L778" s="7" t="str">
        <f>IF(RawData!L778="","No Coupon",RawData!L778)</f>
        <v>WINTER15</v>
      </c>
      <c r="M778" s="7" t="str">
        <f>RawData!M778</f>
        <v>Google</v>
      </c>
      <c r="N778" s="7">
        <f>RawData!N778</f>
        <v>21.19</v>
      </c>
    </row>
    <row r="779" spans="1:14" x14ac:dyDescent="0.3">
      <c r="A779" s="7" t="str">
        <f>RawData!A779</f>
        <v>ORD200777</v>
      </c>
      <c r="B779" s="11">
        <f>RawData!B779</f>
        <v>45737</v>
      </c>
      <c r="C779" s="7" t="str">
        <f>RawData!C779</f>
        <v>C66116</v>
      </c>
      <c r="D779" s="7" t="str">
        <f>RawData!D779</f>
        <v>Chair</v>
      </c>
      <c r="E779" s="7">
        <f>RawData!E779</f>
        <v>5</v>
      </c>
      <c r="F779" s="7">
        <f>RawData!F779</f>
        <v>64.489999999999995</v>
      </c>
      <c r="G779" s="7" t="str">
        <f>RawData!G779</f>
        <v>633 Main St</v>
      </c>
      <c r="H779" s="7" t="str">
        <f>RawData!H779</f>
        <v>Online</v>
      </c>
      <c r="I779" s="7" t="str">
        <f>RawData!I779</f>
        <v>Cancelled</v>
      </c>
      <c r="J779" s="7" t="str">
        <f>RawData!J779</f>
        <v>TRK41967983</v>
      </c>
      <c r="K779" s="7">
        <f>RawData!K779</f>
        <v>7</v>
      </c>
      <c r="L779" s="7" t="str">
        <f>IF(RawData!L779="","No Coupon",RawData!L779)</f>
        <v>No Coupon</v>
      </c>
      <c r="M779" s="7" t="str">
        <f>RawData!M779</f>
        <v>Facebook</v>
      </c>
      <c r="N779" s="7">
        <f>RawData!N779</f>
        <v>322.45</v>
      </c>
    </row>
    <row r="780" spans="1:14" x14ac:dyDescent="0.3">
      <c r="A780" s="7" t="str">
        <f>RawData!A780</f>
        <v>ORD200778</v>
      </c>
      <c r="B780" s="11">
        <f>RawData!B780</f>
        <v>45044</v>
      </c>
      <c r="C780" s="7" t="str">
        <f>RawData!C780</f>
        <v>C85059</v>
      </c>
      <c r="D780" s="7" t="str">
        <f>RawData!D780</f>
        <v>Laptop</v>
      </c>
      <c r="E780" s="7">
        <f>RawData!E780</f>
        <v>4</v>
      </c>
      <c r="F780" s="7">
        <f>RawData!F780</f>
        <v>246.85</v>
      </c>
      <c r="G780" s="7" t="str">
        <f>RawData!G780</f>
        <v>316 Main St</v>
      </c>
      <c r="H780" s="7" t="str">
        <f>RawData!H780</f>
        <v>Credit Card</v>
      </c>
      <c r="I780" s="7" t="str">
        <f>RawData!I780</f>
        <v>Shipped</v>
      </c>
      <c r="J780" s="7" t="str">
        <f>RawData!J780</f>
        <v>TRK56503740</v>
      </c>
      <c r="K780" s="7">
        <f>RawData!K780</f>
        <v>8</v>
      </c>
      <c r="L780" s="7" t="str">
        <f>IF(RawData!L780="","No Coupon",RawData!L780)</f>
        <v>WINTER15</v>
      </c>
      <c r="M780" s="7" t="str">
        <f>RawData!M780</f>
        <v>Google</v>
      </c>
      <c r="N780" s="7">
        <f>RawData!N780</f>
        <v>987.4</v>
      </c>
    </row>
    <row r="781" spans="1:14" x14ac:dyDescent="0.3">
      <c r="A781" s="7" t="str">
        <f>RawData!A781</f>
        <v>ORD200779</v>
      </c>
      <c r="B781" s="11">
        <f>RawData!B781</f>
        <v>45261</v>
      </c>
      <c r="C781" s="7" t="str">
        <f>RawData!C781</f>
        <v>C18076</v>
      </c>
      <c r="D781" s="7" t="str">
        <f>RawData!D781</f>
        <v>Phone</v>
      </c>
      <c r="E781" s="7">
        <f>RawData!E781</f>
        <v>3</v>
      </c>
      <c r="F781" s="7">
        <f>RawData!F781</f>
        <v>588.74</v>
      </c>
      <c r="G781" s="7" t="str">
        <f>RawData!G781</f>
        <v>751 Main St</v>
      </c>
      <c r="H781" s="7" t="str">
        <f>RawData!H781</f>
        <v>Debit Card</v>
      </c>
      <c r="I781" s="7" t="str">
        <f>RawData!I781</f>
        <v>Pending</v>
      </c>
      <c r="J781" s="7" t="str">
        <f>RawData!J781</f>
        <v>TRK26661705</v>
      </c>
      <c r="K781" s="7">
        <f>RawData!K781</f>
        <v>8</v>
      </c>
      <c r="L781" s="7" t="str">
        <f>IF(RawData!L781="","No Coupon",RawData!L781)</f>
        <v>FREESHIP</v>
      </c>
      <c r="M781" s="7" t="str">
        <f>RawData!M781</f>
        <v>Email</v>
      </c>
      <c r="N781" s="7">
        <f>RawData!N781</f>
        <v>1766.22</v>
      </c>
    </row>
    <row r="782" spans="1:14" x14ac:dyDescent="0.3">
      <c r="A782" s="7" t="str">
        <f>RawData!A782</f>
        <v>ORD200780</v>
      </c>
      <c r="B782" s="11">
        <f>RawData!B782</f>
        <v>45382</v>
      </c>
      <c r="C782" s="7" t="str">
        <f>RawData!C782</f>
        <v>C41284</v>
      </c>
      <c r="D782" s="7" t="str">
        <f>RawData!D782</f>
        <v>Laptop</v>
      </c>
      <c r="E782" s="7">
        <f>RawData!E782</f>
        <v>4</v>
      </c>
      <c r="F782" s="7">
        <f>RawData!F782</f>
        <v>184.48</v>
      </c>
      <c r="G782" s="7" t="str">
        <f>RawData!G782</f>
        <v>661 Main St</v>
      </c>
      <c r="H782" s="7" t="str">
        <f>RawData!H782</f>
        <v>Online</v>
      </c>
      <c r="I782" s="7" t="str">
        <f>RawData!I782</f>
        <v>Cancelled</v>
      </c>
      <c r="J782" s="7" t="str">
        <f>RawData!J782</f>
        <v>TRK73613128</v>
      </c>
      <c r="K782" s="7">
        <f>RawData!K782</f>
        <v>4</v>
      </c>
      <c r="L782" s="7" t="str">
        <f>IF(RawData!L782="","No Coupon",RawData!L782)</f>
        <v>WINTER15</v>
      </c>
      <c r="M782" s="7" t="str">
        <f>RawData!M782</f>
        <v>Google</v>
      </c>
      <c r="N782" s="7">
        <f>RawData!N782</f>
        <v>737.92</v>
      </c>
    </row>
    <row r="783" spans="1:14" x14ac:dyDescent="0.3">
      <c r="A783" s="7" t="str">
        <f>RawData!A783</f>
        <v>ORD200781</v>
      </c>
      <c r="B783" s="11">
        <f>RawData!B783</f>
        <v>45301</v>
      </c>
      <c r="C783" s="7" t="str">
        <f>RawData!C783</f>
        <v>C43524</v>
      </c>
      <c r="D783" s="7" t="str">
        <f>RawData!D783</f>
        <v>Phone</v>
      </c>
      <c r="E783" s="7">
        <f>RawData!E783</f>
        <v>5</v>
      </c>
      <c r="F783" s="7">
        <f>RawData!F783</f>
        <v>524.26</v>
      </c>
      <c r="G783" s="7" t="str">
        <f>RawData!G783</f>
        <v>934 Main St</v>
      </c>
      <c r="H783" s="7" t="str">
        <f>RawData!H783</f>
        <v>Gift Card</v>
      </c>
      <c r="I783" s="7" t="str">
        <f>RawData!I783</f>
        <v>Delivered</v>
      </c>
      <c r="J783" s="7" t="str">
        <f>RawData!J783</f>
        <v>TRK51479426</v>
      </c>
      <c r="K783" s="7">
        <f>RawData!K783</f>
        <v>5</v>
      </c>
      <c r="L783" s="7" t="str">
        <f>IF(RawData!L783="","No Coupon",RawData!L783)</f>
        <v>FREESHIP</v>
      </c>
      <c r="M783" s="7" t="str">
        <f>RawData!M783</f>
        <v>Referral</v>
      </c>
      <c r="N783" s="7">
        <f>RawData!N783</f>
        <v>2621.3000000000002</v>
      </c>
    </row>
    <row r="784" spans="1:14" x14ac:dyDescent="0.3">
      <c r="A784" s="7" t="str">
        <f>RawData!A784</f>
        <v>ORD200782</v>
      </c>
      <c r="B784" s="11">
        <f>RawData!B784</f>
        <v>45515</v>
      </c>
      <c r="C784" s="7" t="str">
        <f>RawData!C784</f>
        <v>C58063</v>
      </c>
      <c r="D784" s="7" t="str">
        <f>RawData!D784</f>
        <v>Monitor</v>
      </c>
      <c r="E784" s="7">
        <f>RawData!E784</f>
        <v>2</v>
      </c>
      <c r="F784" s="7">
        <f>RawData!F784</f>
        <v>493.63</v>
      </c>
      <c r="G784" s="7" t="str">
        <f>RawData!G784</f>
        <v>167 Main St</v>
      </c>
      <c r="H784" s="7" t="str">
        <f>RawData!H784</f>
        <v>Online</v>
      </c>
      <c r="I784" s="7" t="str">
        <f>RawData!I784</f>
        <v>Returned</v>
      </c>
      <c r="J784" s="7" t="str">
        <f>RawData!J784</f>
        <v>TRK50548869</v>
      </c>
      <c r="K784" s="7">
        <f>RawData!K784</f>
        <v>6</v>
      </c>
      <c r="L784" s="7" t="str">
        <f>IF(RawData!L784="","No Coupon",RawData!L784)</f>
        <v>SAVE10</v>
      </c>
      <c r="M784" s="7" t="str">
        <f>RawData!M784</f>
        <v>Referral</v>
      </c>
      <c r="N784" s="7">
        <f>RawData!N784</f>
        <v>987.26</v>
      </c>
    </row>
    <row r="785" spans="1:14" x14ac:dyDescent="0.3">
      <c r="A785" s="7" t="str">
        <f>RawData!A785</f>
        <v>ORD200783</v>
      </c>
      <c r="B785" s="11">
        <f>RawData!B785</f>
        <v>45803</v>
      </c>
      <c r="C785" s="7" t="str">
        <f>RawData!C785</f>
        <v>C19937</v>
      </c>
      <c r="D785" s="7" t="str">
        <f>RawData!D785</f>
        <v>Printer</v>
      </c>
      <c r="E785" s="7">
        <f>RawData!E785</f>
        <v>1</v>
      </c>
      <c r="F785" s="7">
        <f>RawData!F785</f>
        <v>438.34</v>
      </c>
      <c r="G785" s="7" t="str">
        <f>RawData!G785</f>
        <v>281 Main St</v>
      </c>
      <c r="H785" s="7" t="str">
        <f>RawData!H785</f>
        <v>Gift Card</v>
      </c>
      <c r="I785" s="7" t="str">
        <f>RawData!I785</f>
        <v>Returned</v>
      </c>
      <c r="J785" s="7" t="str">
        <f>RawData!J785</f>
        <v>TRK46990083</v>
      </c>
      <c r="K785" s="7">
        <f>RawData!K785</f>
        <v>5</v>
      </c>
      <c r="L785" s="7" t="str">
        <f>IF(RawData!L785="","No Coupon",RawData!L785)</f>
        <v>FREESHIP</v>
      </c>
      <c r="M785" s="7" t="str">
        <f>RawData!M785</f>
        <v>Facebook</v>
      </c>
      <c r="N785" s="7">
        <f>RawData!N785</f>
        <v>438.34</v>
      </c>
    </row>
    <row r="786" spans="1:14" x14ac:dyDescent="0.3">
      <c r="A786" s="7" t="str">
        <f>RawData!A786</f>
        <v>ORD200784</v>
      </c>
      <c r="B786" s="11">
        <f>RawData!B786</f>
        <v>45793</v>
      </c>
      <c r="C786" s="7" t="str">
        <f>RawData!C786</f>
        <v>C21191</v>
      </c>
      <c r="D786" s="7" t="str">
        <f>RawData!D786</f>
        <v>Laptop</v>
      </c>
      <c r="E786" s="7">
        <f>RawData!E786</f>
        <v>1</v>
      </c>
      <c r="F786" s="7">
        <f>RawData!F786</f>
        <v>325.81</v>
      </c>
      <c r="G786" s="7" t="str">
        <f>RawData!G786</f>
        <v>232 Main St</v>
      </c>
      <c r="H786" s="7" t="str">
        <f>RawData!H786</f>
        <v>Credit Card</v>
      </c>
      <c r="I786" s="7" t="str">
        <f>RawData!I786</f>
        <v>Pending</v>
      </c>
      <c r="J786" s="7" t="str">
        <f>RawData!J786</f>
        <v>TRK85771230</v>
      </c>
      <c r="K786" s="7">
        <f>RawData!K786</f>
        <v>1</v>
      </c>
      <c r="L786" s="7" t="str">
        <f>IF(RawData!L786="","No Coupon",RawData!L786)</f>
        <v>WINTER15</v>
      </c>
      <c r="M786" s="7" t="str">
        <f>RawData!M786</f>
        <v>Referral</v>
      </c>
      <c r="N786" s="7">
        <f>RawData!N786</f>
        <v>325.81</v>
      </c>
    </row>
    <row r="787" spans="1:14" x14ac:dyDescent="0.3">
      <c r="A787" s="7" t="str">
        <f>RawData!A787</f>
        <v>ORD200785</v>
      </c>
      <c r="B787" s="11">
        <f>RawData!B787</f>
        <v>45136</v>
      </c>
      <c r="C787" s="7" t="str">
        <f>RawData!C787</f>
        <v>C45862</v>
      </c>
      <c r="D787" s="7" t="str">
        <f>RawData!D787</f>
        <v>Chair</v>
      </c>
      <c r="E787" s="7">
        <f>RawData!E787</f>
        <v>1</v>
      </c>
      <c r="F787" s="7">
        <f>RawData!F787</f>
        <v>176.1</v>
      </c>
      <c r="G787" s="7" t="str">
        <f>RawData!G787</f>
        <v>342 Main St</v>
      </c>
      <c r="H787" s="7" t="str">
        <f>RawData!H787</f>
        <v>Credit Card</v>
      </c>
      <c r="I787" s="7" t="str">
        <f>RawData!I787</f>
        <v>Pending</v>
      </c>
      <c r="J787" s="7" t="str">
        <f>RawData!J787</f>
        <v>TRK53089983</v>
      </c>
      <c r="K787" s="7">
        <f>RawData!K787</f>
        <v>1</v>
      </c>
      <c r="L787" s="7" t="str">
        <f>IF(RawData!L787="","No Coupon",RawData!L787)</f>
        <v>SAVE10</v>
      </c>
      <c r="M787" s="7" t="str">
        <f>RawData!M787</f>
        <v>Instagram</v>
      </c>
      <c r="N787" s="7">
        <f>RawData!N787</f>
        <v>176.1</v>
      </c>
    </row>
    <row r="788" spans="1:14" x14ac:dyDescent="0.3">
      <c r="A788" s="7" t="str">
        <f>RawData!A788</f>
        <v>ORD200786</v>
      </c>
      <c r="B788" s="11">
        <f>RawData!B788</f>
        <v>45161</v>
      </c>
      <c r="C788" s="7" t="str">
        <f>RawData!C788</f>
        <v>C39130</v>
      </c>
      <c r="D788" s="7" t="str">
        <f>RawData!D788</f>
        <v>Chair</v>
      </c>
      <c r="E788" s="7">
        <f>RawData!E788</f>
        <v>5</v>
      </c>
      <c r="F788" s="7">
        <f>RawData!F788</f>
        <v>45.31</v>
      </c>
      <c r="G788" s="7" t="str">
        <f>RawData!G788</f>
        <v>774 Main St</v>
      </c>
      <c r="H788" s="7" t="str">
        <f>RawData!H788</f>
        <v>Online</v>
      </c>
      <c r="I788" s="7" t="str">
        <f>RawData!I788</f>
        <v>Cancelled</v>
      </c>
      <c r="J788" s="7" t="str">
        <f>RawData!J788</f>
        <v>TRK99583414</v>
      </c>
      <c r="K788" s="7">
        <f>RawData!K788</f>
        <v>8</v>
      </c>
      <c r="L788" s="7" t="str">
        <f>IF(RawData!L788="","No Coupon",RawData!L788)</f>
        <v>No Coupon</v>
      </c>
      <c r="M788" s="7" t="str">
        <f>RawData!M788</f>
        <v>Referral</v>
      </c>
      <c r="N788" s="7">
        <f>RawData!N788</f>
        <v>226.55</v>
      </c>
    </row>
    <row r="789" spans="1:14" x14ac:dyDescent="0.3">
      <c r="A789" s="7" t="str">
        <f>RawData!A789</f>
        <v>ORD200787</v>
      </c>
      <c r="B789" s="11">
        <f>RawData!B789</f>
        <v>45368</v>
      </c>
      <c r="C789" s="7" t="str">
        <f>RawData!C789</f>
        <v>C18167</v>
      </c>
      <c r="D789" s="7" t="str">
        <f>RawData!D789</f>
        <v>Desk</v>
      </c>
      <c r="E789" s="7">
        <f>RawData!E789</f>
        <v>4</v>
      </c>
      <c r="F789" s="7">
        <f>RawData!F789</f>
        <v>221.96</v>
      </c>
      <c r="G789" s="7" t="str">
        <f>RawData!G789</f>
        <v>193 Main St</v>
      </c>
      <c r="H789" s="7" t="str">
        <f>RawData!H789</f>
        <v>Cash</v>
      </c>
      <c r="I789" s="7" t="str">
        <f>RawData!I789</f>
        <v>Delivered</v>
      </c>
      <c r="J789" s="7" t="str">
        <f>RawData!J789</f>
        <v>TRK36841089</v>
      </c>
      <c r="K789" s="7">
        <f>RawData!K789</f>
        <v>7</v>
      </c>
      <c r="L789" s="7" t="str">
        <f>IF(RawData!L789="","No Coupon",RawData!L789)</f>
        <v>No Coupon</v>
      </c>
      <c r="M789" s="7" t="str">
        <f>RawData!M789</f>
        <v>Google</v>
      </c>
      <c r="N789" s="7">
        <f>RawData!N789</f>
        <v>887.84</v>
      </c>
    </row>
    <row r="790" spans="1:14" x14ac:dyDescent="0.3">
      <c r="A790" s="7" t="str">
        <f>RawData!A790</f>
        <v>ORD200788</v>
      </c>
      <c r="B790" s="11">
        <f>RawData!B790</f>
        <v>45232</v>
      </c>
      <c r="C790" s="7" t="str">
        <f>RawData!C790</f>
        <v>C47307</v>
      </c>
      <c r="D790" s="7" t="str">
        <f>RawData!D790</f>
        <v>Chair</v>
      </c>
      <c r="E790" s="7">
        <f>RawData!E790</f>
        <v>2</v>
      </c>
      <c r="F790" s="7">
        <f>RawData!F790</f>
        <v>601.42999999999995</v>
      </c>
      <c r="G790" s="7" t="str">
        <f>RawData!G790</f>
        <v>761 Main St</v>
      </c>
      <c r="H790" s="7" t="str">
        <f>RawData!H790</f>
        <v>Online</v>
      </c>
      <c r="I790" s="7" t="str">
        <f>RawData!I790</f>
        <v>Pending</v>
      </c>
      <c r="J790" s="7" t="str">
        <f>RawData!J790</f>
        <v>TRK43516112</v>
      </c>
      <c r="K790" s="7">
        <f>RawData!K790</f>
        <v>5</v>
      </c>
      <c r="L790" s="7" t="str">
        <f>IF(RawData!L790="","No Coupon",RawData!L790)</f>
        <v>FREESHIP</v>
      </c>
      <c r="M790" s="7" t="str">
        <f>RawData!M790</f>
        <v>Instagram</v>
      </c>
      <c r="N790" s="7">
        <f>RawData!N790</f>
        <v>1202.8599999999999</v>
      </c>
    </row>
    <row r="791" spans="1:14" x14ac:dyDescent="0.3">
      <c r="A791" s="7" t="str">
        <f>RawData!A791</f>
        <v>ORD200789</v>
      </c>
      <c r="B791" s="11">
        <f>RawData!B791</f>
        <v>45155</v>
      </c>
      <c r="C791" s="7" t="str">
        <f>RawData!C791</f>
        <v>C57276</v>
      </c>
      <c r="D791" s="7" t="str">
        <f>RawData!D791</f>
        <v>Tablet</v>
      </c>
      <c r="E791" s="7">
        <f>RawData!E791</f>
        <v>5</v>
      </c>
      <c r="F791" s="7">
        <f>RawData!F791</f>
        <v>691.28</v>
      </c>
      <c r="G791" s="7" t="str">
        <f>RawData!G791</f>
        <v>183 Main St</v>
      </c>
      <c r="H791" s="7" t="str">
        <f>RawData!H791</f>
        <v>Online</v>
      </c>
      <c r="I791" s="7" t="str">
        <f>RawData!I791</f>
        <v>Delivered</v>
      </c>
      <c r="J791" s="7" t="str">
        <f>RawData!J791</f>
        <v>TRK75899752</v>
      </c>
      <c r="K791" s="7">
        <f>RawData!K791</f>
        <v>10</v>
      </c>
      <c r="L791" s="7" t="str">
        <f>IF(RawData!L791="","No Coupon",RawData!L791)</f>
        <v>SAVE10</v>
      </c>
      <c r="M791" s="7" t="str">
        <f>RawData!M791</f>
        <v>Email</v>
      </c>
      <c r="N791" s="7">
        <f>RawData!N791</f>
        <v>3456.4</v>
      </c>
    </row>
    <row r="792" spans="1:14" x14ac:dyDescent="0.3">
      <c r="A792" s="7" t="str">
        <f>RawData!A792</f>
        <v>ORD200790</v>
      </c>
      <c r="B792" s="11">
        <f>RawData!B792</f>
        <v>45549</v>
      </c>
      <c r="C792" s="7" t="str">
        <f>RawData!C792</f>
        <v>C38928</v>
      </c>
      <c r="D792" s="7" t="str">
        <f>RawData!D792</f>
        <v>Laptop</v>
      </c>
      <c r="E792" s="7">
        <f>RawData!E792</f>
        <v>4</v>
      </c>
      <c r="F792" s="7">
        <f>RawData!F792</f>
        <v>417.89</v>
      </c>
      <c r="G792" s="7" t="str">
        <f>RawData!G792</f>
        <v>302 Main St</v>
      </c>
      <c r="H792" s="7" t="str">
        <f>RawData!H792</f>
        <v>Gift Card</v>
      </c>
      <c r="I792" s="7" t="str">
        <f>RawData!I792</f>
        <v>Pending</v>
      </c>
      <c r="J792" s="7" t="str">
        <f>RawData!J792</f>
        <v>TRK96636009</v>
      </c>
      <c r="K792" s="7">
        <f>RawData!K792</f>
        <v>4</v>
      </c>
      <c r="L792" s="7" t="str">
        <f>IF(RawData!L792="","No Coupon",RawData!L792)</f>
        <v>No Coupon</v>
      </c>
      <c r="M792" s="7" t="str">
        <f>RawData!M792</f>
        <v>Google</v>
      </c>
      <c r="N792" s="7">
        <f>RawData!N792</f>
        <v>1671.56</v>
      </c>
    </row>
    <row r="793" spans="1:14" x14ac:dyDescent="0.3">
      <c r="A793" s="7" t="str">
        <f>RawData!A793</f>
        <v>ORD200791</v>
      </c>
      <c r="B793" s="11">
        <f>RawData!B793</f>
        <v>45304</v>
      </c>
      <c r="C793" s="7" t="str">
        <f>RawData!C793</f>
        <v>C49710</v>
      </c>
      <c r="D793" s="7" t="str">
        <f>RawData!D793</f>
        <v>Chair</v>
      </c>
      <c r="E793" s="7">
        <f>RawData!E793</f>
        <v>4</v>
      </c>
      <c r="F793" s="7">
        <f>RawData!F793</f>
        <v>409.28</v>
      </c>
      <c r="G793" s="7" t="str">
        <f>RawData!G793</f>
        <v>956 Main St</v>
      </c>
      <c r="H793" s="7" t="str">
        <f>RawData!H793</f>
        <v>Cash</v>
      </c>
      <c r="I793" s="7" t="str">
        <f>RawData!I793</f>
        <v>Pending</v>
      </c>
      <c r="J793" s="7" t="str">
        <f>RawData!J793</f>
        <v>TRK92591237</v>
      </c>
      <c r="K793" s="7">
        <f>RawData!K793</f>
        <v>8</v>
      </c>
      <c r="L793" s="7" t="str">
        <f>IF(RawData!L793="","No Coupon",RawData!L793)</f>
        <v>No Coupon</v>
      </c>
      <c r="M793" s="7" t="str">
        <f>RawData!M793</f>
        <v>Email</v>
      </c>
      <c r="N793" s="7">
        <f>RawData!N793</f>
        <v>1637.12</v>
      </c>
    </row>
    <row r="794" spans="1:14" x14ac:dyDescent="0.3">
      <c r="A794" s="7" t="str">
        <f>RawData!A794</f>
        <v>ORD200792</v>
      </c>
      <c r="B794" s="11">
        <f>RawData!B794</f>
        <v>45093</v>
      </c>
      <c r="C794" s="7" t="str">
        <f>RawData!C794</f>
        <v>C41709</v>
      </c>
      <c r="D794" s="7" t="str">
        <f>RawData!D794</f>
        <v>Desk</v>
      </c>
      <c r="E794" s="7">
        <f>RawData!E794</f>
        <v>2</v>
      </c>
      <c r="F794" s="7">
        <f>RawData!F794</f>
        <v>356.35</v>
      </c>
      <c r="G794" s="7" t="str">
        <f>RawData!G794</f>
        <v>746 Main St</v>
      </c>
      <c r="H794" s="7" t="str">
        <f>RawData!H794</f>
        <v>Debit Card</v>
      </c>
      <c r="I794" s="7" t="str">
        <f>RawData!I794</f>
        <v>Returned</v>
      </c>
      <c r="J794" s="7" t="str">
        <f>RawData!J794</f>
        <v>TRK90995294</v>
      </c>
      <c r="K794" s="7">
        <f>RawData!K794</f>
        <v>6</v>
      </c>
      <c r="L794" s="7" t="str">
        <f>IF(RawData!L794="","No Coupon",RawData!L794)</f>
        <v>WINTER15</v>
      </c>
      <c r="M794" s="7" t="str">
        <f>RawData!M794</f>
        <v>Facebook</v>
      </c>
      <c r="N794" s="7">
        <f>RawData!N794</f>
        <v>712.7</v>
      </c>
    </row>
    <row r="795" spans="1:14" x14ac:dyDescent="0.3">
      <c r="A795" s="7" t="str">
        <f>RawData!A795</f>
        <v>ORD200793</v>
      </c>
      <c r="B795" s="11">
        <f>RawData!B795</f>
        <v>45397</v>
      </c>
      <c r="C795" s="7" t="str">
        <f>RawData!C795</f>
        <v>C91255</v>
      </c>
      <c r="D795" s="7" t="str">
        <f>RawData!D795</f>
        <v>Chair</v>
      </c>
      <c r="E795" s="7">
        <f>RawData!E795</f>
        <v>5</v>
      </c>
      <c r="F795" s="7">
        <f>RawData!F795</f>
        <v>170.22</v>
      </c>
      <c r="G795" s="7" t="str">
        <f>RawData!G795</f>
        <v>769 Main St</v>
      </c>
      <c r="H795" s="7" t="str">
        <f>RawData!H795</f>
        <v>Debit Card</v>
      </c>
      <c r="I795" s="7" t="str">
        <f>RawData!I795</f>
        <v>Delivered</v>
      </c>
      <c r="J795" s="7" t="str">
        <f>RawData!J795</f>
        <v>TRK69599961</v>
      </c>
      <c r="K795" s="7">
        <f>RawData!K795</f>
        <v>8</v>
      </c>
      <c r="L795" s="7" t="str">
        <f>IF(RawData!L795="","No Coupon",RawData!L795)</f>
        <v>No Coupon</v>
      </c>
      <c r="M795" s="7" t="str">
        <f>RawData!M795</f>
        <v>Referral</v>
      </c>
      <c r="N795" s="7">
        <f>RawData!N795</f>
        <v>851.1</v>
      </c>
    </row>
    <row r="796" spans="1:14" x14ac:dyDescent="0.3">
      <c r="A796" s="7" t="str">
        <f>RawData!A796</f>
        <v>ORD200794</v>
      </c>
      <c r="B796" s="11">
        <f>RawData!B796</f>
        <v>44994</v>
      </c>
      <c r="C796" s="7" t="str">
        <f>RawData!C796</f>
        <v>C76653</v>
      </c>
      <c r="D796" s="7" t="str">
        <f>RawData!D796</f>
        <v>Printer</v>
      </c>
      <c r="E796" s="7">
        <f>RawData!E796</f>
        <v>4</v>
      </c>
      <c r="F796" s="7">
        <f>RawData!F796</f>
        <v>384.85</v>
      </c>
      <c r="G796" s="7" t="str">
        <f>RawData!G796</f>
        <v>988 Main St</v>
      </c>
      <c r="H796" s="7" t="str">
        <f>RawData!H796</f>
        <v>Online</v>
      </c>
      <c r="I796" s="7" t="str">
        <f>RawData!I796</f>
        <v>Delivered</v>
      </c>
      <c r="J796" s="7" t="str">
        <f>RawData!J796</f>
        <v>TRK77052196</v>
      </c>
      <c r="K796" s="7">
        <f>RawData!K796</f>
        <v>9</v>
      </c>
      <c r="L796" s="7" t="str">
        <f>IF(RawData!L796="","No Coupon",RawData!L796)</f>
        <v>FREESHIP</v>
      </c>
      <c r="M796" s="7" t="str">
        <f>RawData!M796</f>
        <v>Instagram</v>
      </c>
      <c r="N796" s="7">
        <f>RawData!N796</f>
        <v>1539.4</v>
      </c>
    </row>
    <row r="797" spans="1:14" x14ac:dyDescent="0.3">
      <c r="A797" s="7" t="str">
        <f>RawData!A797</f>
        <v>ORD200795</v>
      </c>
      <c r="B797" s="11">
        <f>RawData!B797</f>
        <v>45616</v>
      </c>
      <c r="C797" s="7" t="str">
        <f>RawData!C797</f>
        <v>C95667</v>
      </c>
      <c r="D797" s="7" t="str">
        <f>RawData!D797</f>
        <v>Laptop</v>
      </c>
      <c r="E797" s="7">
        <f>RawData!E797</f>
        <v>4</v>
      </c>
      <c r="F797" s="7">
        <f>RawData!F797</f>
        <v>115.77</v>
      </c>
      <c r="G797" s="7" t="str">
        <f>RawData!G797</f>
        <v>586 Main St</v>
      </c>
      <c r="H797" s="7" t="str">
        <f>RawData!H797</f>
        <v>Online</v>
      </c>
      <c r="I797" s="7" t="str">
        <f>RawData!I797</f>
        <v>Pending</v>
      </c>
      <c r="J797" s="7" t="str">
        <f>RawData!J797</f>
        <v>TRK41266666</v>
      </c>
      <c r="K797" s="7">
        <f>RawData!K797</f>
        <v>7</v>
      </c>
      <c r="L797" s="7" t="str">
        <f>IF(RawData!L797="","No Coupon",RawData!L797)</f>
        <v>SAVE10</v>
      </c>
      <c r="M797" s="7" t="str">
        <f>RawData!M797</f>
        <v>Instagram</v>
      </c>
      <c r="N797" s="7">
        <f>RawData!N797</f>
        <v>463.08</v>
      </c>
    </row>
    <row r="798" spans="1:14" x14ac:dyDescent="0.3">
      <c r="A798" s="7" t="str">
        <f>RawData!A798</f>
        <v>ORD200796</v>
      </c>
      <c r="B798" s="11">
        <f>RawData!B798</f>
        <v>45776</v>
      </c>
      <c r="C798" s="7" t="str">
        <f>RawData!C798</f>
        <v>C33313</v>
      </c>
      <c r="D798" s="7" t="str">
        <f>RawData!D798</f>
        <v>Phone</v>
      </c>
      <c r="E798" s="7">
        <f>RawData!E798</f>
        <v>3</v>
      </c>
      <c r="F798" s="7">
        <f>RawData!F798</f>
        <v>579.54999999999995</v>
      </c>
      <c r="G798" s="7" t="str">
        <f>RawData!G798</f>
        <v>882 Main St</v>
      </c>
      <c r="H798" s="7" t="str">
        <f>RawData!H798</f>
        <v>Gift Card</v>
      </c>
      <c r="I798" s="7" t="str">
        <f>RawData!I798</f>
        <v>Returned</v>
      </c>
      <c r="J798" s="7" t="str">
        <f>RawData!J798</f>
        <v>TRK13349970</v>
      </c>
      <c r="K798" s="7">
        <f>RawData!K798</f>
        <v>8</v>
      </c>
      <c r="L798" s="7" t="str">
        <f>IF(RawData!L798="","No Coupon",RawData!L798)</f>
        <v>WINTER15</v>
      </c>
      <c r="M798" s="7" t="str">
        <f>RawData!M798</f>
        <v>Facebook</v>
      </c>
      <c r="N798" s="7">
        <f>RawData!N798</f>
        <v>1738.65</v>
      </c>
    </row>
    <row r="799" spans="1:14" x14ac:dyDescent="0.3">
      <c r="A799" s="7" t="str">
        <f>RawData!A799</f>
        <v>ORD200797</v>
      </c>
      <c r="B799" s="11">
        <f>RawData!B799</f>
        <v>44984</v>
      </c>
      <c r="C799" s="7" t="str">
        <f>RawData!C799</f>
        <v>C36825</v>
      </c>
      <c r="D799" s="7" t="str">
        <f>RawData!D799</f>
        <v>Laptop</v>
      </c>
      <c r="E799" s="7">
        <f>RawData!E799</f>
        <v>2</v>
      </c>
      <c r="F799" s="7">
        <f>RawData!F799</f>
        <v>438.76</v>
      </c>
      <c r="G799" s="7" t="str">
        <f>RawData!G799</f>
        <v>426 Main St</v>
      </c>
      <c r="H799" s="7" t="str">
        <f>RawData!H799</f>
        <v>Debit Card</v>
      </c>
      <c r="I799" s="7" t="str">
        <f>RawData!I799</f>
        <v>Returned</v>
      </c>
      <c r="J799" s="7" t="str">
        <f>RawData!J799</f>
        <v>TRK72557318</v>
      </c>
      <c r="K799" s="7">
        <f>RawData!K799</f>
        <v>2</v>
      </c>
      <c r="L799" s="7" t="str">
        <f>IF(RawData!L799="","No Coupon",RawData!L799)</f>
        <v>No Coupon</v>
      </c>
      <c r="M799" s="7" t="str">
        <f>RawData!M799</f>
        <v>Facebook</v>
      </c>
      <c r="N799" s="7">
        <f>RawData!N799</f>
        <v>877.52</v>
      </c>
    </row>
    <row r="800" spans="1:14" x14ac:dyDescent="0.3">
      <c r="A800" s="7" t="str">
        <f>RawData!A800</f>
        <v>ORD200798</v>
      </c>
      <c r="B800" s="11">
        <f>RawData!B800</f>
        <v>45796</v>
      </c>
      <c r="C800" s="7" t="str">
        <f>RawData!C800</f>
        <v>C20861</v>
      </c>
      <c r="D800" s="7" t="str">
        <f>RawData!D800</f>
        <v>Phone</v>
      </c>
      <c r="E800" s="7">
        <f>RawData!E800</f>
        <v>5</v>
      </c>
      <c r="F800" s="7">
        <f>RawData!F800</f>
        <v>488.35</v>
      </c>
      <c r="G800" s="7" t="str">
        <f>RawData!G800</f>
        <v>968 Main St</v>
      </c>
      <c r="H800" s="7" t="str">
        <f>RawData!H800</f>
        <v>Debit Card</v>
      </c>
      <c r="I800" s="7" t="str">
        <f>RawData!I800</f>
        <v>Returned</v>
      </c>
      <c r="J800" s="7" t="str">
        <f>RawData!J800</f>
        <v>TRK89372013</v>
      </c>
      <c r="K800" s="7">
        <f>RawData!K800</f>
        <v>9</v>
      </c>
      <c r="L800" s="7" t="str">
        <f>IF(RawData!L800="","No Coupon",RawData!L800)</f>
        <v>FREESHIP</v>
      </c>
      <c r="M800" s="7" t="str">
        <f>RawData!M800</f>
        <v>Email</v>
      </c>
      <c r="N800" s="7">
        <f>RawData!N800</f>
        <v>2441.75</v>
      </c>
    </row>
    <row r="801" spans="1:14" x14ac:dyDescent="0.3">
      <c r="A801" s="7" t="str">
        <f>RawData!A801</f>
        <v>ORD200799</v>
      </c>
      <c r="B801" s="11">
        <f>RawData!B801</f>
        <v>45032</v>
      </c>
      <c r="C801" s="7" t="str">
        <f>RawData!C801</f>
        <v>C26364</v>
      </c>
      <c r="D801" s="7" t="str">
        <f>RawData!D801</f>
        <v>Laptop</v>
      </c>
      <c r="E801" s="7">
        <f>RawData!E801</f>
        <v>4</v>
      </c>
      <c r="F801" s="7">
        <f>RawData!F801</f>
        <v>328.56</v>
      </c>
      <c r="G801" s="7" t="str">
        <f>RawData!G801</f>
        <v>803 Main St</v>
      </c>
      <c r="H801" s="7" t="str">
        <f>RawData!H801</f>
        <v>Debit Card</v>
      </c>
      <c r="I801" s="7" t="str">
        <f>RawData!I801</f>
        <v>Returned</v>
      </c>
      <c r="J801" s="7" t="str">
        <f>RawData!J801</f>
        <v>TRK78924436</v>
      </c>
      <c r="K801" s="7">
        <f>RawData!K801</f>
        <v>4</v>
      </c>
      <c r="L801" s="7" t="str">
        <f>IF(RawData!L801="","No Coupon",RawData!L801)</f>
        <v>FREESHIP</v>
      </c>
      <c r="M801" s="7" t="str">
        <f>RawData!M801</f>
        <v>Email</v>
      </c>
      <c r="N801" s="7">
        <f>RawData!N801</f>
        <v>1314.24</v>
      </c>
    </row>
    <row r="802" spans="1:14" x14ac:dyDescent="0.3">
      <c r="A802" s="7" t="str">
        <f>RawData!A802</f>
        <v>ORD200800</v>
      </c>
      <c r="B802" s="11">
        <f>RawData!B802</f>
        <v>45744</v>
      </c>
      <c r="C802" s="7" t="str">
        <f>RawData!C802</f>
        <v>C34686</v>
      </c>
      <c r="D802" s="7" t="str">
        <f>RawData!D802</f>
        <v>Tablet</v>
      </c>
      <c r="E802" s="7">
        <f>RawData!E802</f>
        <v>1</v>
      </c>
      <c r="F802" s="7">
        <f>RawData!F802</f>
        <v>68.39</v>
      </c>
      <c r="G802" s="7" t="str">
        <f>RawData!G802</f>
        <v>412 Main St</v>
      </c>
      <c r="H802" s="7" t="str">
        <f>RawData!H802</f>
        <v>Online</v>
      </c>
      <c r="I802" s="7" t="str">
        <f>RawData!I802</f>
        <v>Returned</v>
      </c>
      <c r="J802" s="7" t="str">
        <f>RawData!J802</f>
        <v>TRK99468332</v>
      </c>
      <c r="K802" s="7">
        <f>RawData!K802</f>
        <v>3</v>
      </c>
      <c r="L802" s="7" t="str">
        <f>IF(RawData!L802="","No Coupon",RawData!L802)</f>
        <v>WINTER15</v>
      </c>
      <c r="M802" s="7" t="str">
        <f>RawData!M802</f>
        <v>Facebook</v>
      </c>
      <c r="N802" s="7">
        <f>RawData!N802</f>
        <v>68.39</v>
      </c>
    </row>
    <row r="803" spans="1:14" x14ac:dyDescent="0.3">
      <c r="A803" s="7" t="str">
        <f>RawData!A803</f>
        <v>ORD200801</v>
      </c>
      <c r="B803" s="11">
        <f>RawData!B803</f>
        <v>45049</v>
      </c>
      <c r="C803" s="7" t="str">
        <f>RawData!C803</f>
        <v>C97593</v>
      </c>
      <c r="D803" s="7" t="str">
        <f>RawData!D803</f>
        <v>Printer</v>
      </c>
      <c r="E803" s="7">
        <f>RawData!E803</f>
        <v>4</v>
      </c>
      <c r="F803" s="7">
        <f>RawData!F803</f>
        <v>595.62</v>
      </c>
      <c r="G803" s="7" t="str">
        <f>RawData!G803</f>
        <v>738 Main St</v>
      </c>
      <c r="H803" s="7" t="str">
        <f>RawData!H803</f>
        <v>Debit Card</v>
      </c>
      <c r="I803" s="7" t="str">
        <f>RawData!I803</f>
        <v>Pending</v>
      </c>
      <c r="J803" s="7" t="str">
        <f>RawData!J803</f>
        <v>TRK58443593</v>
      </c>
      <c r="K803" s="7">
        <f>RawData!K803</f>
        <v>8</v>
      </c>
      <c r="L803" s="7" t="str">
        <f>IF(RawData!L803="","No Coupon",RawData!L803)</f>
        <v>FREESHIP</v>
      </c>
      <c r="M803" s="7" t="str">
        <f>RawData!M803</f>
        <v>Facebook</v>
      </c>
      <c r="N803" s="7">
        <f>RawData!N803</f>
        <v>2382.48</v>
      </c>
    </row>
    <row r="804" spans="1:14" x14ac:dyDescent="0.3">
      <c r="A804" s="7" t="str">
        <f>RawData!A804</f>
        <v>ORD200802</v>
      </c>
      <c r="B804" s="11">
        <f>RawData!B804</f>
        <v>45339</v>
      </c>
      <c r="C804" s="7" t="str">
        <f>RawData!C804</f>
        <v>C84331</v>
      </c>
      <c r="D804" s="7" t="str">
        <f>RawData!D804</f>
        <v>Chair</v>
      </c>
      <c r="E804" s="7">
        <f>RawData!E804</f>
        <v>5</v>
      </c>
      <c r="F804" s="7">
        <f>RawData!F804</f>
        <v>644.64</v>
      </c>
      <c r="G804" s="7" t="str">
        <f>RawData!G804</f>
        <v>205 Main St</v>
      </c>
      <c r="H804" s="7" t="str">
        <f>RawData!H804</f>
        <v>Gift Card</v>
      </c>
      <c r="I804" s="7" t="str">
        <f>RawData!I804</f>
        <v>Cancelled</v>
      </c>
      <c r="J804" s="7" t="str">
        <f>RawData!J804</f>
        <v>TRK34440714</v>
      </c>
      <c r="K804" s="7">
        <f>RawData!K804</f>
        <v>6</v>
      </c>
      <c r="L804" s="7" t="str">
        <f>IF(RawData!L804="","No Coupon",RawData!L804)</f>
        <v>FREESHIP</v>
      </c>
      <c r="M804" s="7" t="str">
        <f>RawData!M804</f>
        <v>Email</v>
      </c>
      <c r="N804" s="7">
        <f>RawData!N804</f>
        <v>3223.2</v>
      </c>
    </row>
    <row r="805" spans="1:14" x14ac:dyDescent="0.3">
      <c r="A805" s="7" t="str">
        <f>RawData!A805</f>
        <v>ORD200803</v>
      </c>
      <c r="B805" s="11">
        <f>RawData!B805</f>
        <v>45158</v>
      </c>
      <c r="C805" s="7" t="str">
        <f>RawData!C805</f>
        <v>C88775</v>
      </c>
      <c r="D805" s="7" t="str">
        <f>RawData!D805</f>
        <v>Monitor</v>
      </c>
      <c r="E805" s="7">
        <f>RawData!E805</f>
        <v>5</v>
      </c>
      <c r="F805" s="7">
        <f>RawData!F805</f>
        <v>397.81</v>
      </c>
      <c r="G805" s="7" t="str">
        <f>RawData!G805</f>
        <v>223 Main St</v>
      </c>
      <c r="H805" s="7" t="str">
        <f>RawData!H805</f>
        <v>Debit Card</v>
      </c>
      <c r="I805" s="7" t="str">
        <f>RawData!I805</f>
        <v>Returned</v>
      </c>
      <c r="J805" s="7" t="str">
        <f>RawData!J805</f>
        <v>TRK45098068</v>
      </c>
      <c r="K805" s="7">
        <f>RawData!K805</f>
        <v>5</v>
      </c>
      <c r="L805" s="7" t="str">
        <f>IF(RawData!L805="","No Coupon",RawData!L805)</f>
        <v>SAVE10</v>
      </c>
      <c r="M805" s="7" t="str">
        <f>RawData!M805</f>
        <v>Referral</v>
      </c>
      <c r="N805" s="7">
        <f>RawData!N805</f>
        <v>1989.05</v>
      </c>
    </row>
    <row r="806" spans="1:14" x14ac:dyDescent="0.3">
      <c r="A806" s="7" t="str">
        <f>RawData!A806</f>
        <v>ORD200804</v>
      </c>
      <c r="B806" s="11">
        <f>RawData!B806</f>
        <v>45292</v>
      </c>
      <c r="C806" s="7" t="str">
        <f>RawData!C806</f>
        <v>C76362</v>
      </c>
      <c r="D806" s="7" t="str">
        <f>RawData!D806</f>
        <v>Chair</v>
      </c>
      <c r="E806" s="7">
        <f>RawData!E806</f>
        <v>3</v>
      </c>
      <c r="F806" s="7">
        <f>RawData!F806</f>
        <v>236.5</v>
      </c>
      <c r="G806" s="7" t="str">
        <f>RawData!G806</f>
        <v>916 Main St</v>
      </c>
      <c r="H806" s="7" t="str">
        <f>RawData!H806</f>
        <v>Online</v>
      </c>
      <c r="I806" s="7" t="str">
        <f>RawData!I806</f>
        <v>Delivered</v>
      </c>
      <c r="J806" s="7" t="str">
        <f>RawData!J806</f>
        <v>TRK11868618</v>
      </c>
      <c r="K806" s="7">
        <f>RawData!K806</f>
        <v>8</v>
      </c>
      <c r="L806" s="7" t="str">
        <f>IF(RawData!L806="","No Coupon",RawData!L806)</f>
        <v>FREESHIP</v>
      </c>
      <c r="M806" s="7" t="str">
        <f>RawData!M806</f>
        <v>Email</v>
      </c>
      <c r="N806" s="7">
        <f>RawData!N806</f>
        <v>709.5</v>
      </c>
    </row>
    <row r="807" spans="1:14" x14ac:dyDescent="0.3">
      <c r="A807" s="7" t="str">
        <f>RawData!A807</f>
        <v>ORD200805</v>
      </c>
      <c r="B807" s="11">
        <f>RawData!B807</f>
        <v>45580</v>
      </c>
      <c r="C807" s="7" t="str">
        <f>RawData!C807</f>
        <v>C59278</v>
      </c>
      <c r="D807" s="7" t="str">
        <f>RawData!D807</f>
        <v>Laptop</v>
      </c>
      <c r="E807" s="7">
        <f>RawData!E807</f>
        <v>5</v>
      </c>
      <c r="F807" s="7">
        <f>RawData!F807</f>
        <v>472.01</v>
      </c>
      <c r="G807" s="7" t="str">
        <f>RawData!G807</f>
        <v>178 Main St</v>
      </c>
      <c r="H807" s="7" t="str">
        <f>RawData!H807</f>
        <v>Gift Card</v>
      </c>
      <c r="I807" s="7" t="str">
        <f>RawData!I807</f>
        <v>Cancelled</v>
      </c>
      <c r="J807" s="7" t="str">
        <f>RawData!J807</f>
        <v>TRK14590037</v>
      </c>
      <c r="K807" s="7">
        <f>RawData!K807</f>
        <v>10</v>
      </c>
      <c r="L807" s="7" t="str">
        <f>IF(RawData!L807="","No Coupon",RawData!L807)</f>
        <v>SAVE10</v>
      </c>
      <c r="M807" s="7" t="str">
        <f>RawData!M807</f>
        <v>Email</v>
      </c>
      <c r="N807" s="7">
        <f>RawData!N807</f>
        <v>2360.0500000000002</v>
      </c>
    </row>
    <row r="808" spans="1:14" x14ac:dyDescent="0.3">
      <c r="A808" s="7" t="str">
        <f>RawData!A808</f>
        <v>ORD200806</v>
      </c>
      <c r="B808" s="11">
        <f>RawData!B808</f>
        <v>45170</v>
      </c>
      <c r="C808" s="7" t="str">
        <f>RawData!C808</f>
        <v>C55819</v>
      </c>
      <c r="D808" s="7" t="str">
        <f>RawData!D808</f>
        <v>Chair</v>
      </c>
      <c r="E808" s="7">
        <f>RawData!E808</f>
        <v>5</v>
      </c>
      <c r="F808" s="7">
        <f>RawData!F808</f>
        <v>253.75</v>
      </c>
      <c r="G808" s="7" t="str">
        <f>RawData!G808</f>
        <v>740 Main St</v>
      </c>
      <c r="H808" s="7" t="str">
        <f>RawData!H808</f>
        <v>Online</v>
      </c>
      <c r="I808" s="7" t="str">
        <f>RawData!I808</f>
        <v>Pending</v>
      </c>
      <c r="J808" s="7" t="str">
        <f>RawData!J808</f>
        <v>TRK13775054</v>
      </c>
      <c r="K808" s="7">
        <f>RawData!K808</f>
        <v>9</v>
      </c>
      <c r="L808" s="7" t="str">
        <f>IF(RawData!L808="","No Coupon",RawData!L808)</f>
        <v>WINTER15</v>
      </c>
      <c r="M808" s="7" t="str">
        <f>RawData!M808</f>
        <v>Instagram</v>
      </c>
      <c r="N808" s="7">
        <f>RawData!N808</f>
        <v>1268.75</v>
      </c>
    </row>
    <row r="809" spans="1:14" x14ac:dyDescent="0.3">
      <c r="A809" s="7" t="str">
        <f>RawData!A809</f>
        <v>ORD200807</v>
      </c>
      <c r="B809" s="11">
        <f>RawData!B809</f>
        <v>45606</v>
      </c>
      <c r="C809" s="7" t="str">
        <f>RawData!C809</f>
        <v>C82344</v>
      </c>
      <c r="D809" s="7" t="str">
        <f>RawData!D809</f>
        <v>Monitor</v>
      </c>
      <c r="E809" s="7">
        <f>RawData!E809</f>
        <v>3</v>
      </c>
      <c r="F809" s="7">
        <f>RawData!F809</f>
        <v>676.21</v>
      </c>
      <c r="G809" s="7" t="str">
        <f>RawData!G809</f>
        <v>260 Main St</v>
      </c>
      <c r="H809" s="7" t="str">
        <f>RawData!H809</f>
        <v>Online</v>
      </c>
      <c r="I809" s="7" t="str">
        <f>RawData!I809</f>
        <v>Delivered</v>
      </c>
      <c r="J809" s="7" t="str">
        <f>RawData!J809</f>
        <v>TRK70957219</v>
      </c>
      <c r="K809" s="7">
        <f>RawData!K809</f>
        <v>5</v>
      </c>
      <c r="L809" s="7" t="str">
        <f>IF(RawData!L809="","No Coupon",RawData!L809)</f>
        <v>SAVE10</v>
      </c>
      <c r="M809" s="7" t="str">
        <f>RawData!M809</f>
        <v>Google</v>
      </c>
      <c r="N809" s="7">
        <f>RawData!N809</f>
        <v>2028.63</v>
      </c>
    </row>
    <row r="810" spans="1:14" x14ac:dyDescent="0.3">
      <c r="A810" s="7" t="str">
        <f>RawData!A810</f>
        <v>ORD200808</v>
      </c>
      <c r="B810" s="11">
        <f>RawData!B810</f>
        <v>45335</v>
      </c>
      <c r="C810" s="7" t="str">
        <f>RawData!C810</f>
        <v>C65565</v>
      </c>
      <c r="D810" s="7" t="str">
        <f>RawData!D810</f>
        <v>Desk</v>
      </c>
      <c r="E810" s="7">
        <f>RawData!E810</f>
        <v>3</v>
      </c>
      <c r="F810" s="7">
        <f>RawData!F810</f>
        <v>134.05000000000001</v>
      </c>
      <c r="G810" s="7" t="str">
        <f>RawData!G810</f>
        <v>192 Main St</v>
      </c>
      <c r="H810" s="7" t="str">
        <f>RawData!H810</f>
        <v>Credit Card</v>
      </c>
      <c r="I810" s="7" t="str">
        <f>RawData!I810</f>
        <v>Shipped</v>
      </c>
      <c r="J810" s="7" t="str">
        <f>RawData!J810</f>
        <v>TRK80383756</v>
      </c>
      <c r="K810" s="7">
        <f>RawData!K810</f>
        <v>3</v>
      </c>
      <c r="L810" s="7" t="str">
        <f>IF(RawData!L810="","No Coupon",RawData!L810)</f>
        <v>No Coupon</v>
      </c>
      <c r="M810" s="7" t="str">
        <f>RawData!M810</f>
        <v>Google</v>
      </c>
      <c r="N810" s="7">
        <f>RawData!N810</f>
        <v>402.15</v>
      </c>
    </row>
    <row r="811" spans="1:14" x14ac:dyDescent="0.3">
      <c r="A811" s="7" t="str">
        <f>RawData!A811</f>
        <v>ORD200809</v>
      </c>
      <c r="B811" s="11">
        <f>RawData!B811</f>
        <v>45391</v>
      </c>
      <c r="C811" s="7" t="str">
        <f>RawData!C811</f>
        <v>C80416</v>
      </c>
      <c r="D811" s="7" t="str">
        <f>RawData!D811</f>
        <v>Desk</v>
      </c>
      <c r="E811" s="7">
        <f>RawData!E811</f>
        <v>5</v>
      </c>
      <c r="F811" s="7">
        <f>RawData!F811</f>
        <v>217.43</v>
      </c>
      <c r="G811" s="7" t="str">
        <f>RawData!G811</f>
        <v>752 Main St</v>
      </c>
      <c r="H811" s="7" t="str">
        <f>RawData!H811</f>
        <v>Debit Card</v>
      </c>
      <c r="I811" s="7" t="str">
        <f>RawData!I811</f>
        <v>Shipped</v>
      </c>
      <c r="J811" s="7" t="str">
        <f>RawData!J811</f>
        <v>TRK54385892</v>
      </c>
      <c r="K811" s="7">
        <f>RawData!K811</f>
        <v>10</v>
      </c>
      <c r="L811" s="7" t="str">
        <f>IF(RawData!L811="","No Coupon",RawData!L811)</f>
        <v>SAVE10</v>
      </c>
      <c r="M811" s="7" t="str">
        <f>RawData!M811</f>
        <v>Instagram</v>
      </c>
      <c r="N811" s="7">
        <f>RawData!N811</f>
        <v>1087.1500000000001</v>
      </c>
    </row>
    <row r="812" spans="1:14" x14ac:dyDescent="0.3">
      <c r="A812" s="7" t="str">
        <f>RawData!A812</f>
        <v>ORD200810</v>
      </c>
      <c r="B812" s="11">
        <f>RawData!B812</f>
        <v>45077</v>
      </c>
      <c r="C812" s="7" t="str">
        <f>RawData!C812</f>
        <v>C23637</v>
      </c>
      <c r="D812" s="7" t="str">
        <f>RawData!D812</f>
        <v>Tablet</v>
      </c>
      <c r="E812" s="7">
        <f>RawData!E812</f>
        <v>1</v>
      </c>
      <c r="F812" s="7">
        <f>RawData!F812</f>
        <v>553.55999999999995</v>
      </c>
      <c r="G812" s="7" t="str">
        <f>RawData!G812</f>
        <v>644 Main St</v>
      </c>
      <c r="H812" s="7" t="str">
        <f>RawData!H812</f>
        <v>Credit Card</v>
      </c>
      <c r="I812" s="7" t="str">
        <f>RawData!I812</f>
        <v>Cancelled</v>
      </c>
      <c r="J812" s="7" t="str">
        <f>RawData!J812</f>
        <v>TRK16749863</v>
      </c>
      <c r="K812" s="7">
        <f>RawData!K812</f>
        <v>5</v>
      </c>
      <c r="L812" s="7" t="str">
        <f>IF(RawData!L812="","No Coupon",RawData!L812)</f>
        <v>No Coupon</v>
      </c>
      <c r="M812" s="7" t="str">
        <f>RawData!M812</f>
        <v>Referral</v>
      </c>
      <c r="N812" s="7">
        <f>RawData!N812</f>
        <v>553.55999999999995</v>
      </c>
    </row>
    <row r="813" spans="1:14" x14ac:dyDescent="0.3">
      <c r="A813" s="7" t="str">
        <f>RawData!A813</f>
        <v>ORD200811</v>
      </c>
      <c r="B813" s="11">
        <f>RawData!B813</f>
        <v>45235</v>
      </c>
      <c r="C813" s="7" t="str">
        <f>RawData!C813</f>
        <v>C24769</v>
      </c>
      <c r="D813" s="7" t="str">
        <f>RawData!D813</f>
        <v>Laptop</v>
      </c>
      <c r="E813" s="7">
        <f>RawData!E813</f>
        <v>2</v>
      </c>
      <c r="F813" s="7">
        <f>RawData!F813</f>
        <v>28.55</v>
      </c>
      <c r="G813" s="7" t="str">
        <f>RawData!G813</f>
        <v>864 Main St</v>
      </c>
      <c r="H813" s="7" t="str">
        <f>RawData!H813</f>
        <v>Gift Card</v>
      </c>
      <c r="I813" s="7" t="str">
        <f>RawData!I813</f>
        <v>Shipped</v>
      </c>
      <c r="J813" s="7" t="str">
        <f>RawData!J813</f>
        <v>TRK44538305</v>
      </c>
      <c r="K813" s="7">
        <f>RawData!K813</f>
        <v>7</v>
      </c>
      <c r="L813" s="7" t="str">
        <f>IF(RawData!L813="","No Coupon",RawData!L813)</f>
        <v>SAVE10</v>
      </c>
      <c r="M813" s="7" t="str">
        <f>RawData!M813</f>
        <v>Email</v>
      </c>
      <c r="N813" s="7">
        <f>RawData!N813</f>
        <v>57.1</v>
      </c>
    </row>
    <row r="814" spans="1:14" x14ac:dyDescent="0.3">
      <c r="A814" s="7" t="str">
        <f>RawData!A814</f>
        <v>ORD200812</v>
      </c>
      <c r="B814" s="11">
        <f>RawData!B814</f>
        <v>45317</v>
      </c>
      <c r="C814" s="7" t="str">
        <f>RawData!C814</f>
        <v>C81547</v>
      </c>
      <c r="D814" s="7" t="str">
        <f>RawData!D814</f>
        <v>Phone</v>
      </c>
      <c r="E814" s="7">
        <f>RawData!E814</f>
        <v>2</v>
      </c>
      <c r="F814" s="7">
        <f>RawData!F814</f>
        <v>255.26</v>
      </c>
      <c r="G814" s="7" t="str">
        <f>RawData!G814</f>
        <v>803 Main St</v>
      </c>
      <c r="H814" s="7" t="str">
        <f>RawData!H814</f>
        <v>Credit Card</v>
      </c>
      <c r="I814" s="7" t="str">
        <f>RawData!I814</f>
        <v>Cancelled</v>
      </c>
      <c r="J814" s="7" t="str">
        <f>RawData!J814</f>
        <v>TRK88437123</v>
      </c>
      <c r="K814" s="7">
        <f>RawData!K814</f>
        <v>6</v>
      </c>
      <c r="L814" s="7" t="str">
        <f>IF(RawData!L814="","No Coupon",RawData!L814)</f>
        <v>FREESHIP</v>
      </c>
      <c r="M814" s="7" t="str">
        <f>RawData!M814</f>
        <v>Google</v>
      </c>
      <c r="N814" s="7">
        <f>RawData!N814</f>
        <v>510.52</v>
      </c>
    </row>
    <row r="815" spans="1:14" x14ac:dyDescent="0.3">
      <c r="A815" s="7" t="str">
        <f>RawData!A815</f>
        <v>ORD200813</v>
      </c>
      <c r="B815" s="11">
        <f>RawData!B815</f>
        <v>45731</v>
      </c>
      <c r="C815" s="7" t="str">
        <f>RawData!C815</f>
        <v>C12813</v>
      </c>
      <c r="D815" s="7" t="str">
        <f>RawData!D815</f>
        <v>Laptop</v>
      </c>
      <c r="E815" s="7">
        <f>RawData!E815</f>
        <v>5</v>
      </c>
      <c r="F815" s="7">
        <f>RawData!F815</f>
        <v>292.54000000000002</v>
      </c>
      <c r="G815" s="7" t="str">
        <f>RawData!G815</f>
        <v>263 Main St</v>
      </c>
      <c r="H815" s="7" t="str">
        <f>RawData!H815</f>
        <v>Debit Card</v>
      </c>
      <c r="I815" s="7" t="str">
        <f>RawData!I815</f>
        <v>Cancelled</v>
      </c>
      <c r="J815" s="7" t="str">
        <f>RawData!J815</f>
        <v>TRK36131660</v>
      </c>
      <c r="K815" s="7">
        <f>RawData!K815</f>
        <v>8</v>
      </c>
      <c r="L815" s="7" t="str">
        <f>IF(RawData!L815="","No Coupon",RawData!L815)</f>
        <v>FREESHIP</v>
      </c>
      <c r="M815" s="7" t="str">
        <f>RawData!M815</f>
        <v>Email</v>
      </c>
      <c r="N815" s="7">
        <f>RawData!N815</f>
        <v>1462.7</v>
      </c>
    </row>
    <row r="816" spans="1:14" x14ac:dyDescent="0.3">
      <c r="A816" s="7" t="str">
        <f>RawData!A816</f>
        <v>ORD200814</v>
      </c>
      <c r="B816" s="11">
        <f>RawData!B816</f>
        <v>45637</v>
      </c>
      <c r="C816" s="7" t="str">
        <f>RawData!C816</f>
        <v>C50732</v>
      </c>
      <c r="D816" s="7" t="str">
        <f>RawData!D816</f>
        <v>Chair</v>
      </c>
      <c r="E816" s="7">
        <f>RawData!E816</f>
        <v>4</v>
      </c>
      <c r="F816" s="7">
        <f>RawData!F816</f>
        <v>147.51</v>
      </c>
      <c r="G816" s="7" t="str">
        <f>RawData!G816</f>
        <v>979 Main St</v>
      </c>
      <c r="H816" s="7" t="str">
        <f>RawData!H816</f>
        <v>Debit Card</v>
      </c>
      <c r="I816" s="7" t="str">
        <f>RawData!I816</f>
        <v>Pending</v>
      </c>
      <c r="J816" s="7" t="str">
        <f>RawData!J816</f>
        <v>TRK21082461</v>
      </c>
      <c r="K816" s="7">
        <f>RawData!K816</f>
        <v>4</v>
      </c>
      <c r="L816" s="7" t="str">
        <f>IF(RawData!L816="","No Coupon",RawData!L816)</f>
        <v>WINTER15</v>
      </c>
      <c r="M816" s="7" t="str">
        <f>RawData!M816</f>
        <v>Instagram</v>
      </c>
      <c r="N816" s="7">
        <f>RawData!N816</f>
        <v>590.04</v>
      </c>
    </row>
    <row r="817" spans="1:14" x14ac:dyDescent="0.3">
      <c r="A817" s="7" t="str">
        <f>RawData!A817</f>
        <v>ORD200815</v>
      </c>
      <c r="B817" s="11">
        <f>RawData!B817</f>
        <v>45508</v>
      </c>
      <c r="C817" s="7" t="str">
        <f>RawData!C817</f>
        <v>C41320</v>
      </c>
      <c r="D817" s="7" t="str">
        <f>RawData!D817</f>
        <v>Printer</v>
      </c>
      <c r="E817" s="7">
        <f>RawData!E817</f>
        <v>3</v>
      </c>
      <c r="F817" s="7">
        <f>RawData!F817</f>
        <v>569.84</v>
      </c>
      <c r="G817" s="7" t="str">
        <f>RawData!G817</f>
        <v>920 Main St</v>
      </c>
      <c r="H817" s="7" t="str">
        <f>RawData!H817</f>
        <v>Gift Card</v>
      </c>
      <c r="I817" s="7" t="str">
        <f>RawData!I817</f>
        <v>Cancelled</v>
      </c>
      <c r="J817" s="7" t="str">
        <f>RawData!J817</f>
        <v>TRK77539180</v>
      </c>
      <c r="K817" s="7">
        <f>RawData!K817</f>
        <v>8</v>
      </c>
      <c r="L817" s="7" t="str">
        <f>IF(RawData!L817="","No Coupon",RawData!L817)</f>
        <v>WINTER15</v>
      </c>
      <c r="M817" s="7" t="str">
        <f>RawData!M817</f>
        <v>Instagram</v>
      </c>
      <c r="N817" s="7">
        <f>RawData!N817</f>
        <v>1709.52</v>
      </c>
    </row>
    <row r="818" spans="1:14" x14ac:dyDescent="0.3">
      <c r="A818" s="7" t="str">
        <f>RawData!A818</f>
        <v>ORD200816</v>
      </c>
      <c r="B818" s="11">
        <f>RawData!B818</f>
        <v>45343</v>
      </c>
      <c r="C818" s="7" t="str">
        <f>RawData!C818</f>
        <v>C55286</v>
      </c>
      <c r="D818" s="7" t="str">
        <f>RawData!D818</f>
        <v>Tablet</v>
      </c>
      <c r="E818" s="7">
        <f>RawData!E818</f>
        <v>5</v>
      </c>
      <c r="F818" s="7">
        <f>RawData!F818</f>
        <v>574.79</v>
      </c>
      <c r="G818" s="7" t="str">
        <f>RawData!G818</f>
        <v>497 Main St</v>
      </c>
      <c r="H818" s="7" t="str">
        <f>RawData!H818</f>
        <v>Credit Card</v>
      </c>
      <c r="I818" s="7" t="str">
        <f>RawData!I818</f>
        <v>Pending</v>
      </c>
      <c r="J818" s="7" t="str">
        <f>RawData!J818</f>
        <v>TRK39058734</v>
      </c>
      <c r="K818" s="7">
        <f>RawData!K818</f>
        <v>8</v>
      </c>
      <c r="L818" s="7" t="str">
        <f>IF(RawData!L818="","No Coupon",RawData!L818)</f>
        <v>WINTER15</v>
      </c>
      <c r="M818" s="7" t="str">
        <f>RawData!M818</f>
        <v>Referral</v>
      </c>
      <c r="N818" s="7">
        <f>RawData!N818</f>
        <v>2873.95</v>
      </c>
    </row>
    <row r="819" spans="1:14" x14ac:dyDescent="0.3">
      <c r="A819" s="7" t="str">
        <f>RawData!A819</f>
        <v>ORD200817</v>
      </c>
      <c r="B819" s="11">
        <f>RawData!B819</f>
        <v>45204</v>
      </c>
      <c r="C819" s="7" t="str">
        <f>RawData!C819</f>
        <v>C87994</v>
      </c>
      <c r="D819" s="7" t="str">
        <f>RawData!D819</f>
        <v>Chair</v>
      </c>
      <c r="E819" s="7">
        <f>RawData!E819</f>
        <v>4</v>
      </c>
      <c r="F819" s="7">
        <f>RawData!F819</f>
        <v>598.19000000000005</v>
      </c>
      <c r="G819" s="7" t="str">
        <f>RawData!G819</f>
        <v>430 Main St</v>
      </c>
      <c r="H819" s="7" t="str">
        <f>RawData!H819</f>
        <v>Credit Card</v>
      </c>
      <c r="I819" s="7" t="str">
        <f>RawData!I819</f>
        <v>Delivered</v>
      </c>
      <c r="J819" s="7" t="str">
        <f>RawData!J819</f>
        <v>TRK98883971</v>
      </c>
      <c r="K819" s="7">
        <f>RawData!K819</f>
        <v>7</v>
      </c>
      <c r="L819" s="7" t="str">
        <f>IF(RawData!L819="","No Coupon",RawData!L819)</f>
        <v>WINTER15</v>
      </c>
      <c r="M819" s="7" t="str">
        <f>RawData!M819</f>
        <v>Email</v>
      </c>
      <c r="N819" s="7">
        <f>RawData!N819</f>
        <v>2392.7600000000002</v>
      </c>
    </row>
    <row r="820" spans="1:14" x14ac:dyDescent="0.3">
      <c r="A820" s="7" t="str">
        <f>RawData!A820</f>
        <v>ORD200818</v>
      </c>
      <c r="B820" s="11">
        <f>RawData!B820</f>
        <v>44987</v>
      </c>
      <c r="C820" s="7" t="str">
        <f>RawData!C820</f>
        <v>C25580</v>
      </c>
      <c r="D820" s="7" t="str">
        <f>RawData!D820</f>
        <v>Phone</v>
      </c>
      <c r="E820" s="7">
        <f>RawData!E820</f>
        <v>4</v>
      </c>
      <c r="F820" s="7">
        <f>RawData!F820</f>
        <v>390.84</v>
      </c>
      <c r="G820" s="7" t="str">
        <f>RawData!G820</f>
        <v>860 Main St</v>
      </c>
      <c r="H820" s="7" t="str">
        <f>RawData!H820</f>
        <v>Credit Card</v>
      </c>
      <c r="I820" s="7" t="str">
        <f>RawData!I820</f>
        <v>Cancelled</v>
      </c>
      <c r="J820" s="7" t="str">
        <f>RawData!J820</f>
        <v>TRK58781638</v>
      </c>
      <c r="K820" s="7">
        <f>RawData!K820</f>
        <v>9</v>
      </c>
      <c r="L820" s="7" t="str">
        <f>IF(RawData!L820="","No Coupon",RawData!L820)</f>
        <v>WINTER15</v>
      </c>
      <c r="M820" s="7" t="str">
        <f>RawData!M820</f>
        <v>Referral</v>
      </c>
      <c r="N820" s="7">
        <f>RawData!N820</f>
        <v>1563.36</v>
      </c>
    </row>
    <row r="821" spans="1:14" x14ac:dyDescent="0.3">
      <c r="A821" s="7" t="str">
        <f>RawData!A821</f>
        <v>ORD200819</v>
      </c>
      <c r="B821" s="11">
        <f>RawData!B821</f>
        <v>45563</v>
      </c>
      <c r="C821" s="7" t="str">
        <f>RawData!C821</f>
        <v>C66196</v>
      </c>
      <c r="D821" s="7" t="str">
        <f>RawData!D821</f>
        <v>Phone</v>
      </c>
      <c r="E821" s="7">
        <f>RawData!E821</f>
        <v>2</v>
      </c>
      <c r="F821" s="7">
        <f>RawData!F821</f>
        <v>398.45</v>
      </c>
      <c r="G821" s="7" t="str">
        <f>RawData!G821</f>
        <v>650 Main St</v>
      </c>
      <c r="H821" s="7" t="str">
        <f>RawData!H821</f>
        <v>Debit Card</v>
      </c>
      <c r="I821" s="7" t="str">
        <f>RawData!I821</f>
        <v>Cancelled</v>
      </c>
      <c r="J821" s="7" t="str">
        <f>RawData!J821</f>
        <v>TRK38104650</v>
      </c>
      <c r="K821" s="7">
        <f>RawData!K821</f>
        <v>7</v>
      </c>
      <c r="L821" s="7" t="str">
        <f>IF(RawData!L821="","No Coupon",RawData!L821)</f>
        <v>SAVE10</v>
      </c>
      <c r="M821" s="7" t="str">
        <f>RawData!M821</f>
        <v>Google</v>
      </c>
      <c r="N821" s="7">
        <f>RawData!N821</f>
        <v>796.9</v>
      </c>
    </row>
    <row r="822" spans="1:14" x14ac:dyDescent="0.3">
      <c r="A822" s="7" t="str">
        <f>RawData!A822</f>
        <v>ORD200820</v>
      </c>
      <c r="B822" s="11">
        <f>RawData!B822</f>
        <v>45073</v>
      </c>
      <c r="C822" s="7" t="str">
        <f>RawData!C822</f>
        <v>C35377</v>
      </c>
      <c r="D822" s="7" t="str">
        <f>RawData!D822</f>
        <v>Phone</v>
      </c>
      <c r="E822" s="7">
        <f>RawData!E822</f>
        <v>5</v>
      </c>
      <c r="F822" s="7">
        <f>RawData!F822</f>
        <v>623.80999999999995</v>
      </c>
      <c r="G822" s="7" t="str">
        <f>RawData!G822</f>
        <v>171 Main St</v>
      </c>
      <c r="H822" s="7" t="str">
        <f>RawData!H822</f>
        <v>Cash</v>
      </c>
      <c r="I822" s="7" t="str">
        <f>RawData!I822</f>
        <v>Returned</v>
      </c>
      <c r="J822" s="7" t="str">
        <f>RawData!J822</f>
        <v>TRK17342157</v>
      </c>
      <c r="K822" s="7">
        <f>RawData!K822</f>
        <v>6</v>
      </c>
      <c r="L822" s="7" t="str">
        <f>IF(RawData!L822="","No Coupon",RawData!L822)</f>
        <v>FREESHIP</v>
      </c>
      <c r="M822" s="7" t="str">
        <f>RawData!M822</f>
        <v>Email</v>
      </c>
      <c r="N822" s="7">
        <f>RawData!N822</f>
        <v>3119.05</v>
      </c>
    </row>
    <row r="823" spans="1:14" x14ac:dyDescent="0.3">
      <c r="A823" s="7" t="str">
        <f>RawData!A823</f>
        <v>ORD200821</v>
      </c>
      <c r="B823" s="11">
        <f>RawData!B823</f>
        <v>45640</v>
      </c>
      <c r="C823" s="7" t="str">
        <f>RawData!C823</f>
        <v>C40771</v>
      </c>
      <c r="D823" s="7" t="str">
        <f>RawData!D823</f>
        <v>Laptop</v>
      </c>
      <c r="E823" s="7">
        <f>RawData!E823</f>
        <v>4</v>
      </c>
      <c r="F823" s="7">
        <f>RawData!F823</f>
        <v>174.49</v>
      </c>
      <c r="G823" s="7" t="str">
        <f>RawData!G823</f>
        <v>259 Main St</v>
      </c>
      <c r="H823" s="7" t="str">
        <f>RawData!H823</f>
        <v>Credit Card</v>
      </c>
      <c r="I823" s="7" t="str">
        <f>RawData!I823</f>
        <v>Delivered</v>
      </c>
      <c r="J823" s="7" t="str">
        <f>RawData!J823</f>
        <v>TRK56310345</v>
      </c>
      <c r="K823" s="7">
        <f>RawData!K823</f>
        <v>5</v>
      </c>
      <c r="L823" s="7" t="str">
        <f>IF(RawData!L823="","No Coupon",RawData!L823)</f>
        <v>SAVE10</v>
      </c>
      <c r="M823" s="7" t="str">
        <f>RawData!M823</f>
        <v>Facebook</v>
      </c>
      <c r="N823" s="7">
        <f>RawData!N823</f>
        <v>697.96</v>
      </c>
    </row>
    <row r="824" spans="1:14" x14ac:dyDescent="0.3">
      <c r="A824" s="7" t="str">
        <f>RawData!A824</f>
        <v>ORD200822</v>
      </c>
      <c r="B824" s="11">
        <f>RawData!B824</f>
        <v>45731</v>
      </c>
      <c r="C824" s="7" t="str">
        <f>RawData!C824</f>
        <v>C20624</v>
      </c>
      <c r="D824" s="7" t="str">
        <f>RawData!D824</f>
        <v>Phone</v>
      </c>
      <c r="E824" s="7">
        <f>RawData!E824</f>
        <v>1</v>
      </c>
      <c r="F824" s="7">
        <f>RawData!F824</f>
        <v>479.56</v>
      </c>
      <c r="G824" s="7" t="str">
        <f>RawData!G824</f>
        <v>923 Main St</v>
      </c>
      <c r="H824" s="7" t="str">
        <f>RawData!H824</f>
        <v>Gift Card</v>
      </c>
      <c r="I824" s="7" t="str">
        <f>RawData!I824</f>
        <v>Returned</v>
      </c>
      <c r="J824" s="7" t="str">
        <f>RawData!J824</f>
        <v>TRK45123395</v>
      </c>
      <c r="K824" s="7">
        <f>RawData!K824</f>
        <v>1</v>
      </c>
      <c r="L824" s="7" t="str">
        <f>IF(RawData!L824="","No Coupon",RawData!L824)</f>
        <v>SAVE10</v>
      </c>
      <c r="M824" s="7" t="str">
        <f>RawData!M824</f>
        <v>Google</v>
      </c>
      <c r="N824" s="7">
        <f>RawData!N824</f>
        <v>479.56</v>
      </c>
    </row>
    <row r="825" spans="1:14" x14ac:dyDescent="0.3">
      <c r="A825" s="7" t="str">
        <f>RawData!A825</f>
        <v>ORD200823</v>
      </c>
      <c r="B825" s="11">
        <f>RawData!B825</f>
        <v>45572</v>
      </c>
      <c r="C825" s="7" t="str">
        <f>RawData!C825</f>
        <v>C27070</v>
      </c>
      <c r="D825" s="7" t="str">
        <f>RawData!D825</f>
        <v>Laptop</v>
      </c>
      <c r="E825" s="7">
        <f>RawData!E825</f>
        <v>4</v>
      </c>
      <c r="F825" s="7">
        <f>RawData!F825</f>
        <v>653.13</v>
      </c>
      <c r="G825" s="7" t="str">
        <f>RawData!G825</f>
        <v>973 Main St</v>
      </c>
      <c r="H825" s="7" t="str">
        <f>RawData!H825</f>
        <v>Credit Card</v>
      </c>
      <c r="I825" s="7" t="str">
        <f>RawData!I825</f>
        <v>Shipped</v>
      </c>
      <c r="J825" s="7" t="str">
        <f>RawData!J825</f>
        <v>TRK83842481</v>
      </c>
      <c r="K825" s="7">
        <f>RawData!K825</f>
        <v>8</v>
      </c>
      <c r="L825" s="7" t="str">
        <f>IF(RawData!L825="","No Coupon",RawData!L825)</f>
        <v>WINTER15</v>
      </c>
      <c r="M825" s="7" t="str">
        <f>RawData!M825</f>
        <v>Instagram</v>
      </c>
      <c r="N825" s="7">
        <f>RawData!N825</f>
        <v>2612.52</v>
      </c>
    </row>
    <row r="826" spans="1:14" x14ac:dyDescent="0.3">
      <c r="A826" s="7" t="str">
        <f>RawData!A826</f>
        <v>ORD200824</v>
      </c>
      <c r="B826" s="11">
        <f>RawData!B826</f>
        <v>45167</v>
      </c>
      <c r="C826" s="7" t="str">
        <f>RawData!C826</f>
        <v>C18826</v>
      </c>
      <c r="D826" s="7" t="str">
        <f>RawData!D826</f>
        <v>Monitor</v>
      </c>
      <c r="E826" s="7">
        <f>RawData!E826</f>
        <v>3</v>
      </c>
      <c r="F826" s="7">
        <f>RawData!F826</f>
        <v>481.1</v>
      </c>
      <c r="G826" s="7" t="str">
        <f>RawData!G826</f>
        <v>664 Main St</v>
      </c>
      <c r="H826" s="7" t="str">
        <f>RawData!H826</f>
        <v>Credit Card</v>
      </c>
      <c r="I826" s="7" t="str">
        <f>RawData!I826</f>
        <v>Returned</v>
      </c>
      <c r="J826" s="7" t="str">
        <f>RawData!J826</f>
        <v>TRK12530495</v>
      </c>
      <c r="K826" s="7">
        <f>RawData!K826</f>
        <v>3</v>
      </c>
      <c r="L826" s="7" t="str">
        <f>IF(RawData!L826="","No Coupon",RawData!L826)</f>
        <v>FREESHIP</v>
      </c>
      <c r="M826" s="7" t="str">
        <f>RawData!M826</f>
        <v>Facebook</v>
      </c>
      <c r="N826" s="7">
        <f>RawData!N826</f>
        <v>1443.3</v>
      </c>
    </row>
    <row r="827" spans="1:14" x14ac:dyDescent="0.3">
      <c r="A827" s="7" t="str">
        <f>RawData!A827</f>
        <v>ORD200825</v>
      </c>
      <c r="B827" s="11">
        <f>RawData!B827</f>
        <v>45742</v>
      </c>
      <c r="C827" s="7" t="str">
        <f>RawData!C827</f>
        <v>C23899</v>
      </c>
      <c r="D827" s="7" t="str">
        <f>RawData!D827</f>
        <v>Desk</v>
      </c>
      <c r="E827" s="7">
        <f>RawData!E827</f>
        <v>5</v>
      </c>
      <c r="F827" s="7">
        <f>RawData!F827</f>
        <v>271.69</v>
      </c>
      <c r="G827" s="7" t="str">
        <f>RawData!G827</f>
        <v>543 Main St</v>
      </c>
      <c r="H827" s="7" t="str">
        <f>RawData!H827</f>
        <v>Online</v>
      </c>
      <c r="I827" s="7" t="str">
        <f>RawData!I827</f>
        <v>Returned</v>
      </c>
      <c r="J827" s="7" t="str">
        <f>RawData!J827</f>
        <v>TRK88914760</v>
      </c>
      <c r="K827" s="7">
        <f>RawData!K827</f>
        <v>7</v>
      </c>
      <c r="L827" s="7" t="str">
        <f>IF(RawData!L827="","No Coupon",RawData!L827)</f>
        <v>FREESHIP</v>
      </c>
      <c r="M827" s="7" t="str">
        <f>RawData!M827</f>
        <v>Instagram</v>
      </c>
      <c r="N827" s="7">
        <f>RawData!N827</f>
        <v>1358.45</v>
      </c>
    </row>
    <row r="828" spans="1:14" x14ac:dyDescent="0.3">
      <c r="A828" s="7" t="str">
        <f>RawData!A828</f>
        <v>ORD200826</v>
      </c>
      <c r="B828" s="11">
        <f>RawData!B828</f>
        <v>45724</v>
      </c>
      <c r="C828" s="7" t="str">
        <f>RawData!C828</f>
        <v>C43249</v>
      </c>
      <c r="D828" s="7" t="str">
        <f>RawData!D828</f>
        <v>Printer</v>
      </c>
      <c r="E828" s="7">
        <f>RawData!E828</f>
        <v>3</v>
      </c>
      <c r="F828" s="7">
        <f>RawData!F828</f>
        <v>463.81</v>
      </c>
      <c r="G828" s="7" t="str">
        <f>RawData!G828</f>
        <v>283 Main St</v>
      </c>
      <c r="H828" s="7" t="str">
        <f>RawData!H828</f>
        <v>Online</v>
      </c>
      <c r="I828" s="7" t="str">
        <f>RawData!I828</f>
        <v>Returned</v>
      </c>
      <c r="J828" s="7" t="str">
        <f>RawData!J828</f>
        <v>TRK32469820</v>
      </c>
      <c r="K828" s="7">
        <f>RawData!K828</f>
        <v>8</v>
      </c>
      <c r="L828" s="7" t="str">
        <f>IF(RawData!L828="","No Coupon",RawData!L828)</f>
        <v>WINTER15</v>
      </c>
      <c r="M828" s="7" t="str">
        <f>RawData!M828</f>
        <v>Email</v>
      </c>
      <c r="N828" s="7">
        <f>RawData!N828</f>
        <v>1391.43</v>
      </c>
    </row>
    <row r="829" spans="1:14" x14ac:dyDescent="0.3">
      <c r="A829" s="7" t="str">
        <f>RawData!A829</f>
        <v>ORD200827</v>
      </c>
      <c r="B829" s="11">
        <f>RawData!B829</f>
        <v>45071</v>
      </c>
      <c r="C829" s="7" t="str">
        <f>RawData!C829</f>
        <v>C95856</v>
      </c>
      <c r="D829" s="7" t="str">
        <f>RawData!D829</f>
        <v>Tablet</v>
      </c>
      <c r="E829" s="7">
        <f>RawData!E829</f>
        <v>2</v>
      </c>
      <c r="F829" s="7">
        <f>RawData!F829</f>
        <v>639.88</v>
      </c>
      <c r="G829" s="7" t="str">
        <f>RawData!G829</f>
        <v>432 Main St</v>
      </c>
      <c r="H829" s="7" t="str">
        <f>RawData!H829</f>
        <v>Cash</v>
      </c>
      <c r="I829" s="7" t="str">
        <f>RawData!I829</f>
        <v>Delivered</v>
      </c>
      <c r="J829" s="7" t="str">
        <f>RawData!J829</f>
        <v>TRK58829625</v>
      </c>
      <c r="K829" s="7">
        <f>RawData!K829</f>
        <v>5</v>
      </c>
      <c r="L829" s="7" t="str">
        <f>IF(RawData!L829="","No Coupon",RawData!L829)</f>
        <v>WINTER15</v>
      </c>
      <c r="M829" s="7" t="str">
        <f>RawData!M829</f>
        <v>Instagram</v>
      </c>
      <c r="N829" s="7">
        <f>RawData!N829</f>
        <v>1279.76</v>
      </c>
    </row>
    <row r="830" spans="1:14" x14ac:dyDescent="0.3">
      <c r="A830" s="7" t="str">
        <f>RawData!A830</f>
        <v>ORD200828</v>
      </c>
      <c r="B830" s="11">
        <f>RawData!B830</f>
        <v>45497</v>
      </c>
      <c r="C830" s="7" t="str">
        <f>RawData!C830</f>
        <v>C86266</v>
      </c>
      <c r="D830" s="7" t="str">
        <f>RawData!D830</f>
        <v>Chair</v>
      </c>
      <c r="E830" s="7">
        <f>RawData!E830</f>
        <v>4</v>
      </c>
      <c r="F830" s="7">
        <f>RawData!F830</f>
        <v>404.58</v>
      </c>
      <c r="G830" s="7" t="str">
        <f>RawData!G830</f>
        <v>510 Main St</v>
      </c>
      <c r="H830" s="7" t="str">
        <f>RawData!H830</f>
        <v>Cash</v>
      </c>
      <c r="I830" s="7" t="str">
        <f>RawData!I830</f>
        <v>Shipped</v>
      </c>
      <c r="J830" s="7" t="str">
        <f>RawData!J830</f>
        <v>TRK64576020</v>
      </c>
      <c r="K830" s="7">
        <f>RawData!K830</f>
        <v>5</v>
      </c>
      <c r="L830" s="7" t="str">
        <f>IF(RawData!L830="","No Coupon",RawData!L830)</f>
        <v>FREESHIP</v>
      </c>
      <c r="M830" s="7" t="str">
        <f>RawData!M830</f>
        <v>Instagram</v>
      </c>
      <c r="N830" s="7">
        <f>RawData!N830</f>
        <v>1618.32</v>
      </c>
    </row>
    <row r="831" spans="1:14" x14ac:dyDescent="0.3">
      <c r="A831" s="7" t="str">
        <f>RawData!A831</f>
        <v>ORD200829</v>
      </c>
      <c r="B831" s="11">
        <f>RawData!B831</f>
        <v>44962</v>
      </c>
      <c r="C831" s="7" t="str">
        <f>RawData!C831</f>
        <v>C39551</v>
      </c>
      <c r="D831" s="7" t="str">
        <f>RawData!D831</f>
        <v>Monitor</v>
      </c>
      <c r="E831" s="7">
        <f>RawData!E831</f>
        <v>1</v>
      </c>
      <c r="F831" s="7">
        <f>RawData!F831</f>
        <v>76.930000000000007</v>
      </c>
      <c r="G831" s="7" t="str">
        <f>RawData!G831</f>
        <v>685 Main St</v>
      </c>
      <c r="H831" s="7" t="str">
        <f>RawData!H831</f>
        <v>Debit Card</v>
      </c>
      <c r="I831" s="7" t="str">
        <f>RawData!I831</f>
        <v>Delivered</v>
      </c>
      <c r="J831" s="7" t="str">
        <f>RawData!J831</f>
        <v>TRK68358007</v>
      </c>
      <c r="K831" s="7">
        <f>RawData!K831</f>
        <v>6</v>
      </c>
      <c r="L831" s="7" t="str">
        <f>IF(RawData!L831="","No Coupon",RawData!L831)</f>
        <v>WINTER15</v>
      </c>
      <c r="M831" s="7" t="str">
        <f>RawData!M831</f>
        <v>Instagram</v>
      </c>
      <c r="N831" s="7">
        <f>RawData!N831</f>
        <v>76.930000000000007</v>
      </c>
    </row>
    <row r="832" spans="1:14" x14ac:dyDescent="0.3">
      <c r="A832" s="7" t="str">
        <f>RawData!A832</f>
        <v>ORD200830</v>
      </c>
      <c r="B832" s="11">
        <f>RawData!B832</f>
        <v>45637</v>
      </c>
      <c r="C832" s="7" t="str">
        <f>RawData!C832</f>
        <v>C90310</v>
      </c>
      <c r="D832" s="7" t="str">
        <f>RawData!D832</f>
        <v>Tablet</v>
      </c>
      <c r="E832" s="7">
        <f>RawData!E832</f>
        <v>4</v>
      </c>
      <c r="F832" s="7">
        <f>RawData!F832</f>
        <v>190.64</v>
      </c>
      <c r="G832" s="7" t="str">
        <f>RawData!G832</f>
        <v>853 Main St</v>
      </c>
      <c r="H832" s="7" t="str">
        <f>RawData!H832</f>
        <v>Cash</v>
      </c>
      <c r="I832" s="7" t="str">
        <f>RawData!I832</f>
        <v>Delivered</v>
      </c>
      <c r="J832" s="7" t="str">
        <f>RawData!J832</f>
        <v>TRK70028457</v>
      </c>
      <c r="K832" s="7">
        <f>RawData!K832</f>
        <v>5</v>
      </c>
      <c r="L832" s="7" t="str">
        <f>IF(RawData!L832="","No Coupon",RawData!L832)</f>
        <v>SAVE10</v>
      </c>
      <c r="M832" s="7" t="str">
        <f>RawData!M832</f>
        <v>Email</v>
      </c>
      <c r="N832" s="7">
        <f>RawData!N832</f>
        <v>762.56</v>
      </c>
    </row>
    <row r="833" spans="1:14" x14ac:dyDescent="0.3">
      <c r="A833" s="7" t="str">
        <f>RawData!A833</f>
        <v>ORD200831</v>
      </c>
      <c r="B833" s="11">
        <f>RawData!B833</f>
        <v>45278</v>
      </c>
      <c r="C833" s="7" t="str">
        <f>RawData!C833</f>
        <v>C20124</v>
      </c>
      <c r="D833" s="7" t="str">
        <f>RawData!D833</f>
        <v>Printer</v>
      </c>
      <c r="E833" s="7">
        <f>RawData!E833</f>
        <v>2</v>
      </c>
      <c r="F833" s="7">
        <f>RawData!F833</f>
        <v>88.73</v>
      </c>
      <c r="G833" s="7" t="str">
        <f>RawData!G833</f>
        <v>140 Main St</v>
      </c>
      <c r="H833" s="7" t="str">
        <f>RawData!H833</f>
        <v>Online</v>
      </c>
      <c r="I833" s="7" t="str">
        <f>RawData!I833</f>
        <v>Pending</v>
      </c>
      <c r="J833" s="7" t="str">
        <f>RawData!J833</f>
        <v>TRK61346824</v>
      </c>
      <c r="K833" s="7">
        <f>RawData!K833</f>
        <v>5</v>
      </c>
      <c r="L833" s="7" t="str">
        <f>IF(RawData!L833="","No Coupon",RawData!L833)</f>
        <v>No Coupon</v>
      </c>
      <c r="M833" s="7" t="str">
        <f>RawData!M833</f>
        <v>Google</v>
      </c>
      <c r="N833" s="7">
        <f>RawData!N833</f>
        <v>177.46</v>
      </c>
    </row>
    <row r="834" spans="1:14" x14ac:dyDescent="0.3">
      <c r="A834" s="7" t="str">
        <f>RawData!A834</f>
        <v>ORD200832</v>
      </c>
      <c r="B834" s="11">
        <f>RawData!B834</f>
        <v>45363</v>
      </c>
      <c r="C834" s="7" t="str">
        <f>RawData!C834</f>
        <v>C63372</v>
      </c>
      <c r="D834" s="7" t="str">
        <f>RawData!D834</f>
        <v>Chair</v>
      </c>
      <c r="E834" s="7">
        <f>RawData!E834</f>
        <v>5</v>
      </c>
      <c r="F834" s="7">
        <f>RawData!F834</f>
        <v>485.71</v>
      </c>
      <c r="G834" s="7" t="str">
        <f>RawData!G834</f>
        <v>903 Main St</v>
      </c>
      <c r="H834" s="7" t="str">
        <f>RawData!H834</f>
        <v>Online</v>
      </c>
      <c r="I834" s="7" t="str">
        <f>RawData!I834</f>
        <v>Pending</v>
      </c>
      <c r="J834" s="7" t="str">
        <f>RawData!J834</f>
        <v>TRK14661811</v>
      </c>
      <c r="K834" s="7">
        <f>RawData!K834</f>
        <v>10</v>
      </c>
      <c r="L834" s="7" t="str">
        <f>IF(RawData!L834="","No Coupon",RawData!L834)</f>
        <v>SAVE10</v>
      </c>
      <c r="M834" s="7" t="str">
        <f>RawData!M834</f>
        <v>Referral</v>
      </c>
      <c r="N834" s="7">
        <f>RawData!N834</f>
        <v>2428.5500000000002</v>
      </c>
    </row>
    <row r="835" spans="1:14" x14ac:dyDescent="0.3">
      <c r="A835" s="7" t="str">
        <f>RawData!A835</f>
        <v>ORD200833</v>
      </c>
      <c r="B835" s="11">
        <f>RawData!B835</f>
        <v>45730</v>
      </c>
      <c r="C835" s="7" t="str">
        <f>RawData!C835</f>
        <v>C90595</v>
      </c>
      <c r="D835" s="7" t="str">
        <f>RawData!D835</f>
        <v>Phone</v>
      </c>
      <c r="E835" s="7">
        <f>RawData!E835</f>
        <v>5</v>
      </c>
      <c r="F835" s="7">
        <f>RawData!F835</f>
        <v>78.290000000000006</v>
      </c>
      <c r="G835" s="7" t="str">
        <f>RawData!G835</f>
        <v>508 Main St</v>
      </c>
      <c r="H835" s="7" t="str">
        <f>RawData!H835</f>
        <v>Credit Card</v>
      </c>
      <c r="I835" s="7" t="str">
        <f>RawData!I835</f>
        <v>Shipped</v>
      </c>
      <c r="J835" s="7" t="str">
        <f>RawData!J835</f>
        <v>TRK96573803</v>
      </c>
      <c r="K835" s="7">
        <f>RawData!K835</f>
        <v>5</v>
      </c>
      <c r="L835" s="7" t="str">
        <f>IF(RawData!L835="","No Coupon",RawData!L835)</f>
        <v>WINTER15</v>
      </c>
      <c r="M835" s="7" t="str">
        <f>RawData!M835</f>
        <v>Referral</v>
      </c>
      <c r="N835" s="7">
        <f>RawData!N835</f>
        <v>391.45</v>
      </c>
    </row>
    <row r="836" spans="1:14" x14ac:dyDescent="0.3">
      <c r="A836" s="7" t="str">
        <f>RawData!A836</f>
        <v>ORD200834</v>
      </c>
      <c r="B836" s="11">
        <f>RawData!B836</f>
        <v>45393</v>
      </c>
      <c r="C836" s="7" t="str">
        <f>RawData!C836</f>
        <v>C98483</v>
      </c>
      <c r="D836" s="7" t="str">
        <f>RawData!D836</f>
        <v>Printer</v>
      </c>
      <c r="E836" s="7">
        <f>RawData!E836</f>
        <v>5</v>
      </c>
      <c r="F836" s="7">
        <f>RawData!F836</f>
        <v>22.14</v>
      </c>
      <c r="G836" s="7" t="str">
        <f>RawData!G836</f>
        <v>456 Main St</v>
      </c>
      <c r="H836" s="7" t="str">
        <f>RawData!H836</f>
        <v>Cash</v>
      </c>
      <c r="I836" s="7" t="str">
        <f>RawData!I836</f>
        <v>Returned</v>
      </c>
      <c r="J836" s="7" t="str">
        <f>RawData!J836</f>
        <v>TRK22084320</v>
      </c>
      <c r="K836" s="7">
        <f>RawData!K836</f>
        <v>10</v>
      </c>
      <c r="L836" s="7" t="str">
        <f>IF(RawData!L836="","No Coupon",RawData!L836)</f>
        <v>No Coupon</v>
      </c>
      <c r="M836" s="7" t="str">
        <f>RawData!M836</f>
        <v>Instagram</v>
      </c>
      <c r="N836" s="7">
        <f>RawData!N836</f>
        <v>110.7</v>
      </c>
    </row>
    <row r="837" spans="1:14" x14ac:dyDescent="0.3">
      <c r="A837" s="7" t="str">
        <f>RawData!A837</f>
        <v>ORD200835</v>
      </c>
      <c r="B837" s="11">
        <f>RawData!B837</f>
        <v>45377</v>
      </c>
      <c r="C837" s="7" t="str">
        <f>RawData!C837</f>
        <v>C16429</v>
      </c>
      <c r="D837" s="7" t="str">
        <f>RawData!D837</f>
        <v>Desk</v>
      </c>
      <c r="E837" s="7">
        <f>RawData!E837</f>
        <v>1</v>
      </c>
      <c r="F837" s="7">
        <f>RawData!F837</f>
        <v>679.65</v>
      </c>
      <c r="G837" s="7" t="str">
        <f>RawData!G837</f>
        <v>390 Main St</v>
      </c>
      <c r="H837" s="7" t="str">
        <f>RawData!H837</f>
        <v>Debit Card</v>
      </c>
      <c r="I837" s="7" t="str">
        <f>RawData!I837</f>
        <v>Shipped</v>
      </c>
      <c r="J837" s="7" t="str">
        <f>RawData!J837</f>
        <v>TRK73888013</v>
      </c>
      <c r="K837" s="7">
        <f>RawData!K837</f>
        <v>6</v>
      </c>
      <c r="L837" s="7" t="str">
        <f>IF(RawData!L837="","No Coupon",RawData!L837)</f>
        <v>FREESHIP</v>
      </c>
      <c r="M837" s="7" t="str">
        <f>RawData!M837</f>
        <v>Google</v>
      </c>
      <c r="N837" s="7">
        <f>RawData!N837</f>
        <v>679.65</v>
      </c>
    </row>
    <row r="838" spans="1:14" x14ac:dyDescent="0.3">
      <c r="A838" s="7" t="str">
        <f>RawData!A838</f>
        <v>ORD200836</v>
      </c>
      <c r="B838" s="11">
        <f>RawData!B838</f>
        <v>44959</v>
      </c>
      <c r="C838" s="7" t="str">
        <f>RawData!C838</f>
        <v>C31810</v>
      </c>
      <c r="D838" s="7" t="str">
        <f>RawData!D838</f>
        <v>Phone</v>
      </c>
      <c r="E838" s="7">
        <f>RawData!E838</f>
        <v>1</v>
      </c>
      <c r="F838" s="7">
        <f>RawData!F838</f>
        <v>178.44</v>
      </c>
      <c r="G838" s="7" t="str">
        <f>RawData!G838</f>
        <v>328 Main St</v>
      </c>
      <c r="H838" s="7" t="str">
        <f>RawData!H838</f>
        <v>Credit Card</v>
      </c>
      <c r="I838" s="7" t="str">
        <f>RawData!I838</f>
        <v>Cancelled</v>
      </c>
      <c r="J838" s="7" t="str">
        <f>RawData!J838</f>
        <v>TRK58725886</v>
      </c>
      <c r="K838" s="7">
        <f>RawData!K838</f>
        <v>2</v>
      </c>
      <c r="L838" s="7" t="str">
        <f>IF(RawData!L838="","No Coupon",RawData!L838)</f>
        <v>FREESHIP</v>
      </c>
      <c r="M838" s="7" t="str">
        <f>RawData!M838</f>
        <v>Google</v>
      </c>
      <c r="N838" s="7">
        <f>RawData!N838</f>
        <v>178.44</v>
      </c>
    </row>
    <row r="839" spans="1:14" x14ac:dyDescent="0.3">
      <c r="A839" s="7" t="str">
        <f>RawData!A839</f>
        <v>ORD200837</v>
      </c>
      <c r="B839" s="11">
        <f>RawData!B839</f>
        <v>45822</v>
      </c>
      <c r="C839" s="7" t="str">
        <f>RawData!C839</f>
        <v>C88029</v>
      </c>
      <c r="D839" s="7" t="str">
        <f>RawData!D839</f>
        <v>Chair</v>
      </c>
      <c r="E839" s="7">
        <f>RawData!E839</f>
        <v>5</v>
      </c>
      <c r="F839" s="7">
        <f>RawData!F839</f>
        <v>655.55</v>
      </c>
      <c r="G839" s="7" t="str">
        <f>RawData!G839</f>
        <v>282 Main St</v>
      </c>
      <c r="H839" s="7" t="str">
        <f>RawData!H839</f>
        <v>Online</v>
      </c>
      <c r="I839" s="7" t="str">
        <f>RawData!I839</f>
        <v>Delivered</v>
      </c>
      <c r="J839" s="7" t="str">
        <f>RawData!J839</f>
        <v>TRK59701278</v>
      </c>
      <c r="K839" s="7">
        <f>RawData!K839</f>
        <v>5</v>
      </c>
      <c r="L839" s="7" t="str">
        <f>IF(RawData!L839="","No Coupon",RawData!L839)</f>
        <v>No Coupon</v>
      </c>
      <c r="M839" s="7" t="str">
        <f>RawData!M839</f>
        <v>Email</v>
      </c>
      <c r="N839" s="7">
        <f>RawData!N839</f>
        <v>3277.75</v>
      </c>
    </row>
    <row r="840" spans="1:14" x14ac:dyDescent="0.3">
      <c r="A840" s="7" t="str">
        <f>RawData!A840</f>
        <v>ORD200838</v>
      </c>
      <c r="B840" s="11">
        <f>RawData!B840</f>
        <v>45393</v>
      </c>
      <c r="C840" s="7" t="str">
        <f>RawData!C840</f>
        <v>C57798</v>
      </c>
      <c r="D840" s="7" t="str">
        <f>RawData!D840</f>
        <v>Desk</v>
      </c>
      <c r="E840" s="7">
        <f>RawData!E840</f>
        <v>4</v>
      </c>
      <c r="F840" s="7">
        <f>RawData!F840</f>
        <v>577.08000000000004</v>
      </c>
      <c r="G840" s="7" t="str">
        <f>RawData!G840</f>
        <v>384 Main St</v>
      </c>
      <c r="H840" s="7" t="str">
        <f>RawData!H840</f>
        <v>Online</v>
      </c>
      <c r="I840" s="7" t="str">
        <f>RawData!I840</f>
        <v>Pending</v>
      </c>
      <c r="J840" s="7" t="str">
        <f>RawData!J840</f>
        <v>TRK68797566</v>
      </c>
      <c r="K840" s="7">
        <f>RawData!K840</f>
        <v>8</v>
      </c>
      <c r="L840" s="7" t="str">
        <f>IF(RawData!L840="","No Coupon",RawData!L840)</f>
        <v>No Coupon</v>
      </c>
      <c r="M840" s="7" t="str">
        <f>RawData!M840</f>
        <v>Facebook</v>
      </c>
      <c r="N840" s="7">
        <f>RawData!N840</f>
        <v>2308.3200000000002</v>
      </c>
    </row>
    <row r="841" spans="1:14" x14ac:dyDescent="0.3">
      <c r="A841" s="7" t="str">
        <f>RawData!A841</f>
        <v>ORD200839</v>
      </c>
      <c r="B841" s="11">
        <f>RawData!B841</f>
        <v>45162</v>
      </c>
      <c r="C841" s="7" t="str">
        <f>RawData!C841</f>
        <v>C82858</v>
      </c>
      <c r="D841" s="7" t="str">
        <f>RawData!D841</f>
        <v>Chair</v>
      </c>
      <c r="E841" s="7">
        <f>RawData!E841</f>
        <v>3</v>
      </c>
      <c r="F841" s="7">
        <f>RawData!F841</f>
        <v>197.97</v>
      </c>
      <c r="G841" s="7" t="str">
        <f>RawData!G841</f>
        <v>551 Main St</v>
      </c>
      <c r="H841" s="7" t="str">
        <f>RawData!H841</f>
        <v>Online</v>
      </c>
      <c r="I841" s="7" t="str">
        <f>RawData!I841</f>
        <v>Cancelled</v>
      </c>
      <c r="J841" s="7" t="str">
        <f>RawData!J841</f>
        <v>TRK90618490</v>
      </c>
      <c r="K841" s="7">
        <f>RawData!K841</f>
        <v>5</v>
      </c>
      <c r="L841" s="7" t="str">
        <f>IF(RawData!L841="","No Coupon",RawData!L841)</f>
        <v>No Coupon</v>
      </c>
      <c r="M841" s="7" t="str">
        <f>RawData!M841</f>
        <v>Google</v>
      </c>
      <c r="N841" s="7">
        <f>RawData!N841</f>
        <v>593.91</v>
      </c>
    </row>
    <row r="842" spans="1:14" x14ac:dyDescent="0.3">
      <c r="A842" s="7" t="str">
        <f>RawData!A842</f>
        <v>ORD200840</v>
      </c>
      <c r="B842" s="11">
        <f>RawData!B842</f>
        <v>45305</v>
      </c>
      <c r="C842" s="7" t="str">
        <f>RawData!C842</f>
        <v>C60699</v>
      </c>
      <c r="D842" s="7" t="str">
        <f>RawData!D842</f>
        <v>Chair</v>
      </c>
      <c r="E842" s="7">
        <f>RawData!E842</f>
        <v>3</v>
      </c>
      <c r="F842" s="7">
        <f>RawData!F842</f>
        <v>411.95</v>
      </c>
      <c r="G842" s="7" t="str">
        <f>RawData!G842</f>
        <v>672 Main St</v>
      </c>
      <c r="H842" s="7" t="str">
        <f>RawData!H842</f>
        <v>Credit Card</v>
      </c>
      <c r="I842" s="7" t="str">
        <f>RawData!I842</f>
        <v>Delivered</v>
      </c>
      <c r="J842" s="7" t="str">
        <f>RawData!J842</f>
        <v>TRK88660574</v>
      </c>
      <c r="K842" s="7">
        <f>RawData!K842</f>
        <v>7</v>
      </c>
      <c r="L842" s="7" t="str">
        <f>IF(RawData!L842="","No Coupon",RawData!L842)</f>
        <v>FREESHIP</v>
      </c>
      <c r="M842" s="7" t="str">
        <f>RawData!M842</f>
        <v>Referral</v>
      </c>
      <c r="N842" s="7">
        <f>RawData!N842</f>
        <v>1235.8499999999999</v>
      </c>
    </row>
    <row r="843" spans="1:14" x14ac:dyDescent="0.3">
      <c r="A843" s="7" t="str">
        <f>RawData!A843</f>
        <v>ORD200841</v>
      </c>
      <c r="B843" s="11">
        <f>RawData!B843</f>
        <v>45554</v>
      </c>
      <c r="C843" s="7" t="str">
        <f>RawData!C843</f>
        <v>C94658</v>
      </c>
      <c r="D843" s="7" t="str">
        <f>RawData!D843</f>
        <v>Printer</v>
      </c>
      <c r="E843" s="7">
        <f>RawData!E843</f>
        <v>2</v>
      </c>
      <c r="F843" s="7">
        <f>RawData!F843</f>
        <v>443.22</v>
      </c>
      <c r="G843" s="7" t="str">
        <f>RawData!G843</f>
        <v>742 Main St</v>
      </c>
      <c r="H843" s="7" t="str">
        <f>RawData!H843</f>
        <v>Credit Card</v>
      </c>
      <c r="I843" s="7" t="str">
        <f>RawData!I843</f>
        <v>Delivered</v>
      </c>
      <c r="J843" s="7" t="str">
        <f>RawData!J843</f>
        <v>TRK51732528</v>
      </c>
      <c r="K843" s="7">
        <f>RawData!K843</f>
        <v>5</v>
      </c>
      <c r="L843" s="7" t="str">
        <f>IF(RawData!L843="","No Coupon",RawData!L843)</f>
        <v>No Coupon</v>
      </c>
      <c r="M843" s="7" t="str">
        <f>RawData!M843</f>
        <v>Facebook</v>
      </c>
      <c r="N843" s="7">
        <f>RawData!N843</f>
        <v>886.44</v>
      </c>
    </row>
    <row r="844" spans="1:14" x14ac:dyDescent="0.3">
      <c r="A844" s="7" t="str">
        <f>RawData!A844</f>
        <v>ORD200842</v>
      </c>
      <c r="B844" s="11">
        <f>RawData!B844</f>
        <v>45784</v>
      </c>
      <c r="C844" s="7" t="str">
        <f>RawData!C844</f>
        <v>C78305</v>
      </c>
      <c r="D844" s="7" t="str">
        <f>RawData!D844</f>
        <v>Laptop</v>
      </c>
      <c r="E844" s="7">
        <f>RawData!E844</f>
        <v>3</v>
      </c>
      <c r="F844" s="7">
        <f>RawData!F844</f>
        <v>364.14</v>
      </c>
      <c r="G844" s="7" t="str">
        <f>RawData!G844</f>
        <v>396 Main St</v>
      </c>
      <c r="H844" s="7" t="str">
        <f>RawData!H844</f>
        <v>Online</v>
      </c>
      <c r="I844" s="7" t="str">
        <f>RawData!I844</f>
        <v>Pending</v>
      </c>
      <c r="J844" s="7" t="str">
        <f>RawData!J844</f>
        <v>TRK88312618</v>
      </c>
      <c r="K844" s="7">
        <f>RawData!K844</f>
        <v>7</v>
      </c>
      <c r="L844" s="7" t="str">
        <f>IF(RawData!L844="","No Coupon",RawData!L844)</f>
        <v>WINTER15</v>
      </c>
      <c r="M844" s="7" t="str">
        <f>RawData!M844</f>
        <v>Referral</v>
      </c>
      <c r="N844" s="7">
        <f>RawData!N844</f>
        <v>1092.42</v>
      </c>
    </row>
    <row r="845" spans="1:14" x14ac:dyDescent="0.3">
      <c r="A845" s="7" t="str">
        <f>RawData!A845</f>
        <v>ORD200843</v>
      </c>
      <c r="B845" s="11">
        <f>RawData!B845</f>
        <v>45790</v>
      </c>
      <c r="C845" s="7" t="str">
        <f>RawData!C845</f>
        <v>C43538</v>
      </c>
      <c r="D845" s="7" t="str">
        <f>RawData!D845</f>
        <v>Desk</v>
      </c>
      <c r="E845" s="7">
        <f>RawData!E845</f>
        <v>3</v>
      </c>
      <c r="F845" s="7">
        <f>RawData!F845</f>
        <v>430.06</v>
      </c>
      <c r="G845" s="7" t="str">
        <f>RawData!G845</f>
        <v>534 Main St</v>
      </c>
      <c r="H845" s="7" t="str">
        <f>RawData!H845</f>
        <v>Gift Card</v>
      </c>
      <c r="I845" s="7" t="str">
        <f>RawData!I845</f>
        <v>Cancelled</v>
      </c>
      <c r="J845" s="7" t="str">
        <f>RawData!J845</f>
        <v>TRK20961563</v>
      </c>
      <c r="K845" s="7">
        <f>RawData!K845</f>
        <v>8</v>
      </c>
      <c r="L845" s="7" t="str">
        <f>IF(RawData!L845="","No Coupon",RawData!L845)</f>
        <v>FREESHIP</v>
      </c>
      <c r="M845" s="7" t="str">
        <f>RawData!M845</f>
        <v>Instagram</v>
      </c>
      <c r="N845" s="7">
        <f>RawData!N845</f>
        <v>1290.18</v>
      </c>
    </row>
    <row r="846" spans="1:14" x14ac:dyDescent="0.3">
      <c r="A846" s="7" t="str">
        <f>RawData!A846</f>
        <v>ORD200844</v>
      </c>
      <c r="B846" s="11">
        <f>RawData!B846</f>
        <v>45630</v>
      </c>
      <c r="C846" s="7" t="str">
        <f>RawData!C846</f>
        <v>C47486</v>
      </c>
      <c r="D846" s="7" t="str">
        <f>RawData!D846</f>
        <v>Chair</v>
      </c>
      <c r="E846" s="7">
        <f>RawData!E846</f>
        <v>1</v>
      </c>
      <c r="F846" s="7">
        <f>RawData!F846</f>
        <v>320.92</v>
      </c>
      <c r="G846" s="7" t="str">
        <f>RawData!G846</f>
        <v>883 Main St</v>
      </c>
      <c r="H846" s="7" t="str">
        <f>RawData!H846</f>
        <v>Online</v>
      </c>
      <c r="I846" s="7" t="str">
        <f>RawData!I846</f>
        <v>Returned</v>
      </c>
      <c r="J846" s="7" t="str">
        <f>RawData!J846</f>
        <v>TRK75984759</v>
      </c>
      <c r="K846" s="7">
        <f>RawData!K846</f>
        <v>5</v>
      </c>
      <c r="L846" s="7" t="str">
        <f>IF(RawData!L846="","No Coupon",RawData!L846)</f>
        <v>FREESHIP</v>
      </c>
      <c r="M846" s="7" t="str">
        <f>RawData!M846</f>
        <v>Facebook</v>
      </c>
      <c r="N846" s="7">
        <f>RawData!N846</f>
        <v>320.92</v>
      </c>
    </row>
    <row r="847" spans="1:14" x14ac:dyDescent="0.3">
      <c r="A847" s="7" t="str">
        <f>RawData!A847</f>
        <v>ORD200845</v>
      </c>
      <c r="B847" s="11">
        <f>RawData!B847</f>
        <v>45207</v>
      </c>
      <c r="C847" s="7" t="str">
        <f>RawData!C847</f>
        <v>C24212</v>
      </c>
      <c r="D847" s="7" t="str">
        <f>RawData!D847</f>
        <v>Phone</v>
      </c>
      <c r="E847" s="7">
        <f>RawData!E847</f>
        <v>3</v>
      </c>
      <c r="F847" s="7">
        <f>RawData!F847</f>
        <v>107.36</v>
      </c>
      <c r="G847" s="7" t="str">
        <f>RawData!G847</f>
        <v>808 Main St</v>
      </c>
      <c r="H847" s="7" t="str">
        <f>RawData!H847</f>
        <v>Gift Card</v>
      </c>
      <c r="I847" s="7" t="str">
        <f>RawData!I847</f>
        <v>Delivered</v>
      </c>
      <c r="J847" s="7" t="str">
        <f>RawData!J847</f>
        <v>TRK68894675</v>
      </c>
      <c r="K847" s="7">
        <f>RawData!K847</f>
        <v>5</v>
      </c>
      <c r="L847" s="7" t="str">
        <f>IF(RawData!L847="","No Coupon",RawData!L847)</f>
        <v>FREESHIP</v>
      </c>
      <c r="M847" s="7" t="str">
        <f>RawData!M847</f>
        <v>Google</v>
      </c>
      <c r="N847" s="7">
        <f>RawData!N847</f>
        <v>322.08</v>
      </c>
    </row>
    <row r="848" spans="1:14" x14ac:dyDescent="0.3">
      <c r="A848" s="7" t="str">
        <f>RawData!A848</f>
        <v>ORD200846</v>
      </c>
      <c r="B848" s="11">
        <f>RawData!B848</f>
        <v>45477</v>
      </c>
      <c r="C848" s="7" t="str">
        <f>RawData!C848</f>
        <v>C24765</v>
      </c>
      <c r="D848" s="7" t="str">
        <f>RawData!D848</f>
        <v>Desk</v>
      </c>
      <c r="E848" s="7">
        <f>RawData!E848</f>
        <v>2</v>
      </c>
      <c r="F848" s="7">
        <f>RawData!F848</f>
        <v>359.86</v>
      </c>
      <c r="G848" s="7" t="str">
        <f>RawData!G848</f>
        <v>646 Main St</v>
      </c>
      <c r="H848" s="7" t="str">
        <f>RawData!H848</f>
        <v>Debit Card</v>
      </c>
      <c r="I848" s="7" t="str">
        <f>RawData!I848</f>
        <v>Cancelled</v>
      </c>
      <c r="J848" s="7" t="str">
        <f>RawData!J848</f>
        <v>TRK43977698</v>
      </c>
      <c r="K848" s="7">
        <f>RawData!K848</f>
        <v>4</v>
      </c>
      <c r="L848" s="7" t="str">
        <f>IF(RawData!L848="","No Coupon",RawData!L848)</f>
        <v>No Coupon</v>
      </c>
      <c r="M848" s="7" t="str">
        <f>RawData!M848</f>
        <v>Referral</v>
      </c>
      <c r="N848" s="7">
        <f>RawData!N848</f>
        <v>719.72</v>
      </c>
    </row>
    <row r="849" spans="1:14" x14ac:dyDescent="0.3">
      <c r="A849" s="7" t="str">
        <f>RawData!A849</f>
        <v>ORD200847</v>
      </c>
      <c r="B849" s="11">
        <f>RawData!B849</f>
        <v>45614</v>
      </c>
      <c r="C849" s="7" t="str">
        <f>RawData!C849</f>
        <v>C48176</v>
      </c>
      <c r="D849" s="7" t="str">
        <f>RawData!D849</f>
        <v>Printer</v>
      </c>
      <c r="E849" s="7">
        <f>RawData!E849</f>
        <v>4</v>
      </c>
      <c r="F849" s="7">
        <f>RawData!F849</f>
        <v>434.23</v>
      </c>
      <c r="G849" s="7" t="str">
        <f>RawData!G849</f>
        <v>670 Main St</v>
      </c>
      <c r="H849" s="7" t="str">
        <f>RawData!H849</f>
        <v>Online</v>
      </c>
      <c r="I849" s="7" t="str">
        <f>RawData!I849</f>
        <v>Shipped</v>
      </c>
      <c r="J849" s="7" t="str">
        <f>RawData!J849</f>
        <v>TRK90560300</v>
      </c>
      <c r="K849" s="7">
        <f>RawData!K849</f>
        <v>8</v>
      </c>
      <c r="L849" s="7" t="str">
        <f>IF(RawData!L849="","No Coupon",RawData!L849)</f>
        <v>FREESHIP</v>
      </c>
      <c r="M849" s="7" t="str">
        <f>RawData!M849</f>
        <v>Email</v>
      </c>
      <c r="N849" s="7">
        <f>RawData!N849</f>
        <v>1736.92</v>
      </c>
    </row>
    <row r="850" spans="1:14" x14ac:dyDescent="0.3">
      <c r="A850" s="7" t="str">
        <f>RawData!A850</f>
        <v>ORD200848</v>
      </c>
      <c r="B850" s="11">
        <f>RawData!B850</f>
        <v>44927</v>
      </c>
      <c r="C850" s="7" t="str">
        <f>RawData!C850</f>
        <v>C54675</v>
      </c>
      <c r="D850" s="7" t="str">
        <f>RawData!D850</f>
        <v>Chair</v>
      </c>
      <c r="E850" s="7">
        <f>RawData!E850</f>
        <v>2</v>
      </c>
      <c r="F850" s="7">
        <f>RawData!F850</f>
        <v>645.85</v>
      </c>
      <c r="G850" s="7" t="str">
        <f>RawData!G850</f>
        <v>634 Main St</v>
      </c>
      <c r="H850" s="7" t="str">
        <f>RawData!H850</f>
        <v>Online</v>
      </c>
      <c r="I850" s="7" t="str">
        <f>RawData!I850</f>
        <v>Shipped</v>
      </c>
      <c r="J850" s="7" t="str">
        <f>RawData!J850</f>
        <v>TRK18049633</v>
      </c>
      <c r="K850" s="7">
        <f>RawData!K850</f>
        <v>5</v>
      </c>
      <c r="L850" s="7" t="str">
        <f>IF(RawData!L850="","No Coupon",RawData!L850)</f>
        <v>No Coupon</v>
      </c>
      <c r="M850" s="7" t="str">
        <f>RawData!M850</f>
        <v>Referral</v>
      </c>
      <c r="N850" s="7">
        <f>RawData!N850</f>
        <v>1291.7</v>
      </c>
    </row>
    <row r="851" spans="1:14" x14ac:dyDescent="0.3">
      <c r="A851" s="7" t="str">
        <f>RawData!A851</f>
        <v>ORD200849</v>
      </c>
      <c r="B851" s="11">
        <f>RawData!B851</f>
        <v>45817</v>
      </c>
      <c r="C851" s="7" t="str">
        <f>RawData!C851</f>
        <v>C16675</v>
      </c>
      <c r="D851" s="7" t="str">
        <f>RawData!D851</f>
        <v>Printer</v>
      </c>
      <c r="E851" s="7">
        <f>RawData!E851</f>
        <v>4</v>
      </c>
      <c r="F851" s="7">
        <f>RawData!F851</f>
        <v>214.35</v>
      </c>
      <c r="G851" s="7" t="str">
        <f>RawData!G851</f>
        <v>664 Main St</v>
      </c>
      <c r="H851" s="7" t="str">
        <f>RawData!H851</f>
        <v>Debit Card</v>
      </c>
      <c r="I851" s="7" t="str">
        <f>RawData!I851</f>
        <v>Cancelled</v>
      </c>
      <c r="J851" s="7" t="str">
        <f>RawData!J851</f>
        <v>TRK12756945</v>
      </c>
      <c r="K851" s="7">
        <f>RawData!K851</f>
        <v>7</v>
      </c>
      <c r="L851" s="7" t="str">
        <f>IF(RawData!L851="","No Coupon",RawData!L851)</f>
        <v>WINTER15</v>
      </c>
      <c r="M851" s="7" t="str">
        <f>RawData!M851</f>
        <v>Referral</v>
      </c>
      <c r="N851" s="7">
        <f>RawData!N851</f>
        <v>857.4</v>
      </c>
    </row>
    <row r="852" spans="1:14" x14ac:dyDescent="0.3">
      <c r="A852" s="7" t="str">
        <f>RawData!A852</f>
        <v>ORD200850</v>
      </c>
      <c r="B852" s="11">
        <f>RawData!B852</f>
        <v>45774</v>
      </c>
      <c r="C852" s="7" t="str">
        <f>RawData!C852</f>
        <v>C38557</v>
      </c>
      <c r="D852" s="7" t="str">
        <f>RawData!D852</f>
        <v>Monitor</v>
      </c>
      <c r="E852" s="7">
        <f>RawData!E852</f>
        <v>3</v>
      </c>
      <c r="F852" s="7">
        <f>RawData!F852</f>
        <v>638.5</v>
      </c>
      <c r="G852" s="7" t="str">
        <f>RawData!G852</f>
        <v>890 Main St</v>
      </c>
      <c r="H852" s="7" t="str">
        <f>RawData!H852</f>
        <v>Debit Card</v>
      </c>
      <c r="I852" s="7" t="str">
        <f>RawData!I852</f>
        <v>Cancelled</v>
      </c>
      <c r="J852" s="7" t="str">
        <f>RawData!J852</f>
        <v>TRK14832238</v>
      </c>
      <c r="K852" s="7">
        <f>RawData!K852</f>
        <v>4</v>
      </c>
      <c r="L852" s="7" t="str">
        <f>IF(RawData!L852="","No Coupon",RawData!L852)</f>
        <v>FREESHIP</v>
      </c>
      <c r="M852" s="7" t="str">
        <f>RawData!M852</f>
        <v>Instagram</v>
      </c>
      <c r="N852" s="7">
        <f>RawData!N852</f>
        <v>1915.5</v>
      </c>
    </row>
    <row r="853" spans="1:14" x14ac:dyDescent="0.3">
      <c r="A853" s="7" t="str">
        <f>RawData!A853</f>
        <v>ORD200851</v>
      </c>
      <c r="B853" s="11">
        <f>RawData!B853</f>
        <v>45272</v>
      </c>
      <c r="C853" s="7" t="str">
        <f>RawData!C853</f>
        <v>C80183</v>
      </c>
      <c r="D853" s="7" t="str">
        <f>RawData!D853</f>
        <v>Laptop</v>
      </c>
      <c r="E853" s="7">
        <f>RawData!E853</f>
        <v>1</v>
      </c>
      <c r="F853" s="7">
        <f>RawData!F853</f>
        <v>365.57</v>
      </c>
      <c r="G853" s="7" t="str">
        <f>RawData!G853</f>
        <v>146 Main St</v>
      </c>
      <c r="H853" s="7" t="str">
        <f>RawData!H853</f>
        <v>Online</v>
      </c>
      <c r="I853" s="7" t="str">
        <f>RawData!I853</f>
        <v>Cancelled</v>
      </c>
      <c r="J853" s="7" t="str">
        <f>RawData!J853</f>
        <v>TRK20814598</v>
      </c>
      <c r="K853" s="7">
        <f>RawData!K853</f>
        <v>5</v>
      </c>
      <c r="L853" s="7" t="str">
        <f>IF(RawData!L853="","No Coupon",RawData!L853)</f>
        <v>SAVE10</v>
      </c>
      <c r="M853" s="7" t="str">
        <f>RawData!M853</f>
        <v>Email</v>
      </c>
      <c r="N853" s="7">
        <f>RawData!N853</f>
        <v>365.57</v>
      </c>
    </row>
    <row r="854" spans="1:14" x14ac:dyDescent="0.3">
      <c r="A854" s="7" t="str">
        <f>RawData!A854</f>
        <v>ORD200852</v>
      </c>
      <c r="B854" s="11">
        <f>RawData!B854</f>
        <v>45589</v>
      </c>
      <c r="C854" s="7" t="str">
        <f>RawData!C854</f>
        <v>C39530</v>
      </c>
      <c r="D854" s="7" t="str">
        <f>RawData!D854</f>
        <v>Desk</v>
      </c>
      <c r="E854" s="7">
        <f>RawData!E854</f>
        <v>3</v>
      </c>
      <c r="F854" s="7">
        <f>RawData!F854</f>
        <v>568.04999999999995</v>
      </c>
      <c r="G854" s="7" t="str">
        <f>RawData!G854</f>
        <v>618 Main St</v>
      </c>
      <c r="H854" s="7" t="str">
        <f>RawData!H854</f>
        <v>Gift Card</v>
      </c>
      <c r="I854" s="7" t="str">
        <f>RawData!I854</f>
        <v>Pending</v>
      </c>
      <c r="J854" s="7" t="str">
        <f>RawData!J854</f>
        <v>TRK69000497</v>
      </c>
      <c r="K854" s="7">
        <f>RawData!K854</f>
        <v>6</v>
      </c>
      <c r="L854" s="7" t="str">
        <f>IF(RawData!L854="","No Coupon",RawData!L854)</f>
        <v>SAVE10</v>
      </c>
      <c r="M854" s="7" t="str">
        <f>RawData!M854</f>
        <v>Google</v>
      </c>
      <c r="N854" s="7">
        <f>RawData!N854</f>
        <v>1704.15</v>
      </c>
    </row>
    <row r="855" spans="1:14" x14ac:dyDescent="0.3">
      <c r="A855" s="7" t="str">
        <f>RawData!A855</f>
        <v>ORD200853</v>
      </c>
      <c r="B855" s="11">
        <f>RawData!B855</f>
        <v>45215</v>
      </c>
      <c r="C855" s="7" t="str">
        <f>RawData!C855</f>
        <v>C10002</v>
      </c>
      <c r="D855" s="7" t="str">
        <f>RawData!D855</f>
        <v>Printer</v>
      </c>
      <c r="E855" s="7">
        <f>RawData!E855</f>
        <v>3</v>
      </c>
      <c r="F855" s="7">
        <f>RawData!F855</f>
        <v>490.01</v>
      </c>
      <c r="G855" s="7" t="str">
        <f>RawData!G855</f>
        <v>894 Main St</v>
      </c>
      <c r="H855" s="7" t="str">
        <f>RawData!H855</f>
        <v>Cash</v>
      </c>
      <c r="I855" s="7" t="str">
        <f>RawData!I855</f>
        <v>Returned</v>
      </c>
      <c r="J855" s="7" t="str">
        <f>RawData!J855</f>
        <v>TRK94641152</v>
      </c>
      <c r="K855" s="7">
        <f>RawData!K855</f>
        <v>4</v>
      </c>
      <c r="L855" s="7" t="str">
        <f>IF(RawData!L855="","No Coupon",RawData!L855)</f>
        <v>SAVE10</v>
      </c>
      <c r="M855" s="7" t="str">
        <f>RawData!M855</f>
        <v>Facebook</v>
      </c>
      <c r="N855" s="7">
        <f>RawData!N855</f>
        <v>1470.03</v>
      </c>
    </row>
    <row r="856" spans="1:14" x14ac:dyDescent="0.3">
      <c r="A856" s="7" t="str">
        <f>RawData!A856</f>
        <v>ORD200854</v>
      </c>
      <c r="B856" s="11">
        <f>RawData!B856</f>
        <v>45821</v>
      </c>
      <c r="C856" s="7" t="str">
        <f>RawData!C856</f>
        <v>C56938</v>
      </c>
      <c r="D856" s="7" t="str">
        <f>RawData!D856</f>
        <v>Laptop</v>
      </c>
      <c r="E856" s="7">
        <f>RawData!E856</f>
        <v>3</v>
      </c>
      <c r="F856" s="7">
        <f>RawData!F856</f>
        <v>372.6</v>
      </c>
      <c r="G856" s="7" t="str">
        <f>RawData!G856</f>
        <v>356 Main St</v>
      </c>
      <c r="H856" s="7" t="str">
        <f>RawData!H856</f>
        <v>Credit Card</v>
      </c>
      <c r="I856" s="7" t="str">
        <f>RawData!I856</f>
        <v>Delivered</v>
      </c>
      <c r="J856" s="7" t="str">
        <f>RawData!J856</f>
        <v>TRK67735987</v>
      </c>
      <c r="K856" s="7">
        <f>RawData!K856</f>
        <v>7</v>
      </c>
      <c r="L856" s="7" t="str">
        <f>IF(RawData!L856="","No Coupon",RawData!L856)</f>
        <v>WINTER15</v>
      </c>
      <c r="M856" s="7" t="str">
        <f>RawData!M856</f>
        <v>Referral</v>
      </c>
      <c r="N856" s="7">
        <f>RawData!N856</f>
        <v>1117.8</v>
      </c>
    </row>
    <row r="857" spans="1:14" x14ac:dyDescent="0.3">
      <c r="A857" s="7" t="str">
        <f>RawData!A857</f>
        <v>ORD200855</v>
      </c>
      <c r="B857" s="11">
        <f>RawData!B857</f>
        <v>45071</v>
      </c>
      <c r="C857" s="7" t="str">
        <f>RawData!C857</f>
        <v>C41331</v>
      </c>
      <c r="D857" s="7" t="str">
        <f>RawData!D857</f>
        <v>Monitor</v>
      </c>
      <c r="E857" s="7">
        <f>RawData!E857</f>
        <v>5</v>
      </c>
      <c r="F857" s="7">
        <f>RawData!F857</f>
        <v>240.61</v>
      </c>
      <c r="G857" s="7" t="str">
        <f>RawData!G857</f>
        <v>785 Main St</v>
      </c>
      <c r="H857" s="7" t="str">
        <f>RawData!H857</f>
        <v>Credit Card</v>
      </c>
      <c r="I857" s="7" t="str">
        <f>RawData!I857</f>
        <v>Shipped</v>
      </c>
      <c r="J857" s="7" t="str">
        <f>RawData!J857</f>
        <v>TRK94198179</v>
      </c>
      <c r="K857" s="7">
        <f>RawData!K857</f>
        <v>10</v>
      </c>
      <c r="L857" s="7" t="str">
        <f>IF(RawData!L857="","No Coupon",RawData!L857)</f>
        <v>FREESHIP</v>
      </c>
      <c r="M857" s="7" t="str">
        <f>RawData!M857</f>
        <v>Email</v>
      </c>
      <c r="N857" s="7">
        <f>RawData!N857</f>
        <v>1203.05</v>
      </c>
    </row>
    <row r="858" spans="1:14" x14ac:dyDescent="0.3">
      <c r="A858" s="7" t="str">
        <f>RawData!A858</f>
        <v>ORD200856</v>
      </c>
      <c r="B858" s="11">
        <f>RawData!B858</f>
        <v>45446</v>
      </c>
      <c r="C858" s="7" t="str">
        <f>RawData!C858</f>
        <v>C94698</v>
      </c>
      <c r="D858" s="7" t="str">
        <f>RawData!D858</f>
        <v>Phone</v>
      </c>
      <c r="E858" s="7">
        <f>RawData!E858</f>
        <v>1</v>
      </c>
      <c r="F858" s="7">
        <f>RawData!F858</f>
        <v>586.62</v>
      </c>
      <c r="G858" s="7" t="str">
        <f>RawData!G858</f>
        <v>871 Main St</v>
      </c>
      <c r="H858" s="7" t="str">
        <f>RawData!H858</f>
        <v>Debit Card</v>
      </c>
      <c r="I858" s="7" t="str">
        <f>RawData!I858</f>
        <v>Shipped</v>
      </c>
      <c r="J858" s="7" t="str">
        <f>RawData!J858</f>
        <v>TRK95768773</v>
      </c>
      <c r="K858" s="7">
        <f>RawData!K858</f>
        <v>5</v>
      </c>
      <c r="L858" s="7" t="str">
        <f>IF(RawData!L858="","No Coupon",RawData!L858)</f>
        <v>No Coupon</v>
      </c>
      <c r="M858" s="7" t="str">
        <f>RawData!M858</f>
        <v>Facebook</v>
      </c>
      <c r="N858" s="7">
        <f>RawData!N858</f>
        <v>586.62</v>
      </c>
    </row>
    <row r="859" spans="1:14" x14ac:dyDescent="0.3">
      <c r="A859" s="7" t="str">
        <f>RawData!A859</f>
        <v>ORD200857</v>
      </c>
      <c r="B859" s="11">
        <f>RawData!B859</f>
        <v>45361</v>
      </c>
      <c r="C859" s="7" t="str">
        <f>RawData!C859</f>
        <v>C56506</v>
      </c>
      <c r="D859" s="7" t="str">
        <f>RawData!D859</f>
        <v>Phone</v>
      </c>
      <c r="E859" s="7">
        <f>RawData!E859</f>
        <v>3</v>
      </c>
      <c r="F859" s="7">
        <f>RawData!F859</f>
        <v>257.83999999999997</v>
      </c>
      <c r="G859" s="7" t="str">
        <f>RawData!G859</f>
        <v>185 Main St</v>
      </c>
      <c r="H859" s="7" t="str">
        <f>RawData!H859</f>
        <v>Online</v>
      </c>
      <c r="I859" s="7" t="str">
        <f>RawData!I859</f>
        <v>Delivered</v>
      </c>
      <c r="J859" s="7" t="str">
        <f>RawData!J859</f>
        <v>TRK86808324</v>
      </c>
      <c r="K859" s="7">
        <f>RawData!K859</f>
        <v>4</v>
      </c>
      <c r="L859" s="7" t="str">
        <f>IF(RawData!L859="","No Coupon",RawData!L859)</f>
        <v>No Coupon</v>
      </c>
      <c r="M859" s="7" t="str">
        <f>RawData!M859</f>
        <v>Instagram</v>
      </c>
      <c r="N859" s="7">
        <f>RawData!N859</f>
        <v>773.52</v>
      </c>
    </row>
    <row r="860" spans="1:14" x14ac:dyDescent="0.3">
      <c r="A860" s="7" t="str">
        <f>RawData!A860</f>
        <v>ORD200858</v>
      </c>
      <c r="B860" s="11">
        <f>RawData!B860</f>
        <v>45158</v>
      </c>
      <c r="C860" s="7" t="str">
        <f>RawData!C860</f>
        <v>C22167</v>
      </c>
      <c r="D860" s="7" t="str">
        <f>RawData!D860</f>
        <v>Tablet</v>
      </c>
      <c r="E860" s="7">
        <f>RawData!E860</f>
        <v>5</v>
      </c>
      <c r="F860" s="7">
        <f>RawData!F860</f>
        <v>435.66</v>
      </c>
      <c r="G860" s="7" t="str">
        <f>RawData!G860</f>
        <v>891 Main St</v>
      </c>
      <c r="H860" s="7" t="str">
        <f>RawData!H860</f>
        <v>Online</v>
      </c>
      <c r="I860" s="7" t="str">
        <f>RawData!I860</f>
        <v>Pending</v>
      </c>
      <c r="J860" s="7" t="str">
        <f>RawData!J860</f>
        <v>TRK70269748</v>
      </c>
      <c r="K860" s="7">
        <f>RawData!K860</f>
        <v>9</v>
      </c>
      <c r="L860" s="7" t="str">
        <f>IF(RawData!L860="","No Coupon",RawData!L860)</f>
        <v>No Coupon</v>
      </c>
      <c r="M860" s="7" t="str">
        <f>RawData!M860</f>
        <v>Facebook</v>
      </c>
      <c r="N860" s="7">
        <f>RawData!N860</f>
        <v>2178.3000000000002</v>
      </c>
    </row>
    <row r="861" spans="1:14" x14ac:dyDescent="0.3">
      <c r="A861" s="7" t="str">
        <f>RawData!A861</f>
        <v>ORD200859</v>
      </c>
      <c r="B861" s="11">
        <f>RawData!B861</f>
        <v>45532</v>
      </c>
      <c r="C861" s="7" t="str">
        <f>RawData!C861</f>
        <v>C11127</v>
      </c>
      <c r="D861" s="7" t="str">
        <f>RawData!D861</f>
        <v>Chair</v>
      </c>
      <c r="E861" s="7">
        <f>RawData!E861</f>
        <v>5</v>
      </c>
      <c r="F861" s="7">
        <f>RawData!F861</f>
        <v>261.33</v>
      </c>
      <c r="G861" s="7" t="str">
        <f>RawData!G861</f>
        <v>154 Main St</v>
      </c>
      <c r="H861" s="7" t="str">
        <f>RawData!H861</f>
        <v>Credit Card</v>
      </c>
      <c r="I861" s="7" t="str">
        <f>RawData!I861</f>
        <v>Returned</v>
      </c>
      <c r="J861" s="7" t="str">
        <f>RawData!J861</f>
        <v>TRK73285507</v>
      </c>
      <c r="K861" s="7">
        <f>RawData!K861</f>
        <v>5</v>
      </c>
      <c r="L861" s="7" t="str">
        <f>IF(RawData!L861="","No Coupon",RawData!L861)</f>
        <v>SAVE10</v>
      </c>
      <c r="M861" s="7" t="str">
        <f>RawData!M861</f>
        <v>Referral</v>
      </c>
      <c r="N861" s="7">
        <f>RawData!N861</f>
        <v>1306.6500000000001</v>
      </c>
    </row>
    <row r="862" spans="1:14" x14ac:dyDescent="0.3">
      <c r="A862" s="7" t="str">
        <f>RawData!A862</f>
        <v>ORD200860</v>
      </c>
      <c r="B862" s="11">
        <f>RawData!B862</f>
        <v>45314</v>
      </c>
      <c r="C862" s="7" t="str">
        <f>RawData!C862</f>
        <v>C69542</v>
      </c>
      <c r="D862" s="7" t="str">
        <f>RawData!D862</f>
        <v>Printer</v>
      </c>
      <c r="E862" s="7">
        <f>RawData!E862</f>
        <v>1</v>
      </c>
      <c r="F862" s="7">
        <f>RawData!F862</f>
        <v>422.54</v>
      </c>
      <c r="G862" s="7" t="str">
        <f>RawData!G862</f>
        <v>876 Main St</v>
      </c>
      <c r="H862" s="7" t="str">
        <f>RawData!H862</f>
        <v>Cash</v>
      </c>
      <c r="I862" s="7" t="str">
        <f>RawData!I862</f>
        <v>Delivered</v>
      </c>
      <c r="J862" s="7" t="str">
        <f>RawData!J862</f>
        <v>TRK20746505</v>
      </c>
      <c r="K862" s="7">
        <f>RawData!K862</f>
        <v>1</v>
      </c>
      <c r="L862" s="7" t="str">
        <f>IF(RawData!L862="","No Coupon",RawData!L862)</f>
        <v>SAVE10</v>
      </c>
      <c r="M862" s="7" t="str">
        <f>RawData!M862</f>
        <v>Google</v>
      </c>
      <c r="N862" s="7">
        <f>RawData!N862</f>
        <v>422.54</v>
      </c>
    </row>
    <row r="863" spans="1:14" x14ac:dyDescent="0.3">
      <c r="A863" s="7" t="str">
        <f>RawData!A863</f>
        <v>ORD200861</v>
      </c>
      <c r="B863" s="11">
        <f>RawData!B863</f>
        <v>45004</v>
      </c>
      <c r="C863" s="7" t="str">
        <f>RawData!C863</f>
        <v>C93276</v>
      </c>
      <c r="D863" s="7" t="str">
        <f>RawData!D863</f>
        <v>Desk</v>
      </c>
      <c r="E863" s="7">
        <f>RawData!E863</f>
        <v>5</v>
      </c>
      <c r="F863" s="7">
        <f>RawData!F863</f>
        <v>330.45</v>
      </c>
      <c r="G863" s="7" t="str">
        <f>RawData!G863</f>
        <v>230 Main St</v>
      </c>
      <c r="H863" s="7" t="str">
        <f>RawData!H863</f>
        <v>Gift Card</v>
      </c>
      <c r="I863" s="7" t="str">
        <f>RawData!I863</f>
        <v>Shipped</v>
      </c>
      <c r="J863" s="7" t="str">
        <f>RawData!J863</f>
        <v>TRK44165913</v>
      </c>
      <c r="K863" s="7">
        <f>RawData!K863</f>
        <v>10</v>
      </c>
      <c r="L863" s="7" t="str">
        <f>IF(RawData!L863="","No Coupon",RawData!L863)</f>
        <v>FREESHIP</v>
      </c>
      <c r="M863" s="7" t="str">
        <f>RawData!M863</f>
        <v>Google</v>
      </c>
      <c r="N863" s="7">
        <f>RawData!N863</f>
        <v>1652.25</v>
      </c>
    </row>
    <row r="864" spans="1:14" x14ac:dyDescent="0.3">
      <c r="A864" s="7" t="str">
        <f>RawData!A864</f>
        <v>ORD200862</v>
      </c>
      <c r="B864" s="11">
        <f>RawData!B864</f>
        <v>45262</v>
      </c>
      <c r="C864" s="7" t="str">
        <f>RawData!C864</f>
        <v>C37969</v>
      </c>
      <c r="D864" s="7" t="str">
        <f>RawData!D864</f>
        <v>Desk</v>
      </c>
      <c r="E864" s="7">
        <f>RawData!E864</f>
        <v>3</v>
      </c>
      <c r="F864" s="7">
        <f>RawData!F864</f>
        <v>120.82</v>
      </c>
      <c r="G864" s="7" t="str">
        <f>RawData!G864</f>
        <v>799 Main St</v>
      </c>
      <c r="H864" s="7" t="str">
        <f>RawData!H864</f>
        <v>Credit Card</v>
      </c>
      <c r="I864" s="7" t="str">
        <f>RawData!I864</f>
        <v>Shipped</v>
      </c>
      <c r="J864" s="7" t="str">
        <f>RawData!J864</f>
        <v>TRK69852386</v>
      </c>
      <c r="K864" s="7">
        <f>RawData!K864</f>
        <v>5</v>
      </c>
      <c r="L864" s="7" t="str">
        <f>IF(RawData!L864="","No Coupon",RawData!L864)</f>
        <v>SAVE10</v>
      </c>
      <c r="M864" s="7" t="str">
        <f>RawData!M864</f>
        <v>Referral</v>
      </c>
      <c r="N864" s="7">
        <f>RawData!N864</f>
        <v>362.46</v>
      </c>
    </row>
    <row r="865" spans="1:14" x14ac:dyDescent="0.3">
      <c r="A865" s="7" t="str">
        <f>RawData!A865</f>
        <v>ORD200863</v>
      </c>
      <c r="B865" s="11">
        <f>RawData!B865</f>
        <v>45432</v>
      </c>
      <c r="C865" s="7" t="str">
        <f>RawData!C865</f>
        <v>C98276</v>
      </c>
      <c r="D865" s="7" t="str">
        <f>RawData!D865</f>
        <v>Phone</v>
      </c>
      <c r="E865" s="7">
        <f>RawData!E865</f>
        <v>1</v>
      </c>
      <c r="F865" s="7">
        <f>RawData!F865</f>
        <v>14.06</v>
      </c>
      <c r="G865" s="7" t="str">
        <f>RawData!G865</f>
        <v>471 Main St</v>
      </c>
      <c r="H865" s="7" t="str">
        <f>RawData!H865</f>
        <v>Credit Card</v>
      </c>
      <c r="I865" s="7" t="str">
        <f>RawData!I865</f>
        <v>Pending</v>
      </c>
      <c r="J865" s="7" t="str">
        <f>RawData!J865</f>
        <v>TRK74207282</v>
      </c>
      <c r="K865" s="7">
        <f>RawData!K865</f>
        <v>5</v>
      </c>
      <c r="L865" s="7" t="str">
        <f>IF(RawData!L865="","No Coupon",RawData!L865)</f>
        <v>SAVE10</v>
      </c>
      <c r="M865" s="7" t="str">
        <f>RawData!M865</f>
        <v>Referral</v>
      </c>
      <c r="N865" s="7">
        <f>RawData!N865</f>
        <v>14.06</v>
      </c>
    </row>
    <row r="866" spans="1:14" x14ac:dyDescent="0.3">
      <c r="A866" s="7" t="str">
        <f>RawData!A866</f>
        <v>ORD200864</v>
      </c>
      <c r="B866" s="11">
        <f>RawData!B866</f>
        <v>45049</v>
      </c>
      <c r="C866" s="7" t="str">
        <f>RawData!C866</f>
        <v>C14240</v>
      </c>
      <c r="D866" s="7" t="str">
        <f>RawData!D866</f>
        <v>Desk</v>
      </c>
      <c r="E866" s="7">
        <f>RawData!E866</f>
        <v>1</v>
      </c>
      <c r="F866" s="7">
        <f>RawData!F866</f>
        <v>491.11</v>
      </c>
      <c r="G866" s="7" t="str">
        <f>RawData!G866</f>
        <v>592 Main St</v>
      </c>
      <c r="H866" s="7" t="str">
        <f>RawData!H866</f>
        <v>Credit Card</v>
      </c>
      <c r="I866" s="7" t="str">
        <f>RawData!I866</f>
        <v>Delivered</v>
      </c>
      <c r="J866" s="7" t="str">
        <f>RawData!J866</f>
        <v>TRK58095246</v>
      </c>
      <c r="K866" s="7">
        <f>RawData!K866</f>
        <v>4</v>
      </c>
      <c r="L866" s="7" t="str">
        <f>IF(RawData!L866="","No Coupon",RawData!L866)</f>
        <v>SAVE10</v>
      </c>
      <c r="M866" s="7" t="str">
        <f>RawData!M866</f>
        <v>Facebook</v>
      </c>
      <c r="N866" s="7">
        <f>RawData!N866</f>
        <v>491.11</v>
      </c>
    </row>
    <row r="867" spans="1:14" x14ac:dyDescent="0.3">
      <c r="A867" s="7" t="str">
        <f>RawData!A867</f>
        <v>ORD200865</v>
      </c>
      <c r="B867" s="11">
        <f>RawData!B867</f>
        <v>45046</v>
      </c>
      <c r="C867" s="7" t="str">
        <f>RawData!C867</f>
        <v>C72241</v>
      </c>
      <c r="D867" s="7" t="str">
        <f>RawData!D867</f>
        <v>Monitor</v>
      </c>
      <c r="E867" s="7">
        <f>RawData!E867</f>
        <v>4</v>
      </c>
      <c r="F867" s="7">
        <f>RawData!F867</f>
        <v>677.37</v>
      </c>
      <c r="G867" s="7" t="str">
        <f>RawData!G867</f>
        <v>156 Main St</v>
      </c>
      <c r="H867" s="7" t="str">
        <f>RawData!H867</f>
        <v>Cash</v>
      </c>
      <c r="I867" s="7" t="str">
        <f>RawData!I867</f>
        <v>Pending</v>
      </c>
      <c r="J867" s="7" t="str">
        <f>RawData!J867</f>
        <v>TRK76270481</v>
      </c>
      <c r="K867" s="7">
        <f>RawData!K867</f>
        <v>8</v>
      </c>
      <c r="L867" s="7" t="str">
        <f>IF(RawData!L867="","No Coupon",RawData!L867)</f>
        <v>SAVE10</v>
      </c>
      <c r="M867" s="7" t="str">
        <f>RawData!M867</f>
        <v>Google</v>
      </c>
      <c r="N867" s="7">
        <f>RawData!N867</f>
        <v>2709.48</v>
      </c>
    </row>
    <row r="868" spans="1:14" x14ac:dyDescent="0.3">
      <c r="A868" s="7" t="str">
        <f>RawData!A868</f>
        <v>ORD200866</v>
      </c>
      <c r="B868" s="11">
        <f>RawData!B868</f>
        <v>45499</v>
      </c>
      <c r="C868" s="7" t="str">
        <f>RawData!C868</f>
        <v>C39664</v>
      </c>
      <c r="D868" s="7" t="str">
        <f>RawData!D868</f>
        <v>Desk</v>
      </c>
      <c r="E868" s="7">
        <f>RawData!E868</f>
        <v>5</v>
      </c>
      <c r="F868" s="7">
        <f>RawData!F868</f>
        <v>189.25</v>
      </c>
      <c r="G868" s="7" t="str">
        <f>RawData!G868</f>
        <v>693 Main St</v>
      </c>
      <c r="H868" s="7" t="str">
        <f>RawData!H868</f>
        <v>Debit Card</v>
      </c>
      <c r="I868" s="7" t="str">
        <f>RawData!I868</f>
        <v>Cancelled</v>
      </c>
      <c r="J868" s="7" t="str">
        <f>RawData!J868</f>
        <v>TRK39917741</v>
      </c>
      <c r="K868" s="7">
        <f>RawData!K868</f>
        <v>10</v>
      </c>
      <c r="L868" s="7" t="str">
        <f>IF(RawData!L868="","No Coupon",RawData!L868)</f>
        <v>WINTER15</v>
      </c>
      <c r="M868" s="7" t="str">
        <f>RawData!M868</f>
        <v>Email</v>
      </c>
      <c r="N868" s="7">
        <f>RawData!N868</f>
        <v>946.25</v>
      </c>
    </row>
    <row r="869" spans="1:14" x14ac:dyDescent="0.3">
      <c r="A869" s="7" t="str">
        <f>RawData!A869</f>
        <v>ORD200867</v>
      </c>
      <c r="B869" s="11">
        <f>RawData!B869</f>
        <v>45438</v>
      </c>
      <c r="C869" s="7" t="str">
        <f>RawData!C869</f>
        <v>C53252</v>
      </c>
      <c r="D869" s="7" t="str">
        <f>RawData!D869</f>
        <v>Printer</v>
      </c>
      <c r="E869" s="7">
        <f>RawData!E869</f>
        <v>4</v>
      </c>
      <c r="F869" s="7">
        <f>RawData!F869</f>
        <v>142.58000000000001</v>
      </c>
      <c r="G869" s="7" t="str">
        <f>RawData!G869</f>
        <v>351 Main St</v>
      </c>
      <c r="H869" s="7" t="str">
        <f>RawData!H869</f>
        <v>Cash</v>
      </c>
      <c r="I869" s="7" t="str">
        <f>RawData!I869</f>
        <v>Delivered</v>
      </c>
      <c r="J869" s="7" t="str">
        <f>RawData!J869</f>
        <v>TRK65831261</v>
      </c>
      <c r="K869" s="7">
        <f>RawData!K869</f>
        <v>4</v>
      </c>
      <c r="L869" s="7" t="str">
        <f>IF(RawData!L869="","No Coupon",RawData!L869)</f>
        <v>FREESHIP</v>
      </c>
      <c r="M869" s="7" t="str">
        <f>RawData!M869</f>
        <v>Facebook</v>
      </c>
      <c r="N869" s="7">
        <f>RawData!N869</f>
        <v>570.32000000000005</v>
      </c>
    </row>
    <row r="870" spans="1:14" x14ac:dyDescent="0.3">
      <c r="A870" s="7" t="str">
        <f>RawData!A870</f>
        <v>ORD200868</v>
      </c>
      <c r="B870" s="11">
        <f>RawData!B870</f>
        <v>45472</v>
      </c>
      <c r="C870" s="7" t="str">
        <f>RawData!C870</f>
        <v>C70452</v>
      </c>
      <c r="D870" s="7" t="str">
        <f>RawData!D870</f>
        <v>Monitor</v>
      </c>
      <c r="E870" s="7">
        <f>RawData!E870</f>
        <v>4</v>
      </c>
      <c r="F870" s="7">
        <f>RawData!F870</f>
        <v>316.32</v>
      </c>
      <c r="G870" s="7" t="str">
        <f>RawData!G870</f>
        <v>309 Main St</v>
      </c>
      <c r="H870" s="7" t="str">
        <f>RawData!H870</f>
        <v>Debit Card</v>
      </c>
      <c r="I870" s="7" t="str">
        <f>RawData!I870</f>
        <v>Delivered</v>
      </c>
      <c r="J870" s="7" t="str">
        <f>RawData!J870</f>
        <v>TRK42985882</v>
      </c>
      <c r="K870" s="7">
        <f>RawData!K870</f>
        <v>7</v>
      </c>
      <c r="L870" s="7" t="str">
        <f>IF(RawData!L870="","No Coupon",RawData!L870)</f>
        <v>No Coupon</v>
      </c>
      <c r="M870" s="7" t="str">
        <f>RawData!M870</f>
        <v>Facebook</v>
      </c>
      <c r="N870" s="7">
        <f>RawData!N870</f>
        <v>1265.28</v>
      </c>
    </row>
    <row r="871" spans="1:14" x14ac:dyDescent="0.3">
      <c r="A871" s="7" t="str">
        <f>RawData!A871</f>
        <v>ORD200869</v>
      </c>
      <c r="B871" s="11">
        <f>RawData!B871</f>
        <v>45368</v>
      </c>
      <c r="C871" s="7" t="str">
        <f>RawData!C871</f>
        <v>C29905</v>
      </c>
      <c r="D871" s="7" t="str">
        <f>RawData!D871</f>
        <v>Desk</v>
      </c>
      <c r="E871" s="7">
        <f>RawData!E871</f>
        <v>2</v>
      </c>
      <c r="F871" s="7">
        <f>RawData!F871</f>
        <v>533.95000000000005</v>
      </c>
      <c r="G871" s="7" t="str">
        <f>RawData!G871</f>
        <v>790 Main St</v>
      </c>
      <c r="H871" s="7" t="str">
        <f>RawData!H871</f>
        <v>Online</v>
      </c>
      <c r="I871" s="7" t="str">
        <f>RawData!I871</f>
        <v>Delivered</v>
      </c>
      <c r="J871" s="7" t="str">
        <f>RawData!J871</f>
        <v>TRK16788127</v>
      </c>
      <c r="K871" s="7">
        <f>RawData!K871</f>
        <v>5</v>
      </c>
      <c r="L871" s="7" t="str">
        <f>IF(RawData!L871="","No Coupon",RawData!L871)</f>
        <v>WINTER15</v>
      </c>
      <c r="M871" s="7" t="str">
        <f>RawData!M871</f>
        <v>Google</v>
      </c>
      <c r="N871" s="7">
        <f>RawData!N871</f>
        <v>1067.9000000000001</v>
      </c>
    </row>
    <row r="872" spans="1:14" x14ac:dyDescent="0.3">
      <c r="A872" s="7" t="str">
        <f>RawData!A872</f>
        <v>ORD200870</v>
      </c>
      <c r="B872" s="11">
        <f>RawData!B872</f>
        <v>45809</v>
      </c>
      <c r="C872" s="7" t="str">
        <f>RawData!C872</f>
        <v>C78725</v>
      </c>
      <c r="D872" s="7" t="str">
        <f>RawData!D872</f>
        <v>Phone</v>
      </c>
      <c r="E872" s="7">
        <f>RawData!E872</f>
        <v>4</v>
      </c>
      <c r="F872" s="7">
        <f>RawData!F872</f>
        <v>470.09</v>
      </c>
      <c r="G872" s="7" t="str">
        <f>RawData!G872</f>
        <v>541 Main St</v>
      </c>
      <c r="H872" s="7" t="str">
        <f>RawData!H872</f>
        <v>Debit Card</v>
      </c>
      <c r="I872" s="7" t="str">
        <f>RawData!I872</f>
        <v>Delivered</v>
      </c>
      <c r="J872" s="7" t="str">
        <f>RawData!J872</f>
        <v>TRK72001139</v>
      </c>
      <c r="K872" s="7">
        <f>RawData!K872</f>
        <v>4</v>
      </c>
      <c r="L872" s="7" t="str">
        <f>IF(RawData!L872="","No Coupon",RawData!L872)</f>
        <v>FREESHIP</v>
      </c>
      <c r="M872" s="7" t="str">
        <f>RawData!M872</f>
        <v>Google</v>
      </c>
      <c r="N872" s="7">
        <f>RawData!N872</f>
        <v>1880.36</v>
      </c>
    </row>
    <row r="873" spans="1:14" x14ac:dyDescent="0.3">
      <c r="A873" s="7" t="str">
        <f>RawData!A873</f>
        <v>ORD200871</v>
      </c>
      <c r="B873" s="11">
        <f>RawData!B873</f>
        <v>45428</v>
      </c>
      <c r="C873" s="7" t="str">
        <f>RawData!C873</f>
        <v>C93768</v>
      </c>
      <c r="D873" s="7" t="str">
        <f>RawData!D873</f>
        <v>Tablet</v>
      </c>
      <c r="E873" s="7">
        <f>RawData!E873</f>
        <v>3</v>
      </c>
      <c r="F873" s="7">
        <f>RawData!F873</f>
        <v>324.3</v>
      </c>
      <c r="G873" s="7" t="str">
        <f>RawData!G873</f>
        <v>720 Main St</v>
      </c>
      <c r="H873" s="7" t="str">
        <f>RawData!H873</f>
        <v>Debit Card</v>
      </c>
      <c r="I873" s="7" t="str">
        <f>RawData!I873</f>
        <v>Pending</v>
      </c>
      <c r="J873" s="7" t="str">
        <f>RawData!J873</f>
        <v>TRK22024707</v>
      </c>
      <c r="K873" s="7">
        <f>RawData!K873</f>
        <v>8</v>
      </c>
      <c r="L873" s="7" t="str">
        <f>IF(RawData!L873="","No Coupon",RawData!L873)</f>
        <v>FREESHIP</v>
      </c>
      <c r="M873" s="7" t="str">
        <f>RawData!M873</f>
        <v>Email</v>
      </c>
      <c r="N873" s="7">
        <f>RawData!N873</f>
        <v>972.9</v>
      </c>
    </row>
    <row r="874" spans="1:14" x14ac:dyDescent="0.3">
      <c r="A874" s="7" t="str">
        <f>RawData!A874</f>
        <v>ORD200872</v>
      </c>
      <c r="B874" s="11">
        <f>RawData!B874</f>
        <v>45117</v>
      </c>
      <c r="C874" s="7" t="str">
        <f>RawData!C874</f>
        <v>C59169</v>
      </c>
      <c r="D874" s="7" t="str">
        <f>RawData!D874</f>
        <v>Chair</v>
      </c>
      <c r="E874" s="7">
        <f>RawData!E874</f>
        <v>4</v>
      </c>
      <c r="F874" s="7">
        <f>RawData!F874</f>
        <v>629.34</v>
      </c>
      <c r="G874" s="7" t="str">
        <f>RawData!G874</f>
        <v>172 Main St</v>
      </c>
      <c r="H874" s="7" t="str">
        <f>RawData!H874</f>
        <v>Cash</v>
      </c>
      <c r="I874" s="7" t="str">
        <f>RawData!I874</f>
        <v>Shipped</v>
      </c>
      <c r="J874" s="7" t="str">
        <f>RawData!J874</f>
        <v>TRK90883858</v>
      </c>
      <c r="K874" s="7">
        <f>RawData!K874</f>
        <v>7</v>
      </c>
      <c r="L874" s="7" t="str">
        <f>IF(RawData!L874="","No Coupon",RawData!L874)</f>
        <v>No Coupon</v>
      </c>
      <c r="M874" s="7" t="str">
        <f>RawData!M874</f>
        <v>Email</v>
      </c>
      <c r="N874" s="7">
        <f>RawData!N874</f>
        <v>2517.36</v>
      </c>
    </row>
    <row r="875" spans="1:14" x14ac:dyDescent="0.3">
      <c r="A875" s="7" t="str">
        <f>RawData!A875</f>
        <v>ORD200873</v>
      </c>
      <c r="B875" s="11">
        <f>RawData!B875</f>
        <v>45424</v>
      </c>
      <c r="C875" s="7" t="str">
        <f>RawData!C875</f>
        <v>C53488</v>
      </c>
      <c r="D875" s="7" t="str">
        <f>RawData!D875</f>
        <v>Desk</v>
      </c>
      <c r="E875" s="7">
        <f>RawData!E875</f>
        <v>3</v>
      </c>
      <c r="F875" s="7">
        <f>RawData!F875</f>
        <v>136.84</v>
      </c>
      <c r="G875" s="7" t="str">
        <f>RawData!G875</f>
        <v>448 Main St</v>
      </c>
      <c r="H875" s="7" t="str">
        <f>RawData!H875</f>
        <v>Cash</v>
      </c>
      <c r="I875" s="7" t="str">
        <f>RawData!I875</f>
        <v>Delivered</v>
      </c>
      <c r="J875" s="7" t="str">
        <f>RawData!J875</f>
        <v>TRK27365050</v>
      </c>
      <c r="K875" s="7">
        <f>RawData!K875</f>
        <v>3</v>
      </c>
      <c r="L875" s="7" t="str">
        <f>IF(RawData!L875="","No Coupon",RawData!L875)</f>
        <v>SAVE10</v>
      </c>
      <c r="M875" s="7" t="str">
        <f>RawData!M875</f>
        <v>Facebook</v>
      </c>
      <c r="N875" s="7">
        <f>RawData!N875</f>
        <v>410.52</v>
      </c>
    </row>
    <row r="876" spans="1:14" x14ac:dyDescent="0.3">
      <c r="A876" s="7" t="str">
        <f>RawData!A876</f>
        <v>ORD200874</v>
      </c>
      <c r="B876" s="11">
        <f>RawData!B876</f>
        <v>45230</v>
      </c>
      <c r="C876" s="7" t="str">
        <f>RawData!C876</f>
        <v>C92180</v>
      </c>
      <c r="D876" s="7" t="str">
        <f>RawData!D876</f>
        <v>Chair</v>
      </c>
      <c r="E876" s="7">
        <f>RawData!E876</f>
        <v>2</v>
      </c>
      <c r="F876" s="7">
        <f>RawData!F876</f>
        <v>488.9</v>
      </c>
      <c r="G876" s="7" t="str">
        <f>RawData!G876</f>
        <v>632 Main St</v>
      </c>
      <c r="H876" s="7" t="str">
        <f>RawData!H876</f>
        <v>Cash</v>
      </c>
      <c r="I876" s="7" t="str">
        <f>RawData!I876</f>
        <v>Delivered</v>
      </c>
      <c r="J876" s="7" t="str">
        <f>RawData!J876</f>
        <v>TRK93315929</v>
      </c>
      <c r="K876" s="7">
        <f>RawData!K876</f>
        <v>7</v>
      </c>
      <c r="L876" s="7" t="str">
        <f>IF(RawData!L876="","No Coupon",RawData!L876)</f>
        <v>FREESHIP</v>
      </c>
      <c r="M876" s="7" t="str">
        <f>RawData!M876</f>
        <v>Facebook</v>
      </c>
      <c r="N876" s="7">
        <f>RawData!N876</f>
        <v>977.8</v>
      </c>
    </row>
    <row r="877" spans="1:14" x14ac:dyDescent="0.3">
      <c r="A877" s="7" t="str">
        <f>RawData!A877</f>
        <v>ORD200875</v>
      </c>
      <c r="B877" s="11">
        <f>RawData!B877</f>
        <v>45141</v>
      </c>
      <c r="C877" s="7" t="str">
        <f>RawData!C877</f>
        <v>C25918</v>
      </c>
      <c r="D877" s="7" t="str">
        <f>RawData!D877</f>
        <v>Laptop</v>
      </c>
      <c r="E877" s="7">
        <f>RawData!E877</f>
        <v>5</v>
      </c>
      <c r="F877" s="7">
        <f>RawData!F877</f>
        <v>133.38999999999999</v>
      </c>
      <c r="G877" s="7" t="str">
        <f>RawData!G877</f>
        <v>203 Main St</v>
      </c>
      <c r="H877" s="7" t="str">
        <f>RawData!H877</f>
        <v>Credit Card</v>
      </c>
      <c r="I877" s="7" t="str">
        <f>RawData!I877</f>
        <v>Delivered</v>
      </c>
      <c r="J877" s="7" t="str">
        <f>RawData!J877</f>
        <v>TRK66473392</v>
      </c>
      <c r="K877" s="7">
        <f>RawData!K877</f>
        <v>6</v>
      </c>
      <c r="L877" s="7" t="str">
        <f>IF(RawData!L877="","No Coupon",RawData!L877)</f>
        <v>FREESHIP</v>
      </c>
      <c r="M877" s="7" t="str">
        <f>RawData!M877</f>
        <v>Referral</v>
      </c>
      <c r="N877" s="7">
        <f>RawData!N877</f>
        <v>666.95</v>
      </c>
    </row>
    <row r="878" spans="1:14" x14ac:dyDescent="0.3">
      <c r="A878" s="7" t="str">
        <f>RawData!A878</f>
        <v>ORD200876</v>
      </c>
      <c r="B878" s="11">
        <f>RawData!B878</f>
        <v>45452</v>
      </c>
      <c r="C878" s="7" t="str">
        <f>RawData!C878</f>
        <v>C90363</v>
      </c>
      <c r="D878" s="7" t="str">
        <f>RawData!D878</f>
        <v>Chair</v>
      </c>
      <c r="E878" s="7">
        <f>RawData!E878</f>
        <v>5</v>
      </c>
      <c r="F878" s="7">
        <f>RawData!F878</f>
        <v>608.91</v>
      </c>
      <c r="G878" s="7" t="str">
        <f>RawData!G878</f>
        <v>200 Main St</v>
      </c>
      <c r="H878" s="7" t="str">
        <f>RawData!H878</f>
        <v>Gift Card</v>
      </c>
      <c r="I878" s="7" t="str">
        <f>RawData!I878</f>
        <v>Pending</v>
      </c>
      <c r="J878" s="7" t="str">
        <f>RawData!J878</f>
        <v>TRK21534173</v>
      </c>
      <c r="K878" s="7">
        <f>RawData!K878</f>
        <v>6</v>
      </c>
      <c r="L878" s="7" t="str">
        <f>IF(RawData!L878="","No Coupon",RawData!L878)</f>
        <v>SAVE10</v>
      </c>
      <c r="M878" s="7" t="str">
        <f>RawData!M878</f>
        <v>Google</v>
      </c>
      <c r="N878" s="7">
        <f>RawData!N878</f>
        <v>3044.55</v>
      </c>
    </row>
    <row r="879" spans="1:14" x14ac:dyDescent="0.3">
      <c r="A879" s="7" t="str">
        <f>RawData!A879</f>
        <v>ORD200877</v>
      </c>
      <c r="B879" s="11">
        <f>RawData!B879</f>
        <v>45498</v>
      </c>
      <c r="C879" s="7" t="str">
        <f>RawData!C879</f>
        <v>C43867</v>
      </c>
      <c r="D879" s="7" t="str">
        <f>RawData!D879</f>
        <v>Tablet</v>
      </c>
      <c r="E879" s="7">
        <f>RawData!E879</f>
        <v>1</v>
      </c>
      <c r="F879" s="7">
        <f>RawData!F879</f>
        <v>524.05999999999995</v>
      </c>
      <c r="G879" s="7" t="str">
        <f>RawData!G879</f>
        <v>269 Main St</v>
      </c>
      <c r="H879" s="7" t="str">
        <f>RawData!H879</f>
        <v>Debit Card</v>
      </c>
      <c r="I879" s="7" t="str">
        <f>RawData!I879</f>
        <v>Pending</v>
      </c>
      <c r="J879" s="7" t="str">
        <f>RawData!J879</f>
        <v>TRK97319127</v>
      </c>
      <c r="K879" s="7">
        <f>RawData!K879</f>
        <v>3</v>
      </c>
      <c r="L879" s="7" t="str">
        <f>IF(RawData!L879="","No Coupon",RawData!L879)</f>
        <v>FREESHIP</v>
      </c>
      <c r="M879" s="7" t="str">
        <f>RawData!M879</f>
        <v>Email</v>
      </c>
      <c r="N879" s="7">
        <f>RawData!N879</f>
        <v>524.05999999999995</v>
      </c>
    </row>
    <row r="880" spans="1:14" x14ac:dyDescent="0.3">
      <c r="A880" s="7" t="str">
        <f>RawData!A880</f>
        <v>ORD200878</v>
      </c>
      <c r="B880" s="11">
        <f>RawData!B880</f>
        <v>45078</v>
      </c>
      <c r="C880" s="7" t="str">
        <f>RawData!C880</f>
        <v>C73873</v>
      </c>
      <c r="D880" s="7" t="str">
        <f>RawData!D880</f>
        <v>Desk</v>
      </c>
      <c r="E880" s="7">
        <f>RawData!E880</f>
        <v>2</v>
      </c>
      <c r="F880" s="7">
        <f>RawData!F880</f>
        <v>330.69</v>
      </c>
      <c r="G880" s="7" t="str">
        <f>RawData!G880</f>
        <v>393 Main St</v>
      </c>
      <c r="H880" s="7" t="str">
        <f>RawData!H880</f>
        <v>Online</v>
      </c>
      <c r="I880" s="7" t="str">
        <f>RawData!I880</f>
        <v>Cancelled</v>
      </c>
      <c r="J880" s="7" t="str">
        <f>RawData!J880</f>
        <v>TRK56423132</v>
      </c>
      <c r="K880" s="7">
        <f>RawData!K880</f>
        <v>5</v>
      </c>
      <c r="L880" s="7" t="str">
        <f>IF(RawData!L880="","No Coupon",RawData!L880)</f>
        <v>SAVE10</v>
      </c>
      <c r="M880" s="7" t="str">
        <f>RawData!M880</f>
        <v>Google</v>
      </c>
      <c r="N880" s="7">
        <f>RawData!N880</f>
        <v>661.38</v>
      </c>
    </row>
    <row r="881" spans="1:14" x14ac:dyDescent="0.3">
      <c r="A881" s="7" t="str">
        <f>RawData!A881</f>
        <v>ORD200879</v>
      </c>
      <c r="B881" s="11">
        <f>RawData!B881</f>
        <v>45755</v>
      </c>
      <c r="C881" s="7" t="str">
        <f>RawData!C881</f>
        <v>C56622</v>
      </c>
      <c r="D881" s="7" t="str">
        <f>RawData!D881</f>
        <v>Phone</v>
      </c>
      <c r="E881" s="7">
        <f>RawData!E881</f>
        <v>2</v>
      </c>
      <c r="F881" s="7">
        <f>RawData!F881</f>
        <v>547.66999999999996</v>
      </c>
      <c r="G881" s="7" t="str">
        <f>RawData!G881</f>
        <v>932 Main St</v>
      </c>
      <c r="H881" s="7" t="str">
        <f>RawData!H881</f>
        <v>Gift Card</v>
      </c>
      <c r="I881" s="7" t="str">
        <f>RawData!I881</f>
        <v>Shipped</v>
      </c>
      <c r="J881" s="7" t="str">
        <f>RawData!J881</f>
        <v>TRK86373987</v>
      </c>
      <c r="K881" s="7">
        <f>RawData!K881</f>
        <v>3</v>
      </c>
      <c r="L881" s="7" t="str">
        <f>IF(RawData!L881="","No Coupon",RawData!L881)</f>
        <v>No Coupon</v>
      </c>
      <c r="M881" s="7" t="str">
        <f>RawData!M881</f>
        <v>Instagram</v>
      </c>
      <c r="N881" s="7">
        <f>RawData!N881</f>
        <v>1095.3399999999999</v>
      </c>
    </row>
    <row r="882" spans="1:14" x14ac:dyDescent="0.3">
      <c r="A882" s="7" t="str">
        <f>RawData!A882</f>
        <v>ORD200880</v>
      </c>
      <c r="B882" s="11">
        <f>RawData!B882</f>
        <v>45728</v>
      </c>
      <c r="C882" s="7" t="str">
        <f>RawData!C882</f>
        <v>C85074</v>
      </c>
      <c r="D882" s="7" t="str">
        <f>RawData!D882</f>
        <v>Laptop</v>
      </c>
      <c r="E882" s="7">
        <f>RawData!E882</f>
        <v>4</v>
      </c>
      <c r="F882" s="7">
        <f>RawData!F882</f>
        <v>233.7</v>
      </c>
      <c r="G882" s="7" t="str">
        <f>RawData!G882</f>
        <v>506 Main St</v>
      </c>
      <c r="H882" s="7" t="str">
        <f>RawData!H882</f>
        <v>Online</v>
      </c>
      <c r="I882" s="7" t="str">
        <f>RawData!I882</f>
        <v>Shipped</v>
      </c>
      <c r="J882" s="7" t="str">
        <f>RawData!J882</f>
        <v>TRK63133878</v>
      </c>
      <c r="K882" s="7">
        <f>RawData!K882</f>
        <v>8</v>
      </c>
      <c r="L882" s="7" t="str">
        <f>IF(RawData!L882="","No Coupon",RawData!L882)</f>
        <v>SAVE10</v>
      </c>
      <c r="M882" s="7" t="str">
        <f>RawData!M882</f>
        <v>Facebook</v>
      </c>
      <c r="N882" s="7">
        <f>RawData!N882</f>
        <v>934.8</v>
      </c>
    </row>
    <row r="883" spans="1:14" x14ac:dyDescent="0.3">
      <c r="A883" s="7" t="str">
        <f>RawData!A883</f>
        <v>ORD200881</v>
      </c>
      <c r="B883" s="11">
        <f>RawData!B883</f>
        <v>44929</v>
      </c>
      <c r="C883" s="7" t="str">
        <f>RawData!C883</f>
        <v>C59579</v>
      </c>
      <c r="D883" s="7" t="str">
        <f>RawData!D883</f>
        <v>Tablet</v>
      </c>
      <c r="E883" s="7">
        <f>RawData!E883</f>
        <v>2</v>
      </c>
      <c r="F883" s="7">
        <f>RawData!F883</f>
        <v>448.85</v>
      </c>
      <c r="G883" s="7" t="str">
        <f>RawData!G883</f>
        <v>386 Main St</v>
      </c>
      <c r="H883" s="7" t="str">
        <f>RawData!H883</f>
        <v>Credit Card</v>
      </c>
      <c r="I883" s="7" t="str">
        <f>RawData!I883</f>
        <v>Pending</v>
      </c>
      <c r="J883" s="7" t="str">
        <f>RawData!J883</f>
        <v>TRK48000034</v>
      </c>
      <c r="K883" s="7">
        <f>RawData!K883</f>
        <v>6</v>
      </c>
      <c r="L883" s="7" t="str">
        <f>IF(RawData!L883="","No Coupon",RawData!L883)</f>
        <v>No Coupon</v>
      </c>
      <c r="M883" s="7" t="str">
        <f>RawData!M883</f>
        <v>Instagram</v>
      </c>
      <c r="N883" s="7">
        <f>RawData!N883</f>
        <v>897.7</v>
      </c>
    </row>
    <row r="884" spans="1:14" x14ac:dyDescent="0.3">
      <c r="A884" s="7" t="str">
        <f>RawData!A884</f>
        <v>ORD200882</v>
      </c>
      <c r="B884" s="11">
        <f>RawData!B884</f>
        <v>45836</v>
      </c>
      <c r="C884" s="7" t="str">
        <f>RawData!C884</f>
        <v>C43335</v>
      </c>
      <c r="D884" s="7" t="str">
        <f>RawData!D884</f>
        <v>Phone</v>
      </c>
      <c r="E884" s="7">
        <f>RawData!E884</f>
        <v>2</v>
      </c>
      <c r="F884" s="7">
        <f>RawData!F884</f>
        <v>274.12</v>
      </c>
      <c r="G884" s="7" t="str">
        <f>RawData!G884</f>
        <v>533 Main St</v>
      </c>
      <c r="H884" s="7" t="str">
        <f>RawData!H884</f>
        <v>Cash</v>
      </c>
      <c r="I884" s="7" t="str">
        <f>RawData!I884</f>
        <v>Delivered</v>
      </c>
      <c r="J884" s="7" t="str">
        <f>RawData!J884</f>
        <v>TRK91848650</v>
      </c>
      <c r="K884" s="7">
        <f>RawData!K884</f>
        <v>6</v>
      </c>
      <c r="L884" s="7" t="str">
        <f>IF(RawData!L884="","No Coupon",RawData!L884)</f>
        <v>FREESHIP</v>
      </c>
      <c r="M884" s="7" t="str">
        <f>RawData!M884</f>
        <v>Referral</v>
      </c>
      <c r="N884" s="7">
        <f>RawData!N884</f>
        <v>548.24</v>
      </c>
    </row>
    <row r="885" spans="1:14" x14ac:dyDescent="0.3">
      <c r="A885" s="7" t="str">
        <f>RawData!A885</f>
        <v>ORD200883</v>
      </c>
      <c r="B885" s="11">
        <f>RawData!B885</f>
        <v>45790</v>
      </c>
      <c r="C885" s="7" t="str">
        <f>RawData!C885</f>
        <v>C43595</v>
      </c>
      <c r="D885" s="7" t="str">
        <f>RawData!D885</f>
        <v>Printer</v>
      </c>
      <c r="E885" s="7">
        <f>RawData!E885</f>
        <v>5</v>
      </c>
      <c r="F885" s="7">
        <f>RawData!F885</f>
        <v>561.48</v>
      </c>
      <c r="G885" s="7" t="str">
        <f>RawData!G885</f>
        <v>451 Main St</v>
      </c>
      <c r="H885" s="7" t="str">
        <f>RawData!H885</f>
        <v>Online</v>
      </c>
      <c r="I885" s="7" t="str">
        <f>RawData!I885</f>
        <v>Delivered</v>
      </c>
      <c r="J885" s="7" t="str">
        <f>RawData!J885</f>
        <v>TRK25317348</v>
      </c>
      <c r="K885" s="7">
        <f>RawData!K885</f>
        <v>9</v>
      </c>
      <c r="L885" s="7" t="str">
        <f>IF(RawData!L885="","No Coupon",RawData!L885)</f>
        <v>FREESHIP</v>
      </c>
      <c r="M885" s="7" t="str">
        <f>RawData!M885</f>
        <v>Facebook</v>
      </c>
      <c r="N885" s="7">
        <f>RawData!N885</f>
        <v>2807.4</v>
      </c>
    </row>
    <row r="886" spans="1:14" x14ac:dyDescent="0.3">
      <c r="A886" s="7" t="str">
        <f>RawData!A886</f>
        <v>ORD200884</v>
      </c>
      <c r="B886" s="11">
        <f>RawData!B886</f>
        <v>45427</v>
      </c>
      <c r="C886" s="7" t="str">
        <f>RawData!C886</f>
        <v>C71471</v>
      </c>
      <c r="D886" s="7" t="str">
        <f>RawData!D886</f>
        <v>Chair</v>
      </c>
      <c r="E886" s="7">
        <f>RawData!E886</f>
        <v>1</v>
      </c>
      <c r="F886" s="7">
        <f>RawData!F886</f>
        <v>595.54</v>
      </c>
      <c r="G886" s="7" t="str">
        <f>RawData!G886</f>
        <v>817 Main St</v>
      </c>
      <c r="H886" s="7" t="str">
        <f>RawData!H886</f>
        <v>Gift Card</v>
      </c>
      <c r="I886" s="7" t="str">
        <f>RawData!I886</f>
        <v>Shipped</v>
      </c>
      <c r="J886" s="7" t="str">
        <f>RawData!J886</f>
        <v>TRK52137079</v>
      </c>
      <c r="K886" s="7">
        <f>RawData!K886</f>
        <v>4</v>
      </c>
      <c r="L886" s="7" t="str">
        <f>IF(RawData!L886="","No Coupon",RawData!L886)</f>
        <v>No Coupon</v>
      </c>
      <c r="M886" s="7" t="str">
        <f>RawData!M886</f>
        <v>Instagram</v>
      </c>
      <c r="N886" s="7">
        <f>RawData!N886</f>
        <v>595.54</v>
      </c>
    </row>
    <row r="887" spans="1:14" x14ac:dyDescent="0.3">
      <c r="A887" s="7" t="str">
        <f>RawData!A887</f>
        <v>ORD200885</v>
      </c>
      <c r="B887" s="11">
        <f>RawData!B887</f>
        <v>45389</v>
      </c>
      <c r="C887" s="7" t="str">
        <f>RawData!C887</f>
        <v>C61090</v>
      </c>
      <c r="D887" s="7" t="str">
        <f>RawData!D887</f>
        <v>Laptop</v>
      </c>
      <c r="E887" s="7">
        <f>RawData!E887</f>
        <v>4</v>
      </c>
      <c r="F887" s="7">
        <f>RawData!F887</f>
        <v>515.59</v>
      </c>
      <c r="G887" s="7" t="str">
        <f>RawData!G887</f>
        <v>387 Main St</v>
      </c>
      <c r="H887" s="7" t="str">
        <f>RawData!H887</f>
        <v>Credit Card</v>
      </c>
      <c r="I887" s="7" t="str">
        <f>RawData!I887</f>
        <v>Shipped</v>
      </c>
      <c r="J887" s="7" t="str">
        <f>RawData!J887</f>
        <v>TRK36388962</v>
      </c>
      <c r="K887" s="7">
        <f>RawData!K887</f>
        <v>7</v>
      </c>
      <c r="L887" s="7" t="str">
        <f>IF(RawData!L887="","No Coupon",RawData!L887)</f>
        <v>FREESHIP</v>
      </c>
      <c r="M887" s="7" t="str">
        <f>RawData!M887</f>
        <v>Google</v>
      </c>
      <c r="N887" s="7">
        <f>RawData!N887</f>
        <v>2062.36</v>
      </c>
    </row>
    <row r="888" spans="1:14" x14ac:dyDescent="0.3">
      <c r="A888" s="7" t="str">
        <f>RawData!A888</f>
        <v>ORD200886</v>
      </c>
      <c r="B888" s="11">
        <f>RawData!B888</f>
        <v>45224</v>
      </c>
      <c r="C888" s="7" t="str">
        <f>RawData!C888</f>
        <v>C29620</v>
      </c>
      <c r="D888" s="7" t="str">
        <f>RawData!D888</f>
        <v>Phone</v>
      </c>
      <c r="E888" s="7">
        <f>RawData!E888</f>
        <v>1</v>
      </c>
      <c r="F888" s="7">
        <f>RawData!F888</f>
        <v>460.13</v>
      </c>
      <c r="G888" s="7" t="str">
        <f>RawData!G888</f>
        <v>792 Main St</v>
      </c>
      <c r="H888" s="7" t="str">
        <f>RawData!H888</f>
        <v>Credit Card</v>
      </c>
      <c r="I888" s="7" t="str">
        <f>RawData!I888</f>
        <v>Returned</v>
      </c>
      <c r="J888" s="7" t="str">
        <f>RawData!J888</f>
        <v>TRK22046456</v>
      </c>
      <c r="K888" s="7">
        <f>RawData!K888</f>
        <v>1</v>
      </c>
      <c r="L888" s="7" t="str">
        <f>IF(RawData!L888="","No Coupon",RawData!L888)</f>
        <v>No Coupon</v>
      </c>
      <c r="M888" s="7" t="str">
        <f>RawData!M888</f>
        <v>Google</v>
      </c>
      <c r="N888" s="7">
        <f>RawData!N888</f>
        <v>460.13</v>
      </c>
    </row>
    <row r="889" spans="1:14" x14ac:dyDescent="0.3">
      <c r="A889" s="7" t="str">
        <f>RawData!A889</f>
        <v>ORD200887</v>
      </c>
      <c r="B889" s="11">
        <f>RawData!B889</f>
        <v>45645</v>
      </c>
      <c r="C889" s="7" t="str">
        <f>RawData!C889</f>
        <v>C67932</v>
      </c>
      <c r="D889" s="7" t="str">
        <f>RawData!D889</f>
        <v>Chair</v>
      </c>
      <c r="E889" s="7">
        <f>RawData!E889</f>
        <v>3</v>
      </c>
      <c r="F889" s="7">
        <f>RawData!F889</f>
        <v>171.66</v>
      </c>
      <c r="G889" s="7" t="str">
        <f>RawData!G889</f>
        <v>857 Main St</v>
      </c>
      <c r="H889" s="7" t="str">
        <f>RawData!H889</f>
        <v>Debit Card</v>
      </c>
      <c r="I889" s="7" t="str">
        <f>RawData!I889</f>
        <v>Delivered</v>
      </c>
      <c r="J889" s="7" t="str">
        <f>RawData!J889</f>
        <v>TRK88547534</v>
      </c>
      <c r="K889" s="7">
        <f>RawData!K889</f>
        <v>7</v>
      </c>
      <c r="L889" s="7" t="str">
        <f>IF(RawData!L889="","No Coupon",RawData!L889)</f>
        <v>No Coupon</v>
      </c>
      <c r="M889" s="7" t="str">
        <f>RawData!M889</f>
        <v>Google</v>
      </c>
      <c r="N889" s="7">
        <f>RawData!N889</f>
        <v>514.98</v>
      </c>
    </row>
    <row r="890" spans="1:14" x14ac:dyDescent="0.3">
      <c r="A890" s="7" t="str">
        <f>RawData!A890</f>
        <v>ORD200888</v>
      </c>
      <c r="B890" s="11">
        <f>RawData!B890</f>
        <v>45496</v>
      </c>
      <c r="C890" s="7" t="str">
        <f>RawData!C890</f>
        <v>C14427</v>
      </c>
      <c r="D890" s="7" t="str">
        <f>RawData!D890</f>
        <v>Laptop</v>
      </c>
      <c r="E890" s="7">
        <f>RawData!E890</f>
        <v>2</v>
      </c>
      <c r="F890" s="7">
        <f>RawData!F890</f>
        <v>266.95</v>
      </c>
      <c r="G890" s="7" t="str">
        <f>RawData!G890</f>
        <v>833 Main St</v>
      </c>
      <c r="H890" s="7" t="str">
        <f>RawData!H890</f>
        <v>Credit Card</v>
      </c>
      <c r="I890" s="7" t="str">
        <f>RawData!I890</f>
        <v>Pending</v>
      </c>
      <c r="J890" s="7" t="str">
        <f>RawData!J890</f>
        <v>TRK58024529</v>
      </c>
      <c r="K890" s="7">
        <f>RawData!K890</f>
        <v>3</v>
      </c>
      <c r="L890" s="7" t="str">
        <f>IF(RawData!L890="","No Coupon",RawData!L890)</f>
        <v>No Coupon</v>
      </c>
      <c r="M890" s="7" t="str">
        <f>RawData!M890</f>
        <v>Instagram</v>
      </c>
      <c r="N890" s="7">
        <f>RawData!N890</f>
        <v>533.9</v>
      </c>
    </row>
    <row r="891" spans="1:14" x14ac:dyDescent="0.3">
      <c r="A891" s="7" t="str">
        <f>RawData!A891</f>
        <v>ORD200889</v>
      </c>
      <c r="B891" s="11">
        <f>RawData!B891</f>
        <v>45592</v>
      </c>
      <c r="C891" s="7" t="str">
        <f>RawData!C891</f>
        <v>C36725</v>
      </c>
      <c r="D891" s="7" t="str">
        <f>RawData!D891</f>
        <v>Monitor</v>
      </c>
      <c r="E891" s="7">
        <f>RawData!E891</f>
        <v>5</v>
      </c>
      <c r="F891" s="7">
        <f>RawData!F891</f>
        <v>650.72</v>
      </c>
      <c r="G891" s="7" t="str">
        <f>RawData!G891</f>
        <v>350 Main St</v>
      </c>
      <c r="H891" s="7" t="str">
        <f>RawData!H891</f>
        <v>Credit Card</v>
      </c>
      <c r="I891" s="7" t="str">
        <f>RawData!I891</f>
        <v>Cancelled</v>
      </c>
      <c r="J891" s="7" t="str">
        <f>RawData!J891</f>
        <v>TRK16808790</v>
      </c>
      <c r="K891" s="7">
        <f>RawData!K891</f>
        <v>8</v>
      </c>
      <c r="L891" s="7" t="str">
        <f>IF(RawData!L891="","No Coupon",RawData!L891)</f>
        <v>WINTER15</v>
      </c>
      <c r="M891" s="7" t="str">
        <f>RawData!M891</f>
        <v>Email</v>
      </c>
      <c r="N891" s="7">
        <f>RawData!N891</f>
        <v>3253.6</v>
      </c>
    </row>
    <row r="892" spans="1:14" x14ac:dyDescent="0.3">
      <c r="A892" s="7" t="str">
        <f>RawData!A892</f>
        <v>ORD200890</v>
      </c>
      <c r="B892" s="11">
        <f>RawData!B892</f>
        <v>45149</v>
      </c>
      <c r="C892" s="7" t="str">
        <f>RawData!C892</f>
        <v>C51921</v>
      </c>
      <c r="D892" s="7" t="str">
        <f>RawData!D892</f>
        <v>Laptop</v>
      </c>
      <c r="E892" s="7">
        <f>RawData!E892</f>
        <v>3</v>
      </c>
      <c r="F892" s="7">
        <f>RawData!F892</f>
        <v>439.53</v>
      </c>
      <c r="G892" s="7" t="str">
        <f>RawData!G892</f>
        <v>943 Main St</v>
      </c>
      <c r="H892" s="7" t="str">
        <f>RawData!H892</f>
        <v>Debit Card</v>
      </c>
      <c r="I892" s="7" t="str">
        <f>RawData!I892</f>
        <v>Pending</v>
      </c>
      <c r="J892" s="7" t="str">
        <f>RawData!J892</f>
        <v>TRK85741716</v>
      </c>
      <c r="K892" s="7">
        <f>RawData!K892</f>
        <v>5</v>
      </c>
      <c r="L892" s="7" t="str">
        <f>IF(RawData!L892="","No Coupon",RawData!L892)</f>
        <v>No Coupon</v>
      </c>
      <c r="M892" s="7" t="str">
        <f>RawData!M892</f>
        <v>Google</v>
      </c>
      <c r="N892" s="7">
        <f>RawData!N892</f>
        <v>1318.59</v>
      </c>
    </row>
    <row r="893" spans="1:14" x14ac:dyDescent="0.3">
      <c r="A893" s="7" t="str">
        <f>RawData!A893</f>
        <v>ORD200891</v>
      </c>
      <c r="B893" s="11">
        <f>RawData!B893</f>
        <v>45241</v>
      </c>
      <c r="C893" s="7" t="str">
        <f>RawData!C893</f>
        <v>C36534</v>
      </c>
      <c r="D893" s="7" t="str">
        <f>RawData!D893</f>
        <v>Monitor</v>
      </c>
      <c r="E893" s="7">
        <f>RawData!E893</f>
        <v>3</v>
      </c>
      <c r="F893" s="7">
        <f>RawData!F893</f>
        <v>654.54</v>
      </c>
      <c r="G893" s="7" t="str">
        <f>RawData!G893</f>
        <v>918 Main St</v>
      </c>
      <c r="H893" s="7" t="str">
        <f>RawData!H893</f>
        <v>Cash</v>
      </c>
      <c r="I893" s="7" t="str">
        <f>RawData!I893</f>
        <v>Returned</v>
      </c>
      <c r="J893" s="7" t="str">
        <f>RawData!J893</f>
        <v>TRK38952138</v>
      </c>
      <c r="K893" s="7">
        <f>RawData!K893</f>
        <v>7</v>
      </c>
      <c r="L893" s="7" t="str">
        <f>IF(RawData!L893="","No Coupon",RawData!L893)</f>
        <v>SAVE10</v>
      </c>
      <c r="M893" s="7" t="str">
        <f>RawData!M893</f>
        <v>Referral</v>
      </c>
      <c r="N893" s="7">
        <f>RawData!N893</f>
        <v>1963.62</v>
      </c>
    </row>
    <row r="894" spans="1:14" x14ac:dyDescent="0.3">
      <c r="A894" s="7" t="str">
        <f>RawData!A894</f>
        <v>ORD200892</v>
      </c>
      <c r="B894" s="11">
        <f>RawData!B894</f>
        <v>45447</v>
      </c>
      <c r="C894" s="7" t="str">
        <f>RawData!C894</f>
        <v>C72043</v>
      </c>
      <c r="D894" s="7" t="str">
        <f>RawData!D894</f>
        <v>Desk</v>
      </c>
      <c r="E894" s="7">
        <f>RawData!E894</f>
        <v>1</v>
      </c>
      <c r="F894" s="7">
        <f>RawData!F894</f>
        <v>394.53</v>
      </c>
      <c r="G894" s="7" t="str">
        <f>RawData!G894</f>
        <v>480 Main St</v>
      </c>
      <c r="H894" s="7" t="str">
        <f>RawData!H894</f>
        <v>Cash</v>
      </c>
      <c r="I894" s="7" t="str">
        <f>RawData!I894</f>
        <v>Shipped</v>
      </c>
      <c r="J894" s="7" t="str">
        <f>RawData!J894</f>
        <v>TRK40896408</v>
      </c>
      <c r="K894" s="7">
        <f>RawData!K894</f>
        <v>2</v>
      </c>
      <c r="L894" s="7" t="str">
        <f>IF(RawData!L894="","No Coupon",RawData!L894)</f>
        <v>FREESHIP</v>
      </c>
      <c r="M894" s="7" t="str">
        <f>RawData!M894</f>
        <v>Referral</v>
      </c>
      <c r="N894" s="7">
        <f>RawData!N894</f>
        <v>394.53</v>
      </c>
    </row>
    <row r="895" spans="1:14" x14ac:dyDescent="0.3">
      <c r="A895" s="7" t="str">
        <f>RawData!A895</f>
        <v>ORD200893</v>
      </c>
      <c r="B895" s="11">
        <f>RawData!B895</f>
        <v>45006</v>
      </c>
      <c r="C895" s="7" t="str">
        <f>RawData!C895</f>
        <v>C99533</v>
      </c>
      <c r="D895" s="7" t="str">
        <f>RawData!D895</f>
        <v>Monitor</v>
      </c>
      <c r="E895" s="7">
        <f>RawData!E895</f>
        <v>1</v>
      </c>
      <c r="F895" s="7">
        <f>RawData!F895</f>
        <v>678.01</v>
      </c>
      <c r="G895" s="7" t="str">
        <f>RawData!G895</f>
        <v>696 Main St</v>
      </c>
      <c r="H895" s="7" t="str">
        <f>RawData!H895</f>
        <v>Cash</v>
      </c>
      <c r="I895" s="7" t="str">
        <f>RawData!I895</f>
        <v>Pending</v>
      </c>
      <c r="J895" s="7" t="str">
        <f>RawData!J895</f>
        <v>TRK55701253</v>
      </c>
      <c r="K895" s="7">
        <f>RawData!K895</f>
        <v>4</v>
      </c>
      <c r="L895" s="7" t="str">
        <f>IF(RawData!L895="","No Coupon",RawData!L895)</f>
        <v>FREESHIP</v>
      </c>
      <c r="M895" s="7" t="str">
        <f>RawData!M895</f>
        <v>Referral</v>
      </c>
      <c r="N895" s="7">
        <f>RawData!N895</f>
        <v>678.01</v>
      </c>
    </row>
    <row r="896" spans="1:14" x14ac:dyDescent="0.3">
      <c r="A896" s="7" t="str">
        <f>RawData!A896</f>
        <v>ORD200894</v>
      </c>
      <c r="B896" s="11">
        <f>RawData!B896</f>
        <v>45069</v>
      </c>
      <c r="C896" s="7" t="str">
        <f>RawData!C896</f>
        <v>C90852</v>
      </c>
      <c r="D896" s="7" t="str">
        <f>RawData!D896</f>
        <v>Tablet</v>
      </c>
      <c r="E896" s="7">
        <f>RawData!E896</f>
        <v>3</v>
      </c>
      <c r="F896" s="7">
        <f>RawData!F896</f>
        <v>575.01</v>
      </c>
      <c r="G896" s="7" t="str">
        <f>RawData!G896</f>
        <v>852 Main St</v>
      </c>
      <c r="H896" s="7" t="str">
        <f>RawData!H896</f>
        <v>Online</v>
      </c>
      <c r="I896" s="7" t="str">
        <f>RawData!I896</f>
        <v>Cancelled</v>
      </c>
      <c r="J896" s="7" t="str">
        <f>RawData!J896</f>
        <v>TRK37551831</v>
      </c>
      <c r="K896" s="7">
        <f>RawData!K896</f>
        <v>8</v>
      </c>
      <c r="L896" s="7" t="str">
        <f>IF(RawData!L896="","No Coupon",RawData!L896)</f>
        <v>WINTER15</v>
      </c>
      <c r="M896" s="7" t="str">
        <f>RawData!M896</f>
        <v>Instagram</v>
      </c>
      <c r="N896" s="7">
        <f>RawData!N896</f>
        <v>1725.03</v>
      </c>
    </row>
    <row r="897" spans="1:14" x14ac:dyDescent="0.3">
      <c r="A897" s="7" t="str">
        <f>RawData!A897</f>
        <v>ORD200895</v>
      </c>
      <c r="B897" s="11">
        <f>RawData!B897</f>
        <v>45239</v>
      </c>
      <c r="C897" s="7" t="str">
        <f>RawData!C897</f>
        <v>C81882</v>
      </c>
      <c r="D897" s="7" t="str">
        <f>RawData!D897</f>
        <v>Chair</v>
      </c>
      <c r="E897" s="7">
        <f>RawData!E897</f>
        <v>3</v>
      </c>
      <c r="F897" s="7">
        <f>RawData!F897</f>
        <v>154.63999999999999</v>
      </c>
      <c r="G897" s="7" t="str">
        <f>RawData!G897</f>
        <v>832 Main St</v>
      </c>
      <c r="H897" s="7" t="str">
        <f>RawData!H897</f>
        <v>Debit Card</v>
      </c>
      <c r="I897" s="7" t="str">
        <f>RawData!I897</f>
        <v>Pending</v>
      </c>
      <c r="J897" s="7" t="str">
        <f>RawData!J897</f>
        <v>TRK62371264</v>
      </c>
      <c r="K897" s="7">
        <f>RawData!K897</f>
        <v>6</v>
      </c>
      <c r="L897" s="7" t="str">
        <f>IF(RawData!L897="","No Coupon",RawData!L897)</f>
        <v>WINTER15</v>
      </c>
      <c r="M897" s="7" t="str">
        <f>RawData!M897</f>
        <v>Facebook</v>
      </c>
      <c r="N897" s="7">
        <f>RawData!N897</f>
        <v>463.92</v>
      </c>
    </row>
    <row r="898" spans="1:14" x14ac:dyDescent="0.3">
      <c r="A898" s="7" t="str">
        <f>RawData!A898</f>
        <v>ORD200896</v>
      </c>
      <c r="B898" s="11">
        <f>RawData!B898</f>
        <v>45583</v>
      </c>
      <c r="C898" s="7" t="str">
        <f>RawData!C898</f>
        <v>C85466</v>
      </c>
      <c r="D898" s="7" t="str">
        <f>RawData!D898</f>
        <v>Desk</v>
      </c>
      <c r="E898" s="7">
        <f>RawData!E898</f>
        <v>3</v>
      </c>
      <c r="F898" s="7">
        <f>RawData!F898</f>
        <v>147.29</v>
      </c>
      <c r="G898" s="7" t="str">
        <f>RawData!G898</f>
        <v>102 Main St</v>
      </c>
      <c r="H898" s="7" t="str">
        <f>RawData!H898</f>
        <v>Gift Card</v>
      </c>
      <c r="I898" s="7" t="str">
        <f>RawData!I898</f>
        <v>Shipped</v>
      </c>
      <c r="J898" s="7" t="str">
        <f>RawData!J898</f>
        <v>TRK66764177</v>
      </c>
      <c r="K898" s="7">
        <f>RawData!K898</f>
        <v>3</v>
      </c>
      <c r="L898" s="7" t="str">
        <f>IF(RawData!L898="","No Coupon",RawData!L898)</f>
        <v>FREESHIP</v>
      </c>
      <c r="M898" s="7" t="str">
        <f>RawData!M898</f>
        <v>Google</v>
      </c>
      <c r="N898" s="7">
        <f>RawData!N898</f>
        <v>441.87</v>
      </c>
    </row>
    <row r="899" spans="1:14" x14ac:dyDescent="0.3">
      <c r="A899" s="7" t="str">
        <f>RawData!A899</f>
        <v>ORD200897</v>
      </c>
      <c r="B899" s="11">
        <f>RawData!B899</f>
        <v>45538</v>
      </c>
      <c r="C899" s="7" t="str">
        <f>RawData!C899</f>
        <v>C87995</v>
      </c>
      <c r="D899" s="7" t="str">
        <f>RawData!D899</f>
        <v>Laptop</v>
      </c>
      <c r="E899" s="7">
        <f>RawData!E899</f>
        <v>4</v>
      </c>
      <c r="F899" s="7">
        <f>RawData!F899</f>
        <v>481.48</v>
      </c>
      <c r="G899" s="7" t="str">
        <f>RawData!G899</f>
        <v>358 Main St</v>
      </c>
      <c r="H899" s="7" t="str">
        <f>RawData!H899</f>
        <v>Gift Card</v>
      </c>
      <c r="I899" s="7" t="str">
        <f>RawData!I899</f>
        <v>Delivered</v>
      </c>
      <c r="J899" s="7" t="str">
        <f>RawData!J899</f>
        <v>TRK38730545</v>
      </c>
      <c r="K899" s="7">
        <f>RawData!K899</f>
        <v>5</v>
      </c>
      <c r="L899" s="7" t="str">
        <f>IF(RawData!L899="","No Coupon",RawData!L899)</f>
        <v>SAVE10</v>
      </c>
      <c r="M899" s="7" t="str">
        <f>RawData!M899</f>
        <v>Instagram</v>
      </c>
      <c r="N899" s="7">
        <f>RawData!N899</f>
        <v>1925.92</v>
      </c>
    </row>
    <row r="900" spans="1:14" x14ac:dyDescent="0.3">
      <c r="A900" s="7" t="str">
        <f>RawData!A900</f>
        <v>ORD200898</v>
      </c>
      <c r="B900" s="11">
        <f>RawData!B900</f>
        <v>45721</v>
      </c>
      <c r="C900" s="7" t="str">
        <f>RawData!C900</f>
        <v>C44619</v>
      </c>
      <c r="D900" s="7" t="str">
        <f>RawData!D900</f>
        <v>Monitor</v>
      </c>
      <c r="E900" s="7">
        <f>RawData!E900</f>
        <v>3</v>
      </c>
      <c r="F900" s="7">
        <f>RawData!F900</f>
        <v>158.37</v>
      </c>
      <c r="G900" s="7" t="str">
        <f>RawData!G900</f>
        <v>742 Main St</v>
      </c>
      <c r="H900" s="7" t="str">
        <f>RawData!H900</f>
        <v>Cash</v>
      </c>
      <c r="I900" s="7" t="str">
        <f>RawData!I900</f>
        <v>Shipped</v>
      </c>
      <c r="J900" s="7" t="str">
        <f>RawData!J900</f>
        <v>TRK66662528</v>
      </c>
      <c r="K900" s="7">
        <f>RawData!K900</f>
        <v>6</v>
      </c>
      <c r="L900" s="7" t="str">
        <f>IF(RawData!L900="","No Coupon",RawData!L900)</f>
        <v>No Coupon</v>
      </c>
      <c r="M900" s="7" t="str">
        <f>RawData!M900</f>
        <v>Referral</v>
      </c>
      <c r="N900" s="7">
        <f>RawData!N900</f>
        <v>475.11</v>
      </c>
    </row>
    <row r="901" spans="1:14" x14ac:dyDescent="0.3">
      <c r="A901" s="7" t="str">
        <f>RawData!A901</f>
        <v>ORD200899</v>
      </c>
      <c r="B901" s="11">
        <f>RawData!B901</f>
        <v>45770</v>
      </c>
      <c r="C901" s="7" t="str">
        <f>RawData!C901</f>
        <v>C99904</v>
      </c>
      <c r="D901" s="7" t="str">
        <f>RawData!D901</f>
        <v>Printer</v>
      </c>
      <c r="E901" s="7">
        <f>RawData!E901</f>
        <v>2</v>
      </c>
      <c r="F901" s="7">
        <f>RawData!F901</f>
        <v>323.37</v>
      </c>
      <c r="G901" s="7" t="str">
        <f>RawData!G901</f>
        <v>552 Main St</v>
      </c>
      <c r="H901" s="7" t="str">
        <f>RawData!H901</f>
        <v>Online</v>
      </c>
      <c r="I901" s="7" t="str">
        <f>RawData!I901</f>
        <v>Pending</v>
      </c>
      <c r="J901" s="7" t="str">
        <f>RawData!J901</f>
        <v>TRK83843411</v>
      </c>
      <c r="K901" s="7">
        <f>RawData!K901</f>
        <v>3</v>
      </c>
      <c r="L901" s="7" t="str">
        <f>IF(RawData!L901="","No Coupon",RawData!L901)</f>
        <v>SAVE10</v>
      </c>
      <c r="M901" s="7" t="str">
        <f>RawData!M901</f>
        <v>Instagram</v>
      </c>
      <c r="N901" s="7">
        <f>RawData!N901</f>
        <v>646.74</v>
      </c>
    </row>
    <row r="902" spans="1:14" x14ac:dyDescent="0.3">
      <c r="A902" s="7" t="str">
        <f>RawData!A902</f>
        <v>ORD200900</v>
      </c>
      <c r="B902" s="11">
        <f>RawData!B902</f>
        <v>45695</v>
      </c>
      <c r="C902" s="7" t="str">
        <f>RawData!C902</f>
        <v>C52342</v>
      </c>
      <c r="D902" s="7" t="str">
        <f>RawData!D902</f>
        <v>Laptop</v>
      </c>
      <c r="E902" s="7">
        <f>RawData!E902</f>
        <v>5</v>
      </c>
      <c r="F902" s="7">
        <f>RawData!F902</f>
        <v>73.83</v>
      </c>
      <c r="G902" s="7" t="str">
        <f>RawData!G902</f>
        <v>991 Main St</v>
      </c>
      <c r="H902" s="7" t="str">
        <f>RawData!H902</f>
        <v>Debit Card</v>
      </c>
      <c r="I902" s="7" t="str">
        <f>RawData!I902</f>
        <v>Pending</v>
      </c>
      <c r="J902" s="7" t="str">
        <f>RawData!J902</f>
        <v>TRK67342586</v>
      </c>
      <c r="K902" s="7">
        <f>RawData!K902</f>
        <v>9</v>
      </c>
      <c r="L902" s="7" t="str">
        <f>IF(RawData!L902="","No Coupon",RawData!L902)</f>
        <v>No Coupon</v>
      </c>
      <c r="M902" s="7" t="str">
        <f>RawData!M902</f>
        <v>Instagram</v>
      </c>
      <c r="N902" s="7">
        <f>RawData!N902</f>
        <v>369.15</v>
      </c>
    </row>
    <row r="903" spans="1:14" x14ac:dyDescent="0.3">
      <c r="A903" s="7" t="str">
        <f>RawData!A903</f>
        <v>ORD200901</v>
      </c>
      <c r="B903" s="11">
        <f>RawData!B903</f>
        <v>45410</v>
      </c>
      <c r="C903" s="7" t="str">
        <f>RawData!C903</f>
        <v>C44277</v>
      </c>
      <c r="D903" s="7" t="str">
        <f>RawData!D903</f>
        <v>Tablet</v>
      </c>
      <c r="E903" s="7">
        <f>RawData!E903</f>
        <v>1</v>
      </c>
      <c r="F903" s="7">
        <f>RawData!F903</f>
        <v>458.63</v>
      </c>
      <c r="G903" s="7" t="str">
        <f>RawData!G903</f>
        <v>839 Main St</v>
      </c>
      <c r="H903" s="7" t="str">
        <f>RawData!H903</f>
        <v>Debit Card</v>
      </c>
      <c r="I903" s="7" t="str">
        <f>RawData!I903</f>
        <v>Returned</v>
      </c>
      <c r="J903" s="7" t="str">
        <f>RawData!J903</f>
        <v>TRK79321479</v>
      </c>
      <c r="K903" s="7">
        <f>RawData!K903</f>
        <v>4</v>
      </c>
      <c r="L903" s="7" t="str">
        <f>IF(RawData!L903="","No Coupon",RawData!L903)</f>
        <v>WINTER15</v>
      </c>
      <c r="M903" s="7" t="str">
        <f>RawData!M903</f>
        <v>Referral</v>
      </c>
      <c r="N903" s="7">
        <f>RawData!N903</f>
        <v>458.63</v>
      </c>
    </row>
    <row r="904" spans="1:14" x14ac:dyDescent="0.3">
      <c r="A904" s="7" t="str">
        <f>RawData!A904</f>
        <v>ORD200902</v>
      </c>
      <c r="B904" s="11">
        <f>RawData!B904</f>
        <v>45486</v>
      </c>
      <c r="C904" s="7" t="str">
        <f>RawData!C904</f>
        <v>C61162</v>
      </c>
      <c r="D904" s="7" t="str">
        <f>RawData!D904</f>
        <v>Monitor</v>
      </c>
      <c r="E904" s="7">
        <f>RawData!E904</f>
        <v>4</v>
      </c>
      <c r="F904" s="7">
        <f>RawData!F904</f>
        <v>180.25</v>
      </c>
      <c r="G904" s="7" t="str">
        <f>RawData!G904</f>
        <v>813 Main St</v>
      </c>
      <c r="H904" s="7" t="str">
        <f>RawData!H904</f>
        <v>Debit Card</v>
      </c>
      <c r="I904" s="7" t="str">
        <f>RawData!I904</f>
        <v>Cancelled</v>
      </c>
      <c r="J904" s="7" t="str">
        <f>RawData!J904</f>
        <v>TRK76712124</v>
      </c>
      <c r="K904" s="7">
        <f>RawData!K904</f>
        <v>7</v>
      </c>
      <c r="L904" s="7" t="str">
        <f>IF(RawData!L904="","No Coupon",RawData!L904)</f>
        <v>No Coupon</v>
      </c>
      <c r="M904" s="7" t="str">
        <f>RawData!M904</f>
        <v>Facebook</v>
      </c>
      <c r="N904" s="7">
        <f>RawData!N904</f>
        <v>721</v>
      </c>
    </row>
    <row r="905" spans="1:14" x14ac:dyDescent="0.3">
      <c r="A905" s="7" t="str">
        <f>RawData!A905</f>
        <v>ORD200903</v>
      </c>
      <c r="B905" s="11">
        <f>RawData!B905</f>
        <v>45063</v>
      </c>
      <c r="C905" s="7" t="str">
        <f>RawData!C905</f>
        <v>C80868</v>
      </c>
      <c r="D905" s="7" t="str">
        <f>RawData!D905</f>
        <v>Monitor</v>
      </c>
      <c r="E905" s="7">
        <f>RawData!E905</f>
        <v>3</v>
      </c>
      <c r="F905" s="7">
        <f>RawData!F905</f>
        <v>473.49</v>
      </c>
      <c r="G905" s="7" t="str">
        <f>RawData!G905</f>
        <v>205 Main St</v>
      </c>
      <c r="H905" s="7" t="str">
        <f>RawData!H905</f>
        <v>Credit Card</v>
      </c>
      <c r="I905" s="7" t="str">
        <f>RawData!I905</f>
        <v>Pending</v>
      </c>
      <c r="J905" s="7" t="str">
        <f>RawData!J905</f>
        <v>TRK56186636</v>
      </c>
      <c r="K905" s="7">
        <f>RawData!K905</f>
        <v>7</v>
      </c>
      <c r="L905" s="7" t="str">
        <f>IF(RawData!L905="","No Coupon",RawData!L905)</f>
        <v>No Coupon</v>
      </c>
      <c r="M905" s="7" t="str">
        <f>RawData!M905</f>
        <v>Email</v>
      </c>
      <c r="N905" s="7">
        <f>RawData!N905</f>
        <v>1420.47</v>
      </c>
    </row>
    <row r="906" spans="1:14" x14ac:dyDescent="0.3">
      <c r="A906" s="7" t="str">
        <f>RawData!A906</f>
        <v>ORD200904</v>
      </c>
      <c r="B906" s="11">
        <f>RawData!B906</f>
        <v>45693</v>
      </c>
      <c r="C906" s="7" t="str">
        <f>RawData!C906</f>
        <v>C16693</v>
      </c>
      <c r="D906" s="7" t="str">
        <f>RawData!D906</f>
        <v>Monitor</v>
      </c>
      <c r="E906" s="7">
        <f>RawData!E906</f>
        <v>4</v>
      </c>
      <c r="F906" s="7">
        <f>RawData!F906</f>
        <v>237.43</v>
      </c>
      <c r="G906" s="7" t="str">
        <f>RawData!G906</f>
        <v>262 Main St</v>
      </c>
      <c r="H906" s="7" t="str">
        <f>RawData!H906</f>
        <v>Cash</v>
      </c>
      <c r="I906" s="7" t="str">
        <f>RawData!I906</f>
        <v>Cancelled</v>
      </c>
      <c r="J906" s="7" t="str">
        <f>RawData!J906</f>
        <v>TRK41146508</v>
      </c>
      <c r="K906" s="7">
        <f>RawData!K906</f>
        <v>8</v>
      </c>
      <c r="L906" s="7" t="str">
        <f>IF(RawData!L906="","No Coupon",RawData!L906)</f>
        <v>WINTER15</v>
      </c>
      <c r="M906" s="7" t="str">
        <f>RawData!M906</f>
        <v>Referral</v>
      </c>
      <c r="N906" s="7">
        <f>RawData!N906</f>
        <v>949.72</v>
      </c>
    </row>
    <row r="907" spans="1:14" x14ac:dyDescent="0.3">
      <c r="A907" s="7" t="str">
        <f>RawData!A907</f>
        <v>ORD200905</v>
      </c>
      <c r="B907" s="11">
        <f>RawData!B907</f>
        <v>45253</v>
      </c>
      <c r="C907" s="7" t="str">
        <f>RawData!C907</f>
        <v>C67818</v>
      </c>
      <c r="D907" s="7" t="str">
        <f>RawData!D907</f>
        <v>Laptop</v>
      </c>
      <c r="E907" s="7">
        <f>RawData!E907</f>
        <v>1</v>
      </c>
      <c r="F907" s="7">
        <f>RawData!F907</f>
        <v>442.39</v>
      </c>
      <c r="G907" s="7" t="str">
        <f>RawData!G907</f>
        <v>101 Main St</v>
      </c>
      <c r="H907" s="7" t="str">
        <f>RawData!H907</f>
        <v>Gift Card</v>
      </c>
      <c r="I907" s="7" t="str">
        <f>RawData!I907</f>
        <v>Pending</v>
      </c>
      <c r="J907" s="7" t="str">
        <f>RawData!J907</f>
        <v>TRK81978113</v>
      </c>
      <c r="K907" s="7">
        <f>RawData!K907</f>
        <v>6</v>
      </c>
      <c r="L907" s="7" t="str">
        <f>IF(RawData!L907="","No Coupon",RawData!L907)</f>
        <v>FREESHIP</v>
      </c>
      <c r="M907" s="7" t="str">
        <f>RawData!M907</f>
        <v>Facebook</v>
      </c>
      <c r="N907" s="7">
        <f>RawData!N907</f>
        <v>442.39</v>
      </c>
    </row>
    <row r="908" spans="1:14" x14ac:dyDescent="0.3">
      <c r="A908" s="7" t="str">
        <f>RawData!A908</f>
        <v>ORD200906</v>
      </c>
      <c r="B908" s="11">
        <f>RawData!B908</f>
        <v>45538</v>
      </c>
      <c r="C908" s="7" t="str">
        <f>RawData!C908</f>
        <v>C49938</v>
      </c>
      <c r="D908" s="7" t="str">
        <f>RawData!D908</f>
        <v>Monitor</v>
      </c>
      <c r="E908" s="7">
        <f>RawData!E908</f>
        <v>1</v>
      </c>
      <c r="F908" s="7">
        <f>RawData!F908</f>
        <v>62.12</v>
      </c>
      <c r="G908" s="7" t="str">
        <f>RawData!G908</f>
        <v>141 Main St</v>
      </c>
      <c r="H908" s="7" t="str">
        <f>RawData!H908</f>
        <v>Cash</v>
      </c>
      <c r="I908" s="7" t="str">
        <f>RawData!I908</f>
        <v>Returned</v>
      </c>
      <c r="J908" s="7" t="str">
        <f>RawData!J908</f>
        <v>TRK80175572</v>
      </c>
      <c r="K908" s="7">
        <f>RawData!K908</f>
        <v>2</v>
      </c>
      <c r="L908" s="7" t="str">
        <f>IF(RawData!L908="","No Coupon",RawData!L908)</f>
        <v>No Coupon</v>
      </c>
      <c r="M908" s="7" t="str">
        <f>RawData!M908</f>
        <v>Email</v>
      </c>
      <c r="N908" s="7">
        <f>RawData!N908</f>
        <v>62.12</v>
      </c>
    </row>
    <row r="909" spans="1:14" x14ac:dyDescent="0.3">
      <c r="A909" s="7" t="str">
        <f>RawData!A909</f>
        <v>ORD200907</v>
      </c>
      <c r="B909" s="11">
        <f>RawData!B909</f>
        <v>45508</v>
      </c>
      <c r="C909" s="7" t="str">
        <f>RawData!C909</f>
        <v>C90898</v>
      </c>
      <c r="D909" s="7" t="str">
        <f>RawData!D909</f>
        <v>Desk</v>
      </c>
      <c r="E909" s="7">
        <f>RawData!E909</f>
        <v>5</v>
      </c>
      <c r="F909" s="7">
        <f>RawData!F909</f>
        <v>298.39</v>
      </c>
      <c r="G909" s="7" t="str">
        <f>RawData!G909</f>
        <v>583 Main St</v>
      </c>
      <c r="H909" s="7" t="str">
        <f>RawData!H909</f>
        <v>Gift Card</v>
      </c>
      <c r="I909" s="7" t="str">
        <f>RawData!I909</f>
        <v>Cancelled</v>
      </c>
      <c r="J909" s="7" t="str">
        <f>RawData!J909</f>
        <v>TRK52935170</v>
      </c>
      <c r="K909" s="7">
        <f>RawData!K909</f>
        <v>7</v>
      </c>
      <c r="L909" s="7" t="str">
        <f>IF(RawData!L909="","No Coupon",RawData!L909)</f>
        <v>WINTER15</v>
      </c>
      <c r="M909" s="7" t="str">
        <f>RawData!M909</f>
        <v>Referral</v>
      </c>
      <c r="N909" s="7">
        <f>RawData!N909</f>
        <v>1491.95</v>
      </c>
    </row>
    <row r="910" spans="1:14" x14ac:dyDescent="0.3">
      <c r="A910" s="7" t="str">
        <f>RawData!A910</f>
        <v>ORD200908</v>
      </c>
      <c r="B910" s="11">
        <f>RawData!B910</f>
        <v>45783</v>
      </c>
      <c r="C910" s="7" t="str">
        <f>RawData!C910</f>
        <v>C35117</v>
      </c>
      <c r="D910" s="7" t="str">
        <f>RawData!D910</f>
        <v>Desk</v>
      </c>
      <c r="E910" s="7">
        <f>RawData!E910</f>
        <v>2</v>
      </c>
      <c r="F910" s="7">
        <f>RawData!F910</f>
        <v>697.93</v>
      </c>
      <c r="G910" s="7" t="str">
        <f>RawData!G910</f>
        <v>332 Main St</v>
      </c>
      <c r="H910" s="7" t="str">
        <f>RawData!H910</f>
        <v>Credit Card</v>
      </c>
      <c r="I910" s="7" t="str">
        <f>RawData!I910</f>
        <v>Cancelled</v>
      </c>
      <c r="J910" s="7" t="str">
        <f>RawData!J910</f>
        <v>TRK27155709</v>
      </c>
      <c r="K910" s="7">
        <f>RawData!K910</f>
        <v>2</v>
      </c>
      <c r="L910" s="7" t="str">
        <f>IF(RawData!L910="","No Coupon",RawData!L910)</f>
        <v>SAVE10</v>
      </c>
      <c r="M910" s="7" t="str">
        <f>RawData!M910</f>
        <v>Google</v>
      </c>
      <c r="N910" s="7">
        <f>RawData!N910</f>
        <v>1395.86</v>
      </c>
    </row>
    <row r="911" spans="1:14" x14ac:dyDescent="0.3">
      <c r="A911" s="7" t="str">
        <f>RawData!A911</f>
        <v>ORD200909</v>
      </c>
      <c r="B911" s="11">
        <f>RawData!B911</f>
        <v>45439</v>
      </c>
      <c r="C911" s="7" t="str">
        <f>RawData!C911</f>
        <v>C60203</v>
      </c>
      <c r="D911" s="7" t="str">
        <f>RawData!D911</f>
        <v>Tablet</v>
      </c>
      <c r="E911" s="7">
        <f>RawData!E911</f>
        <v>2</v>
      </c>
      <c r="F911" s="7">
        <f>RawData!F911</f>
        <v>291.85000000000002</v>
      </c>
      <c r="G911" s="7" t="str">
        <f>RawData!G911</f>
        <v>569 Main St</v>
      </c>
      <c r="H911" s="7" t="str">
        <f>RawData!H911</f>
        <v>Cash</v>
      </c>
      <c r="I911" s="7" t="str">
        <f>RawData!I911</f>
        <v>Shipped</v>
      </c>
      <c r="J911" s="7" t="str">
        <f>RawData!J911</f>
        <v>TRK76525279</v>
      </c>
      <c r="K911" s="7">
        <f>RawData!K911</f>
        <v>5</v>
      </c>
      <c r="L911" s="7" t="str">
        <f>IF(RawData!L911="","No Coupon",RawData!L911)</f>
        <v>FREESHIP</v>
      </c>
      <c r="M911" s="7" t="str">
        <f>RawData!M911</f>
        <v>Instagram</v>
      </c>
      <c r="N911" s="7">
        <f>RawData!N911</f>
        <v>583.70000000000005</v>
      </c>
    </row>
    <row r="912" spans="1:14" x14ac:dyDescent="0.3">
      <c r="A912" s="7" t="str">
        <f>RawData!A912</f>
        <v>ORD200910</v>
      </c>
      <c r="B912" s="11">
        <f>RawData!B912</f>
        <v>45443</v>
      </c>
      <c r="C912" s="7" t="str">
        <f>RawData!C912</f>
        <v>C36174</v>
      </c>
      <c r="D912" s="7" t="str">
        <f>RawData!D912</f>
        <v>Printer</v>
      </c>
      <c r="E912" s="7">
        <f>RawData!E912</f>
        <v>3</v>
      </c>
      <c r="F912" s="7">
        <f>RawData!F912</f>
        <v>308.98</v>
      </c>
      <c r="G912" s="7" t="str">
        <f>RawData!G912</f>
        <v>348 Main St</v>
      </c>
      <c r="H912" s="7" t="str">
        <f>RawData!H912</f>
        <v>Cash</v>
      </c>
      <c r="I912" s="7" t="str">
        <f>RawData!I912</f>
        <v>Delivered</v>
      </c>
      <c r="J912" s="7" t="str">
        <f>RawData!J912</f>
        <v>TRK26397548</v>
      </c>
      <c r="K912" s="7">
        <f>RawData!K912</f>
        <v>3</v>
      </c>
      <c r="L912" s="7" t="str">
        <f>IF(RawData!L912="","No Coupon",RawData!L912)</f>
        <v>SAVE10</v>
      </c>
      <c r="M912" s="7" t="str">
        <f>RawData!M912</f>
        <v>Instagram</v>
      </c>
      <c r="N912" s="7">
        <f>RawData!N912</f>
        <v>926.94</v>
      </c>
    </row>
    <row r="913" spans="1:14" x14ac:dyDescent="0.3">
      <c r="A913" s="7" t="str">
        <f>RawData!A913</f>
        <v>ORD200911</v>
      </c>
      <c r="B913" s="11">
        <f>RawData!B913</f>
        <v>45517</v>
      </c>
      <c r="C913" s="7" t="str">
        <f>RawData!C913</f>
        <v>C80872</v>
      </c>
      <c r="D913" s="7" t="str">
        <f>RawData!D913</f>
        <v>Desk</v>
      </c>
      <c r="E913" s="7">
        <f>RawData!E913</f>
        <v>5</v>
      </c>
      <c r="F913" s="7">
        <f>RawData!F913</f>
        <v>396.86</v>
      </c>
      <c r="G913" s="7" t="str">
        <f>RawData!G913</f>
        <v>593 Main St</v>
      </c>
      <c r="H913" s="7" t="str">
        <f>RawData!H913</f>
        <v>Cash</v>
      </c>
      <c r="I913" s="7" t="str">
        <f>RawData!I913</f>
        <v>Cancelled</v>
      </c>
      <c r="J913" s="7" t="str">
        <f>RawData!J913</f>
        <v>TRK43967487</v>
      </c>
      <c r="K913" s="7">
        <f>RawData!K913</f>
        <v>9</v>
      </c>
      <c r="L913" s="7" t="str">
        <f>IF(RawData!L913="","No Coupon",RawData!L913)</f>
        <v>SAVE10</v>
      </c>
      <c r="M913" s="7" t="str">
        <f>RawData!M913</f>
        <v>Instagram</v>
      </c>
      <c r="N913" s="7">
        <f>RawData!N913</f>
        <v>1984.3</v>
      </c>
    </row>
    <row r="914" spans="1:14" x14ac:dyDescent="0.3">
      <c r="A914" s="7" t="str">
        <f>RawData!A914</f>
        <v>ORD200912</v>
      </c>
      <c r="B914" s="11">
        <f>RawData!B914</f>
        <v>45313</v>
      </c>
      <c r="C914" s="7" t="str">
        <f>RawData!C914</f>
        <v>C67604</v>
      </c>
      <c r="D914" s="7" t="str">
        <f>RawData!D914</f>
        <v>Desk</v>
      </c>
      <c r="E914" s="7">
        <f>RawData!E914</f>
        <v>2</v>
      </c>
      <c r="F914" s="7">
        <f>RawData!F914</f>
        <v>139.69</v>
      </c>
      <c r="G914" s="7" t="str">
        <f>RawData!G914</f>
        <v>318 Main St</v>
      </c>
      <c r="H914" s="7" t="str">
        <f>RawData!H914</f>
        <v>Online</v>
      </c>
      <c r="I914" s="7" t="str">
        <f>RawData!I914</f>
        <v>Returned</v>
      </c>
      <c r="J914" s="7" t="str">
        <f>RawData!J914</f>
        <v>TRK85545920</v>
      </c>
      <c r="K914" s="7">
        <f>RawData!K914</f>
        <v>7</v>
      </c>
      <c r="L914" s="7" t="str">
        <f>IF(RawData!L914="","No Coupon",RawData!L914)</f>
        <v>FREESHIP</v>
      </c>
      <c r="M914" s="7" t="str">
        <f>RawData!M914</f>
        <v>Email</v>
      </c>
      <c r="N914" s="7">
        <f>RawData!N914</f>
        <v>279.38</v>
      </c>
    </row>
    <row r="915" spans="1:14" x14ac:dyDescent="0.3">
      <c r="A915" s="7" t="str">
        <f>RawData!A915</f>
        <v>ORD200913</v>
      </c>
      <c r="B915" s="11">
        <f>RawData!B915</f>
        <v>44973</v>
      </c>
      <c r="C915" s="7" t="str">
        <f>RawData!C915</f>
        <v>C45599</v>
      </c>
      <c r="D915" s="7" t="str">
        <f>RawData!D915</f>
        <v>Printer</v>
      </c>
      <c r="E915" s="7">
        <f>RawData!E915</f>
        <v>5</v>
      </c>
      <c r="F915" s="7">
        <f>RawData!F915</f>
        <v>475.95</v>
      </c>
      <c r="G915" s="7" t="str">
        <f>RawData!G915</f>
        <v>505 Main St</v>
      </c>
      <c r="H915" s="7" t="str">
        <f>RawData!H915</f>
        <v>Credit Card</v>
      </c>
      <c r="I915" s="7" t="str">
        <f>RawData!I915</f>
        <v>Returned</v>
      </c>
      <c r="J915" s="7" t="str">
        <f>RawData!J915</f>
        <v>TRK62277685</v>
      </c>
      <c r="K915" s="7">
        <f>RawData!K915</f>
        <v>8</v>
      </c>
      <c r="L915" s="7" t="str">
        <f>IF(RawData!L915="","No Coupon",RawData!L915)</f>
        <v>WINTER15</v>
      </c>
      <c r="M915" s="7" t="str">
        <f>RawData!M915</f>
        <v>Facebook</v>
      </c>
      <c r="N915" s="7">
        <f>RawData!N915</f>
        <v>2379.75</v>
      </c>
    </row>
    <row r="916" spans="1:14" x14ac:dyDescent="0.3">
      <c r="A916" s="7" t="str">
        <f>RawData!A916</f>
        <v>ORD200914</v>
      </c>
      <c r="B916" s="11">
        <f>RawData!B916</f>
        <v>45698</v>
      </c>
      <c r="C916" s="7" t="str">
        <f>RawData!C916</f>
        <v>C70352</v>
      </c>
      <c r="D916" s="7" t="str">
        <f>RawData!D916</f>
        <v>Desk</v>
      </c>
      <c r="E916" s="7">
        <f>RawData!E916</f>
        <v>1</v>
      </c>
      <c r="F916" s="7">
        <f>RawData!F916</f>
        <v>626.6</v>
      </c>
      <c r="G916" s="7" t="str">
        <f>RawData!G916</f>
        <v>955 Main St</v>
      </c>
      <c r="H916" s="7" t="str">
        <f>RawData!H916</f>
        <v>Gift Card</v>
      </c>
      <c r="I916" s="7" t="str">
        <f>RawData!I916</f>
        <v>Returned</v>
      </c>
      <c r="J916" s="7" t="str">
        <f>RawData!J916</f>
        <v>TRK51589589</v>
      </c>
      <c r="K916" s="7">
        <f>RawData!K916</f>
        <v>4</v>
      </c>
      <c r="L916" s="7" t="str">
        <f>IF(RawData!L916="","No Coupon",RawData!L916)</f>
        <v>WINTER15</v>
      </c>
      <c r="M916" s="7" t="str">
        <f>RawData!M916</f>
        <v>Facebook</v>
      </c>
      <c r="N916" s="7">
        <f>RawData!N916</f>
        <v>626.6</v>
      </c>
    </row>
    <row r="917" spans="1:14" x14ac:dyDescent="0.3">
      <c r="A917" s="7" t="str">
        <f>RawData!A917</f>
        <v>ORD200915</v>
      </c>
      <c r="B917" s="11">
        <f>RawData!B917</f>
        <v>45338</v>
      </c>
      <c r="C917" s="7" t="str">
        <f>RawData!C917</f>
        <v>C20643</v>
      </c>
      <c r="D917" s="7" t="str">
        <f>RawData!D917</f>
        <v>Laptop</v>
      </c>
      <c r="E917" s="7">
        <f>RawData!E917</f>
        <v>4</v>
      </c>
      <c r="F917" s="7">
        <f>RawData!F917</f>
        <v>502.99</v>
      </c>
      <c r="G917" s="7" t="str">
        <f>RawData!G917</f>
        <v>939 Main St</v>
      </c>
      <c r="H917" s="7" t="str">
        <f>RawData!H917</f>
        <v>Debit Card</v>
      </c>
      <c r="I917" s="7" t="str">
        <f>RawData!I917</f>
        <v>Shipped</v>
      </c>
      <c r="J917" s="7" t="str">
        <f>RawData!J917</f>
        <v>TRK30736692</v>
      </c>
      <c r="K917" s="7">
        <f>RawData!K917</f>
        <v>4</v>
      </c>
      <c r="L917" s="7" t="str">
        <f>IF(RawData!L917="","No Coupon",RawData!L917)</f>
        <v>WINTER15</v>
      </c>
      <c r="M917" s="7" t="str">
        <f>RawData!M917</f>
        <v>Referral</v>
      </c>
      <c r="N917" s="7">
        <f>RawData!N917</f>
        <v>2011.96</v>
      </c>
    </row>
    <row r="918" spans="1:14" x14ac:dyDescent="0.3">
      <c r="A918" s="7" t="str">
        <f>RawData!A918</f>
        <v>ORD200916</v>
      </c>
      <c r="B918" s="11">
        <f>RawData!B918</f>
        <v>45464</v>
      </c>
      <c r="C918" s="7" t="str">
        <f>RawData!C918</f>
        <v>C35669</v>
      </c>
      <c r="D918" s="7" t="str">
        <f>RawData!D918</f>
        <v>Printer</v>
      </c>
      <c r="E918" s="7">
        <f>RawData!E918</f>
        <v>5</v>
      </c>
      <c r="F918" s="7">
        <f>RawData!F918</f>
        <v>578.83000000000004</v>
      </c>
      <c r="G918" s="7" t="str">
        <f>RawData!G918</f>
        <v>165 Main St</v>
      </c>
      <c r="H918" s="7" t="str">
        <f>RawData!H918</f>
        <v>Cash</v>
      </c>
      <c r="I918" s="7" t="str">
        <f>RawData!I918</f>
        <v>Returned</v>
      </c>
      <c r="J918" s="7" t="str">
        <f>RawData!J918</f>
        <v>TRK13928455</v>
      </c>
      <c r="K918" s="7">
        <f>RawData!K918</f>
        <v>6</v>
      </c>
      <c r="L918" s="7" t="str">
        <f>IF(RawData!L918="","No Coupon",RawData!L918)</f>
        <v>No Coupon</v>
      </c>
      <c r="M918" s="7" t="str">
        <f>RawData!M918</f>
        <v>Referral</v>
      </c>
      <c r="N918" s="7">
        <f>RawData!N918</f>
        <v>2894.15</v>
      </c>
    </row>
    <row r="919" spans="1:14" x14ac:dyDescent="0.3">
      <c r="A919" s="7" t="str">
        <f>RawData!A919</f>
        <v>ORD200917</v>
      </c>
      <c r="B919" s="11">
        <f>RawData!B919</f>
        <v>45677</v>
      </c>
      <c r="C919" s="7" t="str">
        <f>RawData!C919</f>
        <v>C65524</v>
      </c>
      <c r="D919" s="7" t="str">
        <f>RawData!D919</f>
        <v>Laptop</v>
      </c>
      <c r="E919" s="7">
        <f>RawData!E919</f>
        <v>5</v>
      </c>
      <c r="F919" s="7">
        <f>RawData!F919</f>
        <v>383.82</v>
      </c>
      <c r="G919" s="7" t="str">
        <f>RawData!G919</f>
        <v>836 Main St</v>
      </c>
      <c r="H919" s="7" t="str">
        <f>RawData!H919</f>
        <v>Credit Card</v>
      </c>
      <c r="I919" s="7" t="str">
        <f>RawData!I919</f>
        <v>Returned</v>
      </c>
      <c r="J919" s="7" t="str">
        <f>RawData!J919</f>
        <v>TRK19315310</v>
      </c>
      <c r="K919" s="7">
        <f>RawData!K919</f>
        <v>7</v>
      </c>
      <c r="L919" s="7" t="str">
        <f>IF(RawData!L919="","No Coupon",RawData!L919)</f>
        <v>FREESHIP</v>
      </c>
      <c r="M919" s="7" t="str">
        <f>RawData!M919</f>
        <v>Google</v>
      </c>
      <c r="N919" s="7">
        <f>RawData!N919</f>
        <v>1919.1</v>
      </c>
    </row>
    <row r="920" spans="1:14" x14ac:dyDescent="0.3">
      <c r="A920" s="7" t="str">
        <f>RawData!A920</f>
        <v>ORD200918</v>
      </c>
      <c r="B920" s="11">
        <f>RawData!B920</f>
        <v>45832</v>
      </c>
      <c r="C920" s="7" t="str">
        <f>RawData!C920</f>
        <v>C74359</v>
      </c>
      <c r="D920" s="7" t="str">
        <f>RawData!D920</f>
        <v>Laptop</v>
      </c>
      <c r="E920" s="7">
        <f>RawData!E920</f>
        <v>5</v>
      </c>
      <c r="F920" s="7">
        <f>RawData!F920</f>
        <v>368.25</v>
      </c>
      <c r="G920" s="7" t="str">
        <f>RawData!G920</f>
        <v>706 Main St</v>
      </c>
      <c r="H920" s="7" t="str">
        <f>RawData!H920</f>
        <v>Online</v>
      </c>
      <c r="I920" s="7" t="str">
        <f>RawData!I920</f>
        <v>Delivered</v>
      </c>
      <c r="J920" s="7" t="str">
        <f>RawData!J920</f>
        <v>TRK18250450</v>
      </c>
      <c r="K920" s="7">
        <f>RawData!K920</f>
        <v>5</v>
      </c>
      <c r="L920" s="7" t="str">
        <f>IF(RawData!L920="","No Coupon",RawData!L920)</f>
        <v>No Coupon</v>
      </c>
      <c r="M920" s="7" t="str">
        <f>RawData!M920</f>
        <v>Instagram</v>
      </c>
      <c r="N920" s="7">
        <f>RawData!N920</f>
        <v>1841.25</v>
      </c>
    </row>
    <row r="921" spans="1:14" x14ac:dyDescent="0.3">
      <c r="A921" s="7" t="str">
        <f>RawData!A921</f>
        <v>ORD200919</v>
      </c>
      <c r="B921" s="11">
        <f>RawData!B921</f>
        <v>45695</v>
      </c>
      <c r="C921" s="7" t="str">
        <f>RawData!C921</f>
        <v>C92086</v>
      </c>
      <c r="D921" s="7" t="str">
        <f>RawData!D921</f>
        <v>Printer</v>
      </c>
      <c r="E921" s="7">
        <f>RawData!E921</f>
        <v>2</v>
      </c>
      <c r="F921" s="7">
        <f>RawData!F921</f>
        <v>374.6</v>
      </c>
      <c r="G921" s="7" t="str">
        <f>RawData!G921</f>
        <v>187 Main St</v>
      </c>
      <c r="H921" s="7" t="str">
        <f>RawData!H921</f>
        <v>Online</v>
      </c>
      <c r="I921" s="7" t="str">
        <f>RawData!I921</f>
        <v>Shipped</v>
      </c>
      <c r="J921" s="7" t="str">
        <f>RawData!J921</f>
        <v>TRK23357668</v>
      </c>
      <c r="K921" s="7">
        <f>RawData!K921</f>
        <v>3</v>
      </c>
      <c r="L921" s="7" t="str">
        <f>IF(RawData!L921="","No Coupon",RawData!L921)</f>
        <v>FREESHIP</v>
      </c>
      <c r="M921" s="7" t="str">
        <f>RawData!M921</f>
        <v>Referral</v>
      </c>
      <c r="N921" s="7">
        <f>RawData!N921</f>
        <v>749.2</v>
      </c>
    </row>
    <row r="922" spans="1:14" x14ac:dyDescent="0.3">
      <c r="A922" s="7" t="str">
        <f>RawData!A922</f>
        <v>ORD200920</v>
      </c>
      <c r="B922" s="11">
        <f>RawData!B922</f>
        <v>45728</v>
      </c>
      <c r="C922" s="7" t="str">
        <f>RawData!C922</f>
        <v>C26137</v>
      </c>
      <c r="D922" s="7" t="str">
        <f>RawData!D922</f>
        <v>Tablet</v>
      </c>
      <c r="E922" s="7">
        <f>RawData!E922</f>
        <v>2</v>
      </c>
      <c r="F922" s="7">
        <f>RawData!F922</f>
        <v>428.09</v>
      </c>
      <c r="G922" s="7" t="str">
        <f>RawData!G922</f>
        <v>978 Main St</v>
      </c>
      <c r="H922" s="7" t="str">
        <f>RawData!H922</f>
        <v>Credit Card</v>
      </c>
      <c r="I922" s="7" t="str">
        <f>RawData!I922</f>
        <v>Returned</v>
      </c>
      <c r="J922" s="7" t="str">
        <f>RawData!J922</f>
        <v>TRK98110407</v>
      </c>
      <c r="K922" s="7">
        <f>RawData!K922</f>
        <v>6</v>
      </c>
      <c r="L922" s="7" t="str">
        <f>IF(RawData!L922="","No Coupon",RawData!L922)</f>
        <v>No Coupon</v>
      </c>
      <c r="M922" s="7" t="str">
        <f>RawData!M922</f>
        <v>Instagram</v>
      </c>
      <c r="N922" s="7">
        <f>RawData!N922</f>
        <v>856.18</v>
      </c>
    </row>
    <row r="923" spans="1:14" x14ac:dyDescent="0.3">
      <c r="A923" s="7" t="str">
        <f>RawData!A923</f>
        <v>ORD200921</v>
      </c>
      <c r="B923" s="11">
        <f>RawData!B923</f>
        <v>45131</v>
      </c>
      <c r="C923" s="7" t="str">
        <f>RawData!C923</f>
        <v>C90573</v>
      </c>
      <c r="D923" s="7" t="str">
        <f>RawData!D923</f>
        <v>Tablet</v>
      </c>
      <c r="E923" s="7">
        <f>RawData!E923</f>
        <v>1</v>
      </c>
      <c r="F923" s="7">
        <f>RawData!F923</f>
        <v>438.93</v>
      </c>
      <c r="G923" s="7" t="str">
        <f>RawData!G923</f>
        <v>144 Main St</v>
      </c>
      <c r="H923" s="7" t="str">
        <f>RawData!H923</f>
        <v>Gift Card</v>
      </c>
      <c r="I923" s="7" t="str">
        <f>RawData!I923</f>
        <v>Cancelled</v>
      </c>
      <c r="J923" s="7" t="str">
        <f>RawData!J923</f>
        <v>TRK90075720</v>
      </c>
      <c r="K923" s="7">
        <f>RawData!K923</f>
        <v>3</v>
      </c>
      <c r="L923" s="7" t="str">
        <f>IF(RawData!L923="","No Coupon",RawData!L923)</f>
        <v>SAVE10</v>
      </c>
      <c r="M923" s="7" t="str">
        <f>RawData!M923</f>
        <v>Referral</v>
      </c>
      <c r="N923" s="7">
        <f>RawData!N923</f>
        <v>438.93</v>
      </c>
    </row>
    <row r="924" spans="1:14" x14ac:dyDescent="0.3">
      <c r="A924" s="7" t="str">
        <f>RawData!A924</f>
        <v>ORD200922</v>
      </c>
      <c r="B924" s="11">
        <f>RawData!B924</f>
        <v>45460</v>
      </c>
      <c r="C924" s="7" t="str">
        <f>RawData!C924</f>
        <v>C81857</v>
      </c>
      <c r="D924" s="7" t="str">
        <f>RawData!D924</f>
        <v>Desk</v>
      </c>
      <c r="E924" s="7">
        <f>RawData!E924</f>
        <v>2</v>
      </c>
      <c r="F924" s="7">
        <f>RawData!F924</f>
        <v>563.82000000000005</v>
      </c>
      <c r="G924" s="7" t="str">
        <f>RawData!G924</f>
        <v>487 Main St</v>
      </c>
      <c r="H924" s="7" t="str">
        <f>RawData!H924</f>
        <v>Credit Card</v>
      </c>
      <c r="I924" s="7" t="str">
        <f>RawData!I924</f>
        <v>Pending</v>
      </c>
      <c r="J924" s="7" t="str">
        <f>RawData!J924</f>
        <v>TRK79737732</v>
      </c>
      <c r="K924" s="7">
        <f>RawData!K924</f>
        <v>3</v>
      </c>
      <c r="L924" s="7" t="str">
        <f>IF(RawData!L924="","No Coupon",RawData!L924)</f>
        <v>No Coupon</v>
      </c>
      <c r="M924" s="7" t="str">
        <f>RawData!M924</f>
        <v>Instagram</v>
      </c>
      <c r="N924" s="7">
        <f>RawData!N924</f>
        <v>1127.6400000000001</v>
      </c>
    </row>
    <row r="925" spans="1:14" x14ac:dyDescent="0.3">
      <c r="A925" s="7" t="str">
        <f>RawData!A925</f>
        <v>ORD200923</v>
      </c>
      <c r="B925" s="11">
        <f>RawData!B925</f>
        <v>44968</v>
      </c>
      <c r="C925" s="7" t="str">
        <f>RawData!C925</f>
        <v>C91582</v>
      </c>
      <c r="D925" s="7" t="str">
        <f>RawData!D925</f>
        <v>Printer</v>
      </c>
      <c r="E925" s="7">
        <f>RawData!E925</f>
        <v>3</v>
      </c>
      <c r="F925" s="7">
        <f>RawData!F925</f>
        <v>649.92999999999995</v>
      </c>
      <c r="G925" s="7" t="str">
        <f>RawData!G925</f>
        <v>836 Main St</v>
      </c>
      <c r="H925" s="7" t="str">
        <f>RawData!H925</f>
        <v>Credit Card</v>
      </c>
      <c r="I925" s="7" t="str">
        <f>RawData!I925</f>
        <v>Pending</v>
      </c>
      <c r="J925" s="7" t="str">
        <f>RawData!J925</f>
        <v>TRK99938245</v>
      </c>
      <c r="K925" s="7">
        <f>RawData!K925</f>
        <v>7</v>
      </c>
      <c r="L925" s="7" t="str">
        <f>IF(RawData!L925="","No Coupon",RawData!L925)</f>
        <v>WINTER15</v>
      </c>
      <c r="M925" s="7" t="str">
        <f>RawData!M925</f>
        <v>Facebook</v>
      </c>
      <c r="N925" s="7">
        <f>RawData!N925</f>
        <v>1949.79</v>
      </c>
    </row>
    <row r="926" spans="1:14" x14ac:dyDescent="0.3">
      <c r="A926" s="7" t="str">
        <f>RawData!A926</f>
        <v>ORD200924</v>
      </c>
      <c r="B926" s="11">
        <f>RawData!B926</f>
        <v>45738</v>
      </c>
      <c r="C926" s="7" t="str">
        <f>RawData!C926</f>
        <v>C81319</v>
      </c>
      <c r="D926" s="7" t="str">
        <f>RawData!D926</f>
        <v>Printer</v>
      </c>
      <c r="E926" s="7">
        <f>RawData!E926</f>
        <v>5</v>
      </c>
      <c r="F926" s="7">
        <f>RawData!F926</f>
        <v>268.43</v>
      </c>
      <c r="G926" s="7" t="str">
        <f>RawData!G926</f>
        <v>991 Main St</v>
      </c>
      <c r="H926" s="7" t="str">
        <f>RawData!H926</f>
        <v>Cash</v>
      </c>
      <c r="I926" s="7" t="str">
        <f>RawData!I926</f>
        <v>Returned</v>
      </c>
      <c r="J926" s="7" t="str">
        <f>RawData!J926</f>
        <v>TRK55330558</v>
      </c>
      <c r="K926" s="7">
        <f>RawData!K926</f>
        <v>5</v>
      </c>
      <c r="L926" s="7" t="str">
        <f>IF(RawData!L926="","No Coupon",RawData!L926)</f>
        <v>SAVE10</v>
      </c>
      <c r="M926" s="7" t="str">
        <f>RawData!M926</f>
        <v>Email</v>
      </c>
      <c r="N926" s="7">
        <f>RawData!N926</f>
        <v>1342.15</v>
      </c>
    </row>
    <row r="927" spans="1:14" x14ac:dyDescent="0.3">
      <c r="A927" s="7" t="str">
        <f>RawData!A927</f>
        <v>ORD200925</v>
      </c>
      <c r="B927" s="11">
        <f>RawData!B927</f>
        <v>45646</v>
      </c>
      <c r="C927" s="7" t="str">
        <f>RawData!C927</f>
        <v>C78500</v>
      </c>
      <c r="D927" s="7" t="str">
        <f>RawData!D927</f>
        <v>Monitor</v>
      </c>
      <c r="E927" s="7">
        <f>RawData!E927</f>
        <v>5</v>
      </c>
      <c r="F927" s="7">
        <f>RawData!F927</f>
        <v>502.47</v>
      </c>
      <c r="G927" s="7" t="str">
        <f>RawData!G927</f>
        <v>304 Main St</v>
      </c>
      <c r="H927" s="7" t="str">
        <f>RawData!H927</f>
        <v>Online</v>
      </c>
      <c r="I927" s="7" t="str">
        <f>RawData!I927</f>
        <v>Shipped</v>
      </c>
      <c r="J927" s="7" t="str">
        <f>RawData!J927</f>
        <v>TRK97460884</v>
      </c>
      <c r="K927" s="7">
        <f>RawData!K927</f>
        <v>10</v>
      </c>
      <c r="L927" s="7" t="str">
        <f>IF(RawData!L927="","No Coupon",RawData!L927)</f>
        <v>WINTER15</v>
      </c>
      <c r="M927" s="7" t="str">
        <f>RawData!M927</f>
        <v>Email</v>
      </c>
      <c r="N927" s="7">
        <f>RawData!N927</f>
        <v>2512.35</v>
      </c>
    </row>
    <row r="928" spans="1:14" x14ac:dyDescent="0.3">
      <c r="A928" s="7" t="str">
        <f>RawData!A928</f>
        <v>ORD200926</v>
      </c>
      <c r="B928" s="11">
        <f>RawData!B928</f>
        <v>45371</v>
      </c>
      <c r="C928" s="7" t="str">
        <f>RawData!C928</f>
        <v>C67533</v>
      </c>
      <c r="D928" s="7" t="str">
        <f>RawData!D928</f>
        <v>Desk</v>
      </c>
      <c r="E928" s="7">
        <f>RawData!E928</f>
        <v>1</v>
      </c>
      <c r="F928" s="7">
        <f>RawData!F928</f>
        <v>26.95</v>
      </c>
      <c r="G928" s="7" t="str">
        <f>RawData!G928</f>
        <v>672 Main St</v>
      </c>
      <c r="H928" s="7" t="str">
        <f>RawData!H928</f>
        <v>Cash</v>
      </c>
      <c r="I928" s="7" t="str">
        <f>RawData!I928</f>
        <v>Delivered</v>
      </c>
      <c r="J928" s="7" t="str">
        <f>RawData!J928</f>
        <v>TRK14566395</v>
      </c>
      <c r="K928" s="7">
        <f>RawData!K928</f>
        <v>1</v>
      </c>
      <c r="L928" s="7" t="str">
        <f>IF(RawData!L928="","No Coupon",RawData!L928)</f>
        <v>WINTER15</v>
      </c>
      <c r="M928" s="7" t="str">
        <f>RawData!M928</f>
        <v>Email</v>
      </c>
      <c r="N928" s="7">
        <f>RawData!N928</f>
        <v>26.95</v>
      </c>
    </row>
    <row r="929" spans="1:14" x14ac:dyDescent="0.3">
      <c r="A929" s="7" t="str">
        <f>RawData!A929</f>
        <v>ORD200927</v>
      </c>
      <c r="B929" s="11">
        <f>RawData!B929</f>
        <v>44971</v>
      </c>
      <c r="C929" s="7" t="str">
        <f>RawData!C929</f>
        <v>C35566</v>
      </c>
      <c r="D929" s="7" t="str">
        <f>RawData!D929</f>
        <v>Laptop</v>
      </c>
      <c r="E929" s="7">
        <f>RawData!E929</f>
        <v>4</v>
      </c>
      <c r="F929" s="7">
        <f>RawData!F929</f>
        <v>64.69</v>
      </c>
      <c r="G929" s="7" t="str">
        <f>RawData!G929</f>
        <v>638 Main St</v>
      </c>
      <c r="H929" s="7" t="str">
        <f>RawData!H929</f>
        <v>Debit Card</v>
      </c>
      <c r="I929" s="7" t="str">
        <f>RawData!I929</f>
        <v>Shipped</v>
      </c>
      <c r="J929" s="7" t="str">
        <f>RawData!J929</f>
        <v>TRK10003020</v>
      </c>
      <c r="K929" s="7">
        <f>RawData!K929</f>
        <v>7</v>
      </c>
      <c r="L929" s="7" t="str">
        <f>IF(RawData!L929="","No Coupon",RawData!L929)</f>
        <v>WINTER15</v>
      </c>
      <c r="M929" s="7" t="str">
        <f>RawData!M929</f>
        <v>Google</v>
      </c>
      <c r="N929" s="7">
        <f>RawData!N929</f>
        <v>258.76</v>
      </c>
    </row>
    <row r="930" spans="1:14" x14ac:dyDescent="0.3">
      <c r="A930" s="7" t="str">
        <f>RawData!A930</f>
        <v>ORD200928</v>
      </c>
      <c r="B930" s="11">
        <f>RawData!B930</f>
        <v>45421</v>
      </c>
      <c r="C930" s="7" t="str">
        <f>RawData!C930</f>
        <v>C77166</v>
      </c>
      <c r="D930" s="7" t="str">
        <f>RawData!D930</f>
        <v>Laptop</v>
      </c>
      <c r="E930" s="7">
        <f>RawData!E930</f>
        <v>3</v>
      </c>
      <c r="F930" s="7">
        <f>RawData!F930</f>
        <v>247.11</v>
      </c>
      <c r="G930" s="7" t="str">
        <f>RawData!G930</f>
        <v>821 Main St</v>
      </c>
      <c r="H930" s="7" t="str">
        <f>RawData!H930</f>
        <v>Debit Card</v>
      </c>
      <c r="I930" s="7" t="str">
        <f>RawData!I930</f>
        <v>Returned</v>
      </c>
      <c r="J930" s="7" t="str">
        <f>RawData!J930</f>
        <v>TRK18896595</v>
      </c>
      <c r="K930" s="7">
        <f>RawData!K930</f>
        <v>3</v>
      </c>
      <c r="L930" s="7" t="str">
        <f>IF(RawData!L930="","No Coupon",RawData!L930)</f>
        <v>WINTER15</v>
      </c>
      <c r="M930" s="7" t="str">
        <f>RawData!M930</f>
        <v>Referral</v>
      </c>
      <c r="N930" s="7">
        <f>RawData!N930</f>
        <v>741.33</v>
      </c>
    </row>
    <row r="931" spans="1:14" x14ac:dyDescent="0.3">
      <c r="A931" s="7" t="str">
        <f>RawData!A931</f>
        <v>ORD200929</v>
      </c>
      <c r="B931" s="11">
        <f>RawData!B931</f>
        <v>45581</v>
      </c>
      <c r="C931" s="7" t="str">
        <f>RawData!C931</f>
        <v>C67936</v>
      </c>
      <c r="D931" s="7" t="str">
        <f>RawData!D931</f>
        <v>Tablet</v>
      </c>
      <c r="E931" s="7">
        <f>RawData!E931</f>
        <v>2</v>
      </c>
      <c r="F931" s="7">
        <f>RawData!F931</f>
        <v>536.25</v>
      </c>
      <c r="G931" s="7" t="str">
        <f>RawData!G931</f>
        <v>553 Main St</v>
      </c>
      <c r="H931" s="7" t="str">
        <f>RawData!H931</f>
        <v>Debit Card</v>
      </c>
      <c r="I931" s="7" t="str">
        <f>RawData!I931</f>
        <v>Pending</v>
      </c>
      <c r="J931" s="7" t="str">
        <f>RawData!J931</f>
        <v>TRK71803414</v>
      </c>
      <c r="K931" s="7">
        <f>RawData!K931</f>
        <v>3</v>
      </c>
      <c r="L931" s="7" t="str">
        <f>IF(RawData!L931="","No Coupon",RawData!L931)</f>
        <v>No Coupon</v>
      </c>
      <c r="M931" s="7" t="str">
        <f>RawData!M931</f>
        <v>Email</v>
      </c>
      <c r="N931" s="7">
        <f>RawData!N931</f>
        <v>1072.5</v>
      </c>
    </row>
    <row r="932" spans="1:14" x14ac:dyDescent="0.3">
      <c r="A932" s="7" t="str">
        <f>RawData!A932</f>
        <v>ORD200930</v>
      </c>
      <c r="B932" s="11">
        <f>RawData!B932</f>
        <v>45642</v>
      </c>
      <c r="C932" s="7" t="str">
        <f>RawData!C932</f>
        <v>C59554</v>
      </c>
      <c r="D932" s="7" t="str">
        <f>RawData!D932</f>
        <v>Phone</v>
      </c>
      <c r="E932" s="7">
        <f>RawData!E932</f>
        <v>2</v>
      </c>
      <c r="F932" s="7">
        <f>RawData!F932</f>
        <v>456.04</v>
      </c>
      <c r="G932" s="7" t="str">
        <f>RawData!G932</f>
        <v>382 Main St</v>
      </c>
      <c r="H932" s="7" t="str">
        <f>RawData!H932</f>
        <v>Debit Card</v>
      </c>
      <c r="I932" s="7" t="str">
        <f>RawData!I932</f>
        <v>Returned</v>
      </c>
      <c r="J932" s="7" t="str">
        <f>RawData!J932</f>
        <v>TRK28182447</v>
      </c>
      <c r="K932" s="7">
        <f>RawData!K932</f>
        <v>4</v>
      </c>
      <c r="L932" s="7" t="str">
        <f>IF(RawData!L932="","No Coupon",RawData!L932)</f>
        <v>FREESHIP</v>
      </c>
      <c r="M932" s="7" t="str">
        <f>RawData!M932</f>
        <v>Email</v>
      </c>
      <c r="N932" s="7">
        <f>RawData!N932</f>
        <v>912.08</v>
      </c>
    </row>
    <row r="933" spans="1:14" x14ac:dyDescent="0.3">
      <c r="A933" s="7" t="str">
        <f>RawData!A933</f>
        <v>ORD200931</v>
      </c>
      <c r="B933" s="11">
        <f>RawData!B933</f>
        <v>45292</v>
      </c>
      <c r="C933" s="7" t="str">
        <f>RawData!C933</f>
        <v>C14005</v>
      </c>
      <c r="D933" s="7" t="str">
        <f>RawData!D933</f>
        <v>Printer</v>
      </c>
      <c r="E933" s="7">
        <f>RawData!E933</f>
        <v>2</v>
      </c>
      <c r="F933" s="7">
        <f>RawData!F933</f>
        <v>40.229999999999997</v>
      </c>
      <c r="G933" s="7" t="str">
        <f>RawData!G933</f>
        <v>623 Main St</v>
      </c>
      <c r="H933" s="7" t="str">
        <f>RawData!H933</f>
        <v>Credit Card</v>
      </c>
      <c r="I933" s="7" t="str">
        <f>RawData!I933</f>
        <v>Cancelled</v>
      </c>
      <c r="J933" s="7" t="str">
        <f>RawData!J933</f>
        <v>TRK87567926</v>
      </c>
      <c r="K933" s="7">
        <f>RawData!K933</f>
        <v>4</v>
      </c>
      <c r="L933" s="7" t="str">
        <f>IF(RawData!L933="","No Coupon",RawData!L933)</f>
        <v>SAVE10</v>
      </c>
      <c r="M933" s="7" t="str">
        <f>RawData!M933</f>
        <v>Google</v>
      </c>
      <c r="N933" s="7">
        <f>RawData!N933</f>
        <v>80.459999999999994</v>
      </c>
    </row>
    <row r="934" spans="1:14" x14ac:dyDescent="0.3">
      <c r="A934" s="7" t="str">
        <f>RawData!A934</f>
        <v>ORD200932</v>
      </c>
      <c r="B934" s="11">
        <f>RawData!B934</f>
        <v>45011</v>
      </c>
      <c r="C934" s="7" t="str">
        <f>RawData!C934</f>
        <v>C26118</v>
      </c>
      <c r="D934" s="7" t="str">
        <f>RawData!D934</f>
        <v>Laptop</v>
      </c>
      <c r="E934" s="7">
        <f>RawData!E934</f>
        <v>2</v>
      </c>
      <c r="F934" s="7">
        <f>RawData!F934</f>
        <v>72.39</v>
      </c>
      <c r="G934" s="7" t="str">
        <f>RawData!G934</f>
        <v>168 Main St</v>
      </c>
      <c r="H934" s="7" t="str">
        <f>RawData!H934</f>
        <v>Online</v>
      </c>
      <c r="I934" s="7" t="str">
        <f>RawData!I934</f>
        <v>Delivered</v>
      </c>
      <c r="J934" s="7" t="str">
        <f>RawData!J934</f>
        <v>TRK15334251</v>
      </c>
      <c r="K934" s="7">
        <f>RawData!K934</f>
        <v>7</v>
      </c>
      <c r="L934" s="7" t="str">
        <f>IF(RawData!L934="","No Coupon",RawData!L934)</f>
        <v>WINTER15</v>
      </c>
      <c r="M934" s="7" t="str">
        <f>RawData!M934</f>
        <v>Instagram</v>
      </c>
      <c r="N934" s="7">
        <f>RawData!N934</f>
        <v>144.78</v>
      </c>
    </row>
    <row r="935" spans="1:14" x14ac:dyDescent="0.3">
      <c r="A935" s="7" t="str">
        <f>RawData!A935</f>
        <v>ORD200933</v>
      </c>
      <c r="B935" s="11">
        <f>RawData!B935</f>
        <v>44952</v>
      </c>
      <c r="C935" s="7" t="str">
        <f>RawData!C935</f>
        <v>C59685</v>
      </c>
      <c r="D935" s="7" t="str">
        <f>RawData!D935</f>
        <v>Monitor</v>
      </c>
      <c r="E935" s="7">
        <f>RawData!E935</f>
        <v>2</v>
      </c>
      <c r="F935" s="7">
        <f>RawData!F935</f>
        <v>394.16</v>
      </c>
      <c r="G935" s="7" t="str">
        <f>RawData!G935</f>
        <v>255 Main St</v>
      </c>
      <c r="H935" s="7" t="str">
        <f>RawData!H935</f>
        <v>Online</v>
      </c>
      <c r="I935" s="7" t="str">
        <f>RawData!I935</f>
        <v>Shipped</v>
      </c>
      <c r="J935" s="7" t="str">
        <f>RawData!J935</f>
        <v>TRK43718093</v>
      </c>
      <c r="K935" s="7">
        <f>RawData!K935</f>
        <v>2</v>
      </c>
      <c r="L935" s="7" t="str">
        <f>IF(RawData!L935="","No Coupon",RawData!L935)</f>
        <v>No Coupon</v>
      </c>
      <c r="M935" s="7" t="str">
        <f>RawData!M935</f>
        <v>Referral</v>
      </c>
      <c r="N935" s="7">
        <f>RawData!N935</f>
        <v>788.32</v>
      </c>
    </row>
    <row r="936" spans="1:14" x14ac:dyDescent="0.3">
      <c r="A936" s="7" t="str">
        <f>RawData!A936</f>
        <v>ORD200934</v>
      </c>
      <c r="B936" s="11">
        <f>RawData!B936</f>
        <v>45809</v>
      </c>
      <c r="C936" s="7" t="str">
        <f>RawData!C936</f>
        <v>C40304</v>
      </c>
      <c r="D936" s="7" t="str">
        <f>RawData!D936</f>
        <v>Laptop</v>
      </c>
      <c r="E936" s="7">
        <f>RawData!E936</f>
        <v>4</v>
      </c>
      <c r="F936" s="7">
        <f>RawData!F936</f>
        <v>119.84</v>
      </c>
      <c r="G936" s="7" t="str">
        <f>RawData!G936</f>
        <v>692 Main St</v>
      </c>
      <c r="H936" s="7" t="str">
        <f>RawData!H936</f>
        <v>Gift Card</v>
      </c>
      <c r="I936" s="7" t="str">
        <f>RawData!I936</f>
        <v>Shipped</v>
      </c>
      <c r="J936" s="7" t="str">
        <f>RawData!J936</f>
        <v>TRK85790948</v>
      </c>
      <c r="K936" s="7">
        <f>RawData!K936</f>
        <v>8</v>
      </c>
      <c r="L936" s="7" t="str">
        <f>IF(RawData!L936="","No Coupon",RawData!L936)</f>
        <v>FREESHIP</v>
      </c>
      <c r="M936" s="7" t="str">
        <f>RawData!M936</f>
        <v>Referral</v>
      </c>
      <c r="N936" s="7">
        <f>RawData!N936</f>
        <v>479.36</v>
      </c>
    </row>
    <row r="937" spans="1:14" x14ac:dyDescent="0.3">
      <c r="A937" s="7" t="str">
        <f>RawData!A937</f>
        <v>ORD200935</v>
      </c>
      <c r="B937" s="11">
        <f>RawData!B937</f>
        <v>45254</v>
      </c>
      <c r="C937" s="7" t="str">
        <f>RawData!C937</f>
        <v>C39593</v>
      </c>
      <c r="D937" s="7" t="str">
        <f>RawData!D937</f>
        <v>Phone</v>
      </c>
      <c r="E937" s="7">
        <f>RawData!E937</f>
        <v>3</v>
      </c>
      <c r="F937" s="7">
        <f>RawData!F937</f>
        <v>692.71</v>
      </c>
      <c r="G937" s="7" t="str">
        <f>RawData!G937</f>
        <v>398 Main St</v>
      </c>
      <c r="H937" s="7" t="str">
        <f>RawData!H937</f>
        <v>Credit Card</v>
      </c>
      <c r="I937" s="7" t="str">
        <f>RawData!I937</f>
        <v>Delivered</v>
      </c>
      <c r="J937" s="7" t="str">
        <f>RawData!J937</f>
        <v>TRK62405253</v>
      </c>
      <c r="K937" s="7">
        <f>RawData!K937</f>
        <v>3</v>
      </c>
      <c r="L937" s="7" t="str">
        <f>IF(RawData!L937="","No Coupon",RawData!L937)</f>
        <v>FREESHIP</v>
      </c>
      <c r="M937" s="7" t="str">
        <f>RawData!M937</f>
        <v>Instagram</v>
      </c>
      <c r="N937" s="7">
        <f>RawData!N937</f>
        <v>2078.13</v>
      </c>
    </row>
    <row r="938" spans="1:14" x14ac:dyDescent="0.3">
      <c r="A938" s="7" t="str">
        <f>RawData!A938</f>
        <v>ORD200936</v>
      </c>
      <c r="B938" s="11">
        <f>RawData!B938</f>
        <v>45303</v>
      </c>
      <c r="C938" s="7" t="str">
        <f>RawData!C938</f>
        <v>C50612</v>
      </c>
      <c r="D938" s="7" t="str">
        <f>RawData!D938</f>
        <v>Chair</v>
      </c>
      <c r="E938" s="7">
        <f>RawData!E938</f>
        <v>4</v>
      </c>
      <c r="F938" s="7">
        <f>RawData!F938</f>
        <v>56.66</v>
      </c>
      <c r="G938" s="7" t="str">
        <f>RawData!G938</f>
        <v>737 Main St</v>
      </c>
      <c r="H938" s="7" t="str">
        <f>RawData!H938</f>
        <v>Online</v>
      </c>
      <c r="I938" s="7" t="str">
        <f>RawData!I938</f>
        <v>Delivered</v>
      </c>
      <c r="J938" s="7" t="str">
        <f>RawData!J938</f>
        <v>TRK44140968</v>
      </c>
      <c r="K938" s="7">
        <f>RawData!K938</f>
        <v>4</v>
      </c>
      <c r="L938" s="7" t="str">
        <f>IF(RawData!L938="","No Coupon",RawData!L938)</f>
        <v>SAVE10</v>
      </c>
      <c r="M938" s="7" t="str">
        <f>RawData!M938</f>
        <v>Instagram</v>
      </c>
      <c r="N938" s="7">
        <f>RawData!N938</f>
        <v>226.64</v>
      </c>
    </row>
    <row r="939" spans="1:14" x14ac:dyDescent="0.3">
      <c r="A939" s="7" t="str">
        <f>RawData!A939</f>
        <v>ORD200937</v>
      </c>
      <c r="B939" s="11">
        <f>RawData!B939</f>
        <v>45307</v>
      </c>
      <c r="C939" s="7" t="str">
        <f>RawData!C939</f>
        <v>C39791</v>
      </c>
      <c r="D939" s="7" t="str">
        <f>RawData!D939</f>
        <v>Chair</v>
      </c>
      <c r="E939" s="7">
        <f>RawData!E939</f>
        <v>2</v>
      </c>
      <c r="F939" s="7">
        <f>RawData!F939</f>
        <v>298.52999999999997</v>
      </c>
      <c r="G939" s="7" t="str">
        <f>RawData!G939</f>
        <v>536 Main St</v>
      </c>
      <c r="H939" s="7" t="str">
        <f>RawData!H939</f>
        <v>Debit Card</v>
      </c>
      <c r="I939" s="7" t="str">
        <f>RawData!I939</f>
        <v>Cancelled</v>
      </c>
      <c r="J939" s="7" t="str">
        <f>RawData!J939</f>
        <v>TRK46221436</v>
      </c>
      <c r="K939" s="7">
        <f>RawData!K939</f>
        <v>5</v>
      </c>
      <c r="L939" s="7" t="str">
        <f>IF(RawData!L939="","No Coupon",RawData!L939)</f>
        <v>WINTER15</v>
      </c>
      <c r="M939" s="7" t="str">
        <f>RawData!M939</f>
        <v>Email</v>
      </c>
      <c r="N939" s="7">
        <f>RawData!N939</f>
        <v>597.05999999999995</v>
      </c>
    </row>
    <row r="940" spans="1:14" x14ac:dyDescent="0.3">
      <c r="A940" s="7" t="str">
        <f>RawData!A940</f>
        <v>ORD200938</v>
      </c>
      <c r="B940" s="11">
        <f>RawData!B940</f>
        <v>45119</v>
      </c>
      <c r="C940" s="7" t="str">
        <f>RawData!C940</f>
        <v>C39017</v>
      </c>
      <c r="D940" s="7" t="str">
        <f>RawData!D940</f>
        <v>Chair</v>
      </c>
      <c r="E940" s="7">
        <f>RawData!E940</f>
        <v>3</v>
      </c>
      <c r="F940" s="7">
        <f>RawData!F940</f>
        <v>331.46</v>
      </c>
      <c r="G940" s="7" t="str">
        <f>RawData!G940</f>
        <v>696 Main St</v>
      </c>
      <c r="H940" s="7" t="str">
        <f>RawData!H940</f>
        <v>Credit Card</v>
      </c>
      <c r="I940" s="7" t="str">
        <f>RawData!I940</f>
        <v>Cancelled</v>
      </c>
      <c r="J940" s="7" t="str">
        <f>RawData!J940</f>
        <v>TRK91155214</v>
      </c>
      <c r="K940" s="7">
        <f>RawData!K940</f>
        <v>6</v>
      </c>
      <c r="L940" s="7" t="str">
        <f>IF(RawData!L940="","No Coupon",RawData!L940)</f>
        <v>WINTER15</v>
      </c>
      <c r="M940" s="7" t="str">
        <f>RawData!M940</f>
        <v>Referral</v>
      </c>
      <c r="N940" s="7">
        <f>RawData!N940</f>
        <v>994.38</v>
      </c>
    </row>
    <row r="941" spans="1:14" x14ac:dyDescent="0.3">
      <c r="A941" s="7" t="str">
        <f>RawData!A941</f>
        <v>ORD200939</v>
      </c>
      <c r="B941" s="11">
        <f>RawData!B941</f>
        <v>45763</v>
      </c>
      <c r="C941" s="7" t="str">
        <f>RawData!C941</f>
        <v>C48510</v>
      </c>
      <c r="D941" s="7" t="str">
        <f>RawData!D941</f>
        <v>Laptop</v>
      </c>
      <c r="E941" s="7">
        <f>RawData!E941</f>
        <v>2</v>
      </c>
      <c r="F941" s="7">
        <f>RawData!F941</f>
        <v>521.4</v>
      </c>
      <c r="G941" s="7" t="str">
        <f>RawData!G941</f>
        <v>212 Main St</v>
      </c>
      <c r="H941" s="7" t="str">
        <f>RawData!H941</f>
        <v>Cash</v>
      </c>
      <c r="I941" s="7" t="str">
        <f>RawData!I941</f>
        <v>Delivered</v>
      </c>
      <c r="J941" s="7" t="str">
        <f>RawData!J941</f>
        <v>TRK53152886</v>
      </c>
      <c r="K941" s="7">
        <f>RawData!K941</f>
        <v>7</v>
      </c>
      <c r="L941" s="7" t="str">
        <f>IF(RawData!L941="","No Coupon",RawData!L941)</f>
        <v>SAVE10</v>
      </c>
      <c r="M941" s="7" t="str">
        <f>RawData!M941</f>
        <v>Instagram</v>
      </c>
      <c r="N941" s="7">
        <f>RawData!N941</f>
        <v>1042.8</v>
      </c>
    </row>
    <row r="942" spans="1:14" x14ac:dyDescent="0.3">
      <c r="A942" s="7" t="str">
        <f>RawData!A942</f>
        <v>ORD200940</v>
      </c>
      <c r="B942" s="11">
        <f>RawData!B942</f>
        <v>45012</v>
      </c>
      <c r="C942" s="7" t="str">
        <f>RawData!C942</f>
        <v>C74003</v>
      </c>
      <c r="D942" s="7" t="str">
        <f>RawData!D942</f>
        <v>Printer</v>
      </c>
      <c r="E942" s="7">
        <f>RawData!E942</f>
        <v>4</v>
      </c>
      <c r="F942" s="7">
        <f>RawData!F942</f>
        <v>305.32</v>
      </c>
      <c r="G942" s="7" t="str">
        <f>RawData!G942</f>
        <v>679 Main St</v>
      </c>
      <c r="H942" s="7" t="str">
        <f>RawData!H942</f>
        <v>Online</v>
      </c>
      <c r="I942" s="7" t="str">
        <f>RawData!I942</f>
        <v>Cancelled</v>
      </c>
      <c r="J942" s="7" t="str">
        <f>RawData!J942</f>
        <v>TRK91525779</v>
      </c>
      <c r="K942" s="7">
        <f>RawData!K942</f>
        <v>4</v>
      </c>
      <c r="L942" s="7" t="str">
        <f>IF(RawData!L942="","No Coupon",RawData!L942)</f>
        <v>SAVE10</v>
      </c>
      <c r="M942" s="7" t="str">
        <f>RawData!M942</f>
        <v>Google</v>
      </c>
      <c r="N942" s="7">
        <f>RawData!N942</f>
        <v>1221.28</v>
      </c>
    </row>
    <row r="943" spans="1:14" x14ac:dyDescent="0.3">
      <c r="A943" s="7" t="str">
        <f>RawData!A943</f>
        <v>ORD200941</v>
      </c>
      <c r="B943" s="11">
        <f>RawData!B943</f>
        <v>45124</v>
      </c>
      <c r="C943" s="7" t="str">
        <f>RawData!C943</f>
        <v>C91155</v>
      </c>
      <c r="D943" s="7" t="str">
        <f>RawData!D943</f>
        <v>Printer</v>
      </c>
      <c r="E943" s="7">
        <f>RawData!E943</f>
        <v>5</v>
      </c>
      <c r="F943" s="7">
        <f>RawData!F943</f>
        <v>111.7</v>
      </c>
      <c r="G943" s="7" t="str">
        <f>RawData!G943</f>
        <v>599 Main St</v>
      </c>
      <c r="H943" s="7" t="str">
        <f>RawData!H943</f>
        <v>Credit Card</v>
      </c>
      <c r="I943" s="7" t="str">
        <f>RawData!I943</f>
        <v>Cancelled</v>
      </c>
      <c r="J943" s="7" t="str">
        <f>RawData!J943</f>
        <v>TRK82162952</v>
      </c>
      <c r="K943" s="7">
        <f>RawData!K943</f>
        <v>9</v>
      </c>
      <c r="L943" s="7" t="str">
        <f>IF(RawData!L943="","No Coupon",RawData!L943)</f>
        <v>FREESHIP</v>
      </c>
      <c r="M943" s="7" t="str">
        <f>RawData!M943</f>
        <v>Email</v>
      </c>
      <c r="N943" s="7">
        <f>RawData!N943</f>
        <v>558.5</v>
      </c>
    </row>
    <row r="944" spans="1:14" x14ac:dyDescent="0.3">
      <c r="A944" s="7" t="str">
        <f>RawData!A944</f>
        <v>ORD200942</v>
      </c>
      <c r="B944" s="11">
        <f>RawData!B944</f>
        <v>45198</v>
      </c>
      <c r="C944" s="7" t="str">
        <f>RawData!C944</f>
        <v>C17591</v>
      </c>
      <c r="D944" s="7" t="str">
        <f>RawData!D944</f>
        <v>Tablet</v>
      </c>
      <c r="E944" s="7">
        <f>RawData!E944</f>
        <v>1</v>
      </c>
      <c r="F944" s="7">
        <f>RawData!F944</f>
        <v>479.76</v>
      </c>
      <c r="G944" s="7" t="str">
        <f>RawData!G944</f>
        <v>882 Main St</v>
      </c>
      <c r="H944" s="7" t="str">
        <f>RawData!H944</f>
        <v>Credit Card</v>
      </c>
      <c r="I944" s="7" t="str">
        <f>RawData!I944</f>
        <v>Pending</v>
      </c>
      <c r="J944" s="7" t="str">
        <f>RawData!J944</f>
        <v>TRK56070470</v>
      </c>
      <c r="K944" s="7">
        <f>RawData!K944</f>
        <v>1</v>
      </c>
      <c r="L944" s="7" t="str">
        <f>IF(RawData!L944="","No Coupon",RawData!L944)</f>
        <v>No Coupon</v>
      </c>
      <c r="M944" s="7" t="str">
        <f>RawData!M944</f>
        <v>Email</v>
      </c>
      <c r="N944" s="7">
        <f>RawData!N944</f>
        <v>479.76</v>
      </c>
    </row>
    <row r="945" spans="1:14" x14ac:dyDescent="0.3">
      <c r="A945" s="7" t="str">
        <f>RawData!A945</f>
        <v>ORD200943</v>
      </c>
      <c r="B945" s="11">
        <f>RawData!B945</f>
        <v>45287</v>
      </c>
      <c r="C945" s="7" t="str">
        <f>RawData!C945</f>
        <v>C43330</v>
      </c>
      <c r="D945" s="7" t="str">
        <f>RawData!D945</f>
        <v>Monitor</v>
      </c>
      <c r="E945" s="7">
        <f>RawData!E945</f>
        <v>3</v>
      </c>
      <c r="F945" s="7">
        <f>RawData!F945</f>
        <v>193.49</v>
      </c>
      <c r="G945" s="7" t="str">
        <f>RawData!G945</f>
        <v>355 Main St</v>
      </c>
      <c r="H945" s="7" t="str">
        <f>RawData!H945</f>
        <v>Gift Card</v>
      </c>
      <c r="I945" s="7" t="str">
        <f>RawData!I945</f>
        <v>Returned</v>
      </c>
      <c r="J945" s="7" t="str">
        <f>RawData!J945</f>
        <v>TRK71594838</v>
      </c>
      <c r="K945" s="7">
        <f>RawData!K945</f>
        <v>6</v>
      </c>
      <c r="L945" s="7" t="str">
        <f>IF(RawData!L945="","No Coupon",RawData!L945)</f>
        <v>FREESHIP</v>
      </c>
      <c r="M945" s="7" t="str">
        <f>RawData!M945</f>
        <v>Facebook</v>
      </c>
      <c r="N945" s="7">
        <f>RawData!N945</f>
        <v>580.47</v>
      </c>
    </row>
    <row r="946" spans="1:14" x14ac:dyDescent="0.3">
      <c r="A946" s="7" t="str">
        <f>RawData!A946</f>
        <v>ORD200944</v>
      </c>
      <c r="B946" s="11">
        <f>RawData!B946</f>
        <v>45642</v>
      </c>
      <c r="C946" s="7" t="str">
        <f>RawData!C946</f>
        <v>C32687</v>
      </c>
      <c r="D946" s="7" t="str">
        <f>RawData!D946</f>
        <v>Laptop</v>
      </c>
      <c r="E946" s="7">
        <f>RawData!E946</f>
        <v>2</v>
      </c>
      <c r="F946" s="7">
        <f>RawData!F946</f>
        <v>426.22</v>
      </c>
      <c r="G946" s="7" t="str">
        <f>RawData!G946</f>
        <v>448 Main St</v>
      </c>
      <c r="H946" s="7" t="str">
        <f>RawData!H946</f>
        <v>Online</v>
      </c>
      <c r="I946" s="7" t="str">
        <f>RawData!I946</f>
        <v>Delivered</v>
      </c>
      <c r="J946" s="7" t="str">
        <f>RawData!J946</f>
        <v>TRK98284560</v>
      </c>
      <c r="K946" s="7">
        <f>RawData!K946</f>
        <v>7</v>
      </c>
      <c r="L946" s="7" t="str">
        <f>IF(RawData!L946="","No Coupon",RawData!L946)</f>
        <v>WINTER15</v>
      </c>
      <c r="M946" s="7" t="str">
        <f>RawData!M946</f>
        <v>Google</v>
      </c>
      <c r="N946" s="7">
        <f>RawData!N946</f>
        <v>852.44</v>
      </c>
    </row>
    <row r="947" spans="1:14" x14ac:dyDescent="0.3">
      <c r="A947" s="7" t="str">
        <f>RawData!A947</f>
        <v>ORD200945</v>
      </c>
      <c r="B947" s="11">
        <f>RawData!B947</f>
        <v>45158</v>
      </c>
      <c r="C947" s="7" t="str">
        <f>RawData!C947</f>
        <v>C79722</v>
      </c>
      <c r="D947" s="7" t="str">
        <f>RawData!D947</f>
        <v>Tablet</v>
      </c>
      <c r="E947" s="7">
        <f>RawData!E947</f>
        <v>5</v>
      </c>
      <c r="F947" s="7">
        <f>RawData!F947</f>
        <v>276.44</v>
      </c>
      <c r="G947" s="7" t="str">
        <f>RawData!G947</f>
        <v>619 Main St</v>
      </c>
      <c r="H947" s="7" t="str">
        <f>RawData!H947</f>
        <v>Gift Card</v>
      </c>
      <c r="I947" s="7" t="str">
        <f>RawData!I947</f>
        <v>Shipped</v>
      </c>
      <c r="J947" s="7" t="str">
        <f>RawData!J947</f>
        <v>TRK29976438</v>
      </c>
      <c r="K947" s="7">
        <f>RawData!K947</f>
        <v>10</v>
      </c>
      <c r="L947" s="7" t="str">
        <f>IF(RawData!L947="","No Coupon",RawData!L947)</f>
        <v>FREESHIP</v>
      </c>
      <c r="M947" s="7" t="str">
        <f>RawData!M947</f>
        <v>Referral</v>
      </c>
      <c r="N947" s="7">
        <f>RawData!N947</f>
        <v>1382.2</v>
      </c>
    </row>
    <row r="948" spans="1:14" x14ac:dyDescent="0.3">
      <c r="A948" s="7" t="str">
        <f>RawData!A948</f>
        <v>ORD200946</v>
      </c>
      <c r="B948" s="11">
        <f>RawData!B948</f>
        <v>45416</v>
      </c>
      <c r="C948" s="7" t="str">
        <f>RawData!C948</f>
        <v>C65021</v>
      </c>
      <c r="D948" s="7" t="str">
        <f>RawData!D948</f>
        <v>Phone</v>
      </c>
      <c r="E948" s="7">
        <f>RawData!E948</f>
        <v>2</v>
      </c>
      <c r="F948" s="7">
        <f>RawData!F948</f>
        <v>404.96</v>
      </c>
      <c r="G948" s="7" t="str">
        <f>RawData!G948</f>
        <v>546 Main St</v>
      </c>
      <c r="H948" s="7" t="str">
        <f>RawData!H948</f>
        <v>Cash</v>
      </c>
      <c r="I948" s="7" t="str">
        <f>RawData!I948</f>
        <v>Shipped</v>
      </c>
      <c r="J948" s="7" t="str">
        <f>RawData!J948</f>
        <v>TRK20626179</v>
      </c>
      <c r="K948" s="7">
        <f>RawData!K948</f>
        <v>4</v>
      </c>
      <c r="L948" s="7" t="str">
        <f>IF(RawData!L948="","No Coupon",RawData!L948)</f>
        <v>SAVE10</v>
      </c>
      <c r="M948" s="7" t="str">
        <f>RawData!M948</f>
        <v>Email</v>
      </c>
      <c r="N948" s="7">
        <f>RawData!N948</f>
        <v>809.92</v>
      </c>
    </row>
    <row r="949" spans="1:14" x14ac:dyDescent="0.3">
      <c r="A949" s="7" t="str">
        <f>RawData!A949</f>
        <v>ORD200947</v>
      </c>
      <c r="B949" s="11">
        <f>RawData!B949</f>
        <v>45176</v>
      </c>
      <c r="C949" s="7" t="str">
        <f>RawData!C949</f>
        <v>C85520</v>
      </c>
      <c r="D949" s="7" t="str">
        <f>RawData!D949</f>
        <v>Phone</v>
      </c>
      <c r="E949" s="7">
        <f>RawData!E949</f>
        <v>4</v>
      </c>
      <c r="F949" s="7">
        <f>RawData!F949</f>
        <v>465.66</v>
      </c>
      <c r="G949" s="7" t="str">
        <f>RawData!G949</f>
        <v>119 Main St</v>
      </c>
      <c r="H949" s="7" t="str">
        <f>RawData!H949</f>
        <v>Online</v>
      </c>
      <c r="I949" s="7" t="str">
        <f>RawData!I949</f>
        <v>Returned</v>
      </c>
      <c r="J949" s="7" t="str">
        <f>RawData!J949</f>
        <v>TRK65994177</v>
      </c>
      <c r="K949" s="7">
        <f>RawData!K949</f>
        <v>9</v>
      </c>
      <c r="L949" s="7" t="str">
        <f>IF(RawData!L949="","No Coupon",RawData!L949)</f>
        <v>FREESHIP</v>
      </c>
      <c r="M949" s="7" t="str">
        <f>RawData!M949</f>
        <v>Email</v>
      </c>
      <c r="N949" s="7">
        <f>RawData!N949</f>
        <v>1862.64</v>
      </c>
    </row>
    <row r="950" spans="1:14" x14ac:dyDescent="0.3">
      <c r="A950" s="7" t="str">
        <f>RawData!A950</f>
        <v>ORD200948</v>
      </c>
      <c r="B950" s="11">
        <f>RawData!B950</f>
        <v>45464</v>
      </c>
      <c r="C950" s="7" t="str">
        <f>RawData!C950</f>
        <v>C94569</v>
      </c>
      <c r="D950" s="7" t="str">
        <f>RawData!D950</f>
        <v>Phone</v>
      </c>
      <c r="E950" s="7">
        <f>RawData!E950</f>
        <v>2</v>
      </c>
      <c r="F950" s="7">
        <f>RawData!F950</f>
        <v>594.07000000000005</v>
      </c>
      <c r="G950" s="7" t="str">
        <f>RawData!G950</f>
        <v>739 Main St</v>
      </c>
      <c r="H950" s="7" t="str">
        <f>RawData!H950</f>
        <v>Gift Card</v>
      </c>
      <c r="I950" s="7" t="str">
        <f>RawData!I950</f>
        <v>Cancelled</v>
      </c>
      <c r="J950" s="7" t="str">
        <f>RawData!J950</f>
        <v>TRK79269291</v>
      </c>
      <c r="K950" s="7">
        <f>RawData!K950</f>
        <v>2</v>
      </c>
      <c r="L950" s="7" t="str">
        <f>IF(RawData!L950="","No Coupon",RawData!L950)</f>
        <v>No Coupon</v>
      </c>
      <c r="M950" s="7" t="str">
        <f>RawData!M950</f>
        <v>Google</v>
      </c>
      <c r="N950" s="7">
        <f>RawData!N950</f>
        <v>1188.1400000000001</v>
      </c>
    </row>
    <row r="951" spans="1:14" x14ac:dyDescent="0.3">
      <c r="A951" s="7" t="str">
        <f>RawData!A951</f>
        <v>ORD200949</v>
      </c>
      <c r="B951" s="11">
        <f>RawData!B951</f>
        <v>45239</v>
      </c>
      <c r="C951" s="7" t="str">
        <f>RawData!C951</f>
        <v>C55778</v>
      </c>
      <c r="D951" s="7" t="str">
        <f>RawData!D951</f>
        <v>Desk</v>
      </c>
      <c r="E951" s="7">
        <f>RawData!E951</f>
        <v>5</v>
      </c>
      <c r="F951" s="7">
        <f>RawData!F951</f>
        <v>110.38</v>
      </c>
      <c r="G951" s="7" t="str">
        <f>RawData!G951</f>
        <v>319 Main St</v>
      </c>
      <c r="H951" s="7" t="str">
        <f>RawData!H951</f>
        <v>Cash</v>
      </c>
      <c r="I951" s="7" t="str">
        <f>RawData!I951</f>
        <v>Pending</v>
      </c>
      <c r="J951" s="7" t="str">
        <f>RawData!J951</f>
        <v>TRK93797108</v>
      </c>
      <c r="K951" s="7">
        <f>RawData!K951</f>
        <v>10</v>
      </c>
      <c r="L951" s="7" t="str">
        <f>IF(RawData!L951="","No Coupon",RawData!L951)</f>
        <v>No Coupon</v>
      </c>
      <c r="M951" s="7" t="str">
        <f>RawData!M951</f>
        <v>Referral</v>
      </c>
      <c r="N951" s="7">
        <f>RawData!N951</f>
        <v>551.9</v>
      </c>
    </row>
    <row r="952" spans="1:14" x14ac:dyDescent="0.3">
      <c r="A952" s="7" t="str">
        <f>RawData!A952</f>
        <v>ORD200950</v>
      </c>
      <c r="B952" s="11">
        <f>RawData!B952</f>
        <v>45443</v>
      </c>
      <c r="C952" s="7" t="str">
        <f>RawData!C952</f>
        <v>C19722</v>
      </c>
      <c r="D952" s="7" t="str">
        <f>RawData!D952</f>
        <v>Laptop</v>
      </c>
      <c r="E952" s="7">
        <f>RawData!E952</f>
        <v>1</v>
      </c>
      <c r="F952" s="7">
        <f>RawData!F952</f>
        <v>596.24</v>
      </c>
      <c r="G952" s="7" t="str">
        <f>RawData!G952</f>
        <v>891 Main St</v>
      </c>
      <c r="H952" s="7" t="str">
        <f>RawData!H952</f>
        <v>Credit Card</v>
      </c>
      <c r="I952" s="7" t="str">
        <f>RawData!I952</f>
        <v>Returned</v>
      </c>
      <c r="J952" s="7" t="str">
        <f>RawData!J952</f>
        <v>TRK78094361</v>
      </c>
      <c r="K952" s="7">
        <f>RawData!K952</f>
        <v>4</v>
      </c>
      <c r="L952" s="7" t="str">
        <f>IF(RawData!L952="","No Coupon",RawData!L952)</f>
        <v>FREESHIP</v>
      </c>
      <c r="M952" s="7" t="str">
        <f>RawData!M952</f>
        <v>Instagram</v>
      </c>
      <c r="N952" s="7">
        <f>RawData!N952</f>
        <v>596.24</v>
      </c>
    </row>
    <row r="953" spans="1:14" x14ac:dyDescent="0.3">
      <c r="A953" s="7" t="str">
        <f>RawData!A953</f>
        <v>ORD200951</v>
      </c>
      <c r="B953" s="11">
        <f>RawData!B953</f>
        <v>45495</v>
      </c>
      <c r="C953" s="7" t="str">
        <f>RawData!C953</f>
        <v>C74928</v>
      </c>
      <c r="D953" s="7" t="str">
        <f>RawData!D953</f>
        <v>Printer</v>
      </c>
      <c r="E953" s="7">
        <f>RawData!E953</f>
        <v>2</v>
      </c>
      <c r="F953" s="7">
        <f>RawData!F953</f>
        <v>306.24</v>
      </c>
      <c r="G953" s="7" t="str">
        <f>RawData!G953</f>
        <v>589 Main St</v>
      </c>
      <c r="H953" s="7" t="str">
        <f>RawData!H953</f>
        <v>Online</v>
      </c>
      <c r="I953" s="7" t="str">
        <f>RawData!I953</f>
        <v>Returned</v>
      </c>
      <c r="J953" s="7" t="str">
        <f>RawData!J953</f>
        <v>TRK39845914</v>
      </c>
      <c r="K953" s="7">
        <f>RawData!K953</f>
        <v>4</v>
      </c>
      <c r="L953" s="7" t="str">
        <f>IF(RawData!L953="","No Coupon",RawData!L953)</f>
        <v>FREESHIP</v>
      </c>
      <c r="M953" s="7" t="str">
        <f>RawData!M953</f>
        <v>Email</v>
      </c>
      <c r="N953" s="7">
        <f>RawData!N953</f>
        <v>612.48</v>
      </c>
    </row>
    <row r="954" spans="1:14" x14ac:dyDescent="0.3">
      <c r="A954" s="7" t="str">
        <f>RawData!A954</f>
        <v>ORD200952</v>
      </c>
      <c r="B954" s="11">
        <f>RawData!B954</f>
        <v>45715</v>
      </c>
      <c r="C954" s="7" t="str">
        <f>RawData!C954</f>
        <v>C49111</v>
      </c>
      <c r="D954" s="7" t="str">
        <f>RawData!D954</f>
        <v>Monitor</v>
      </c>
      <c r="E954" s="7">
        <f>RawData!E954</f>
        <v>3</v>
      </c>
      <c r="F954" s="7">
        <f>RawData!F954</f>
        <v>503.39</v>
      </c>
      <c r="G954" s="7" t="str">
        <f>RawData!G954</f>
        <v>225 Main St</v>
      </c>
      <c r="H954" s="7" t="str">
        <f>RawData!H954</f>
        <v>Online</v>
      </c>
      <c r="I954" s="7" t="str">
        <f>RawData!I954</f>
        <v>Pending</v>
      </c>
      <c r="J954" s="7" t="str">
        <f>RawData!J954</f>
        <v>TRK45303393</v>
      </c>
      <c r="K954" s="7">
        <f>RawData!K954</f>
        <v>5</v>
      </c>
      <c r="L954" s="7" t="str">
        <f>IF(RawData!L954="","No Coupon",RawData!L954)</f>
        <v>No Coupon</v>
      </c>
      <c r="M954" s="7" t="str">
        <f>RawData!M954</f>
        <v>Facebook</v>
      </c>
      <c r="N954" s="7">
        <f>RawData!N954</f>
        <v>1510.17</v>
      </c>
    </row>
    <row r="955" spans="1:14" x14ac:dyDescent="0.3">
      <c r="A955" s="7" t="str">
        <f>RawData!A955</f>
        <v>ORD200953</v>
      </c>
      <c r="B955" s="11">
        <f>RawData!B955</f>
        <v>44963</v>
      </c>
      <c r="C955" s="7" t="str">
        <f>RawData!C955</f>
        <v>C43721</v>
      </c>
      <c r="D955" s="7" t="str">
        <f>RawData!D955</f>
        <v>Phone</v>
      </c>
      <c r="E955" s="7">
        <f>RawData!E955</f>
        <v>1</v>
      </c>
      <c r="F955" s="7">
        <f>RawData!F955</f>
        <v>131.61000000000001</v>
      </c>
      <c r="G955" s="7" t="str">
        <f>RawData!G955</f>
        <v>971 Main St</v>
      </c>
      <c r="H955" s="7" t="str">
        <f>RawData!H955</f>
        <v>Cash</v>
      </c>
      <c r="I955" s="7" t="str">
        <f>RawData!I955</f>
        <v>Shipped</v>
      </c>
      <c r="J955" s="7" t="str">
        <f>RawData!J955</f>
        <v>TRK89392104</v>
      </c>
      <c r="K955" s="7">
        <f>RawData!K955</f>
        <v>2</v>
      </c>
      <c r="L955" s="7" t="str">
        <f>IF(RawData!L955="","No Coupon",RawData!L955)</f>
        <v>FREESHIP</v>
      </c>
      <c r="M955" s="7" t="str">
        <f>RawData!M955</f>
        <v>Facebook</v>
      </c>
      <c r="N955" s="7">
        <f>RawData!N955</f>
        <v>131.61000000000001</v>
      </c>
    </row>
    <row r="956" spans="1:14" x14ac:dyDescent="0.3">
      <c r="A956" s="7" t="str">
        <f>RawData!A956</f>
        <v>ORD200954</v>
      </c>
      <c r="B956" s="11">
        <f>RawData!B956</f>
        <v>45587</v>
      </c>
      <c r="C956" s="7" t="str">
        <f>RawData!C956</f>
        <v>C68609</v>
      </c>
      <c r="D956" s="7" t="str">
        <f>RawData!D956</f>
        <v>Chair</v>
      </c>
      <c r="E956" s="7">
        <f>RawData!E956</f>
        <v>3</v>
      </c>
      <c r="F956" s="7">
        <f>RawData!F956</f>
        <v>443.44</v>
      </c>
      <c r="G956" s="7" t="str">
        <f>RawData!G956</f>
        <v>240 Main St</v>
      </c>
      <c r="H956" s="7" t="str">
        <f>RawData!H956</f>
        <v>Gift Card</v>
      </c>
      <c r="I956" s="7" t="str">
        <f>RawData!I956</f>
        <v>Shipped</v>
      </c>
      <c r="J956" s="7" t="str">
        <f>RawData!J956</f>
        <v>TRK58273778</v>
      </c>
      <c r="K956" s="7">
        <f>RawData!K956</f>
        <v>3</v>
      </c>
      <c r="L956" s="7" t="str">
        <f>IF(RawData!L956="","No Coupon",RawData!L956)</f>
        <v>FREESHIP</v>
      </c>
      <c r="M956" s="7" t="str">
        <f>RawData!M956</f>
        <v>Google</v>
      </c>
      <c r="N956" s="7">
        <f>RawData!N956</f>
        <v>1330.32</v>
      </c>
    </row>
    <row r="957" spans="1:14" x14ac:dyDescent="0.3">
      <c r="A957" s="7" t="str">
        <f>RawData!A957</f>
        <v>ORD200955</v>
      </c>
      <c r="B957" s="11">
        <f>RawData!B957</f>
        <v>44949</v>
      </c>
      <c r="C957" s="7" t="str">
        <f>RawData!C957</f>
        <v>C82068</v>
      </c>
      <c r="D957" s="7" t="str">
        <f>RawData!D957</f>
        <v>Chair</v>
      </c>
      <c r="E957" s="7">
        <f>RawData!E957</f>
        <v>1</v>
      </c>
      <c r="F957" s="7">
        <f>RawData!F957</f>
        <v>408.13</v>
      </c>
      <c r="G957" s="7" t="str">
        <f>RawData!G957</f>
        <v>164 Main St</v>
      </c>
      <c r="H957" s="7" t="str">
        <f>RawData!H957</f>
        <v>Gift Card</v>
      </c>
      <c r="I957" s="7" t="str">
        <f>RawData!I957</f>
        <v>Shipped</v>
      </c>
      <c r="J957" s="7" t="str">
        <f>RawData!J957</f>
        <v>TRK25779180</v>
      </c>
      <c r="K957" s="7">
        <f>RawData!K957</f>
        <v>3</v>
      </c>
      <c r="L957" s="7" t="str">
        <f>IF(RawData!L957="","No Coupon",RawData!L957)</f>
        <v>WINTER15</v>
      </c>
      <c r="M957" s="7" t="str">
        <f>RawData!M957</f>
        <v>Instagram</v>
      </c>
      <c r="N957" s="7">
        <f>RawData!N957</f>
        <v>408.13</v>
      </c>
    </row>
    <row r="958" spans="1:14" x14ac:dyDescent="0.3">
      <c r="A958" s="7" t="str">
        <f>RawData!A958</f>
        <v>ORD200956</v>
      </c>
      <c r="B958" s="11">
        <f>RawData!B958</f>
        <v>45393</v>
      </c>
      <c r="C958" s="7" t="str">
        <f>RawData!C958</f>
        <v>C21191</v>
      </c>
      <c r="D958" s="7" t="str">
        <f>RawData!D958</f>
        <v>Phone</v>
      </c>
      <c r="E958" s="7">
        <f>RawData!E958</f>
        <v>2</v>
      </c>
      <c r="F958" s="7">
        <f>RawData!F958</f>
        <v>160.97999999999999</v>
      </c>
      <c r="G958" s="7" t="str">
        <f>RawData!G958</f>
        <v>381 Main St</v>
      </c>
      <c r="H958" s="7" t="str">
        <f>RawData!H958</f>
        <v>Debit Card</v>
      </c>
      <c r="I958" s="7" t="str">
        <f>RawData!I958</f>
        <v>Delivered</v>
      </c>
      <c r="J958" s="7" t="str">
        <f>RawData!J958</f>
        <v>TRK86246309</v>
      </c>
      <c r="K958" s="7">
        <f>RawData!K958</f>
        <v>3</v>
      </c>
      <c r="L958" s="7" t="str">
        <f>IF(RawData!L958="","No Coupon",RawData!L958)</f>
        <v>SAVE10</v>
      </c>
      <c r="M958" s="7" t="str">
        <f>RawData!M958</f>
        <v>Referral</v>
      </c>
      <c r="N958" s="7">
        <f>RawData!N958</f>
        <v>321.95999999999998</v>
      </c>
    </row>
    <row r="959" spans="1:14" x14ac:dyDescent="0.3">
      <c r="A959" s="7" t="str">
        <f>RawData!A959</f>
        <v>ORD200957</v>
      </c>
      <c r="B959" s="11">
        <f>RawData!B959</f>
        <v>44938</v>
      </c>
      <c r="C959" s="7" t="str">
        <f>RawData!C959</f>
        <v>C73575</v>
      </c>
      <c r="D959" s="7" t="str">
        <f>RawData!D959</f>
        <v>Monitor</v>
      </c>
      <c r="E959" s="7">
        <f>RawData!E959</f>
        <v>5</v>
      </c>
      <c r="F959" s="7">
        <f>RawData!F959</f>
        <v>643.89</v>
      </c>
      <c r="G959" s="7" t="str">
        <f>RawData!G959</f>
        <v>851 Main St</v>
      </c>
      <c r="H959" s="7" t="str">
        <f>RawData!H959</f>
        <v>Cash</v>
      </c>
      <c r="I959" s="7" t="str">
        <f>RawData!I959</f>
        <v>Returned</v>
      </c>
      <c r="J959" s="7" t="str">
        <f>RawData!J959</f>
        <v>TRK23387612</v>
      </c>
      <c r="K959" s="7">
        <f>RawData!K959</f>
        <v>8</v>
      </c>
      <c r="L959" s="7" t="str">
        <f>IF(RawData!L959="","No Coupon",RawData!L959)</f>
        <v>WINTER15</v>
      </c>
      <c r="M959" s="7" t="str">
        <f>RawData!M959</f>
        <v>Facebook</v>
      </c>
      <c r="N959" s="7">
        <f>RawData!N959</f>
        <v>3219.45</v>
      </c>
    </row>
    <row r="960" spans="1:14" x14ac:dyDescent="0.3">
      <c r="A960" s="7" t="str">
        <f>RawData!A960</f>
        <v>ORD200958</v>
      </c>
      <c r="B960" s="11">
        <f>RawData!B960</f>
        <v>45059</v>
      </c>
      <c r="C960" s="7" t="str">
        <f>RawData!C960</f>
        <v>C82685</v>
      </c>
      <c r="D960" s="7" t="str">
        <f>RawData!D960</f>
        <v>Desk</v>
      </c>
      <c r="E960" s="7">
        <f>RawData!E960</f>
        <v>3</v>
      </c>
      <c r="F960" s="7">
        <f>RawData!F960</f>
        <v>158.66</v>
      </c>
      <c r="G960" s="7" t="str">
        <f>RawData!G960</f>
        <v>537 Main St</v>
      </c>
      <c r="H960" s="7" t="str">
        <f>RawData!H960</f>
        <v>Gift Card</v>
      </c>
      <c r="I960" s="7" t="str">
        <f>RawData!I960</f>
        <v>Delivered</v>
      </c>
      <c r="J960" s="7" t="str">
        <f>RawData!J960</f>
        <v>TRK70184320</v>
      </c>
      <c r="K960" s="7">
        <f>RawData!K960</f>
        <v>7</v>
      </c>
      <c r="L960" s="7" t="str">
        <f>IF(RawData!L960="","No Coupon",RawData!L960)</f>
        <v>WINTER15</v>
      </c>
      <c r="M960" s="7" t="str">
        <f>RawData!M960</f>
        <v>Email</v>
      </c>
      <c r="N960" s="7">
        <f>RawData!N960</f>
        <v>475.98</v>
      </c>
    </row>
    <row r="961" spans="1:14" x14ac:dyDescent="0.3">
      <c r="A961" s="7" t="str">
        <f>RawData!A961</f>
        <v>ORD200959</v>
      </c>
      <c r="B961" s="11">
        <f>RawData!B961</f>
        <v>45395</v>
      </c>
      <c r="C961" s="7" t="str">
        <f>RawData!C961</f>
        <v>C73996</v>
      </c>
      <c r="D961" s="7" t="str">
        <f>RawData!D961</f>
        <v>Tablet</v>
      </c>
      <c r="E961" s="7">
        <f>RawData!E961</f>
        <v>2</v>
      </c>
      <c r="F961" s="7">
        <f>RawData!F961</f>
        <v>143.82</v>
      </c>
      <c r="G961" s="7" t="str">
        <f>RawData!G961</f>
        <v>856 Main St</v>
      </c>
      <c r="H961" s="7" t="str">
        <f>RawData!H961</f>
        <v>Credit Card</v>
      </c>
      <c r="I961" s="7" t="str">
        <f>RawData!I961</f>
        <v>Returned</v>
      </c>
      <c r="J961" s="7" t="str">
        <f>RawData!J961</f>
        <v>TRK74579570</v>
      </c>
      <c r="K961" s="7">
        <f>RawData!K961</f>
        <v>6</v>
      </c>
      <c r="L961" s="7" t="str">
        <f>IF(RawData!L961="","No Coupon",RawData!L961)</f>
        <v>SAVE10</v>
      </c>
      <c r="M961" s="7" t="str">
        <f>RawData!M961</f>
        <v>Instagram</v>
      </c>
      <c r="N961" s="7">
        <f>RawData!N961</f>
        <v>287.64</v>
      </c>
    </row>
    <row r="962" spans="1:14" x14ac:dyDescent="0.3">
      <c r="A962" s="7" t="str">
        <f>RawData!A962</f>
        <v>ORD200960</v>
      </c>
      <c r="B962" s="11">
        <f>RawData!B962</f>
        <v>45271</v>
      </c>
      <c r="C962" s="7" t="str">
        <f>RawData!C962</f>
        <v>C87687</v>
      </c>
      <c r="D962" s="7" t="str">
        <f>RawData!D962</f>
        <v>Laptop</v>
      </c>
      <c r="E962" s="7">
        <f>RawData!E962</f>
        <v>3</v>
      </c>
      <c r="F962" s="7">
        <f>RawData!F962</f>
        <v>379.07</v>
      </c>
      <c r="G962" s="7" t="str">
        <f>RawData!G962</f>
        <v>312 Main St</v>
      </c>
      <c r="H962" s="7" t="str">
        <f>RawData!H962</f>
        <v>Gift Card</v>
      </c>
      <c r="I962" s="7" t="str">
        <f>RawData!I962</f>
        <v>Pending</v>
      </c>
      <c r="J962" s="7" t="str">
        <f>RawData!J962</f>
        <v>TRK60383805</v>
      </c>
      <c r="K962" s="7">
        <f>RawData!K962</f>
        <v>3</v>
      </c>
      <c r="L962" s="7" t="str">
        <f>IF(RawData!L962="","No Coupon",RawData!L962)</f>
        <v>WINTER15</v>
      </c>
      <c r="M962" s="7" t="str">
        <f>RawData!M962</f>
        <v>Google</v>
      </c>
      <c r="N962" s="7">
        <f>RawData!N962</f>
        <v>1137.21</v>
      </c>
    </row>
    <row r="963" spans="1:14" x14ac:dyDescent="0.3">
      <c r="A963" s="7" t="str">
        <f>RawData!A963</f>
        <v>ORD200961</v>
      </c>
      <c r="B963" s="11">
        <f>RawData!B963</f>
        <v>45607</v>
      </c>
      <c r="C963" s="7" t="str">
        <f>RawData!C963</f>
        <v>C55464</v>
      </c>
      <c r="D963" s="7" t="str">
        <f>RawData!D963</f>
        <v>Phone</v>
      </c>
      <c r="E963" s="7">
        <f>RawData!E963</f>
        <v>1</v>
      </c>
      <c r="F963" s="7">
        <f>RawData!F963</f>
        <v>601.36</v>
      </c>
      <c r="G963" s="7" t="str">
        <f>RawData!G963</f>
        <v>532 Main St</v>
      </c>
      <c r="H963" s="7" t="str">
        <f>RawData!H963</f>
        <v>Online</v>
      </c>
      <c r="I963" s="7" t="str">
        <f>RawData!I963</f>
        <v>Shipped</v>
      </c>
      <c r="J963" s="7" t="str">
        <f>RawData!J963</f>
        <v>TRK81178598</v>
      </c>
      <c r="K963" s="7">
        <f>RawData!K963</f>
        <v>1</v>
      </c>
      <c r="L963" s="7" t="str">
        <f>IF(RawData!L963="","No Coupon",RawData!L963)</f>
        <v>No Coupon</v>
      </c>
      <c r="M963" s="7" t="str">
        <f>RawData!M963</f>
        <v>Facebook</v>
      </c>
      <c r="N963" s="7">
        <f>RawData!N963</f>
        <v>601.36</v>
      </c>
    </row>
    <row r="964" spans="1:14" x14ac:dyDescent="0.3">
      <c r="A964" s="7" t="str">
        <f>RawData!A964</f>
        <v>ORD200962</v>
      </c>
      <c r="B964" s="11">
        <f>RawData!B964</f>
        <v>45541</v>
      </c>
      <c r="C964" s="7" t="str">
        <f>RawData!C964</f>
        <v>C12459</v>
      </c>
      <c r="D964" s="7" t="str">
        <f>RawData!D964</f>
        <v>Phone</v>
      </c>
      <c r="E964" s="7">
        <f>RawData!E964</f>
        <v>2</v>
      </c>
      <c r="F964" s="7">
        <f>RawData!F964</f>
        <v>142.08000000000001</v>
      </c>
      <c r="G964" s="7" t="str">
        <f>RawData!G964</f>
        <v>838 Main St</v>
      </c>
      <c r="H964" s="7" t="str">
        <f>RawData!H964</f>
        <v>Gift Card</v>
      </c>
      <c r="I964" s="7" t="str">
        <f>RawData!I964</f>
        <v>Delivered</v>
      </c>
      <c r="J964" s="7" t="str">
        <f>RawData!J964</f>
        <v>TRK30674085</v>
      </c>
      <c r="K964" s="7">
        <f>RawData!K964</f>
        <v>4</v>
      </c>
      <c r="L964" s="7" t="str">
        <f>IF(RawData!L964="","No Coupon",RawData!L964)</f>
        <v>SAVE10</v>
      </c>
      <c r="M964" s="7" t="str">
        <f>RawData!M964</f>
        <v>Referral</v>
      </c>
      <c r="N964" s="7">
        <f>RawData!N964</f>
        <v>284.16000000000003</v>
      </c>
    </row>
    <row r="965" spans="1:14" x14ac:dyDescent="0.3">
      <c r="A965" s="7" t="str">
        <f>RawData!A965</f>
        <v>ORD200963</v>
      </c>
      <c r="B965" s="11">
        <f>RawData!B965</f>
        <v>45362</v>
      </c>
      <c r="C965" s="7" t="str">
        <f>RawData!C965</f>
        <v>C88075</v>
      </c>
      <c r="D965" s="7" t="str">
        <f>RawData!D965</f>
        <v>Chair</v>
      </c>
      <c r="E965" s="7">
        <f>RawData!E965</f>
        <v>5</v>
      </c>
      <c r="F965" s="7">
        <f>RawData!F965</f>
        <v>530.34</v>
      </c>
      <c r="G965" s="7" t="str">
        <f>RawData!G965</f>
        <v>970 Main St</v>
      </c>
      <c r="H965" s="7" t="str">
        <f>RawData!H965</f>
        <v>Online</v>
      </c>
      <c r="I965" s="7" t="str">
        <f>RawData!I965</f>
        <v>Shipped</v>
      </c>
      <c r="J965" s="7" t="str">
        <f>RawData!J965</f>
        <v>TRK42832976</v>
      </c>
      <c r="K965" s="7">
        <f>RawData!K965</f>
        <v>9</v>
      </c>
      <c r="L965" s="7" t="str">
        <f>IF(RawData!L965="","No Coupon",RawData!L965)</f>
        <v>FREESHIP</v>
      </c>
      <c r="M965" s="7" t="str">
        <f>RawData!M965</f>
        <v>Google</v>
      </c>
      <c r="N965" s="7">
        <f>RawData!N965</f>
        <v>2651.7</v>
      </c>
    </row>
    <row r="966" spans="1:14" x14ac:dyDescent="0.3">
      <c r="A966" s="7" t="str">
        <f>RawData!A966</f>
        <v>ORD200964</v>
      </c>
      <c r="B966" s="11">
        <f>RawData!B966</f>
        <v>45158</v>
      </c>
      <c r="C966" s="7" t="str">
        <f>RawData!C966</f>
        <v>C18583</v>
      </c>
      <c r="D966" s="7" t="str">
        <f>RawData!D966</f>
        <v>Phone</v>
      </c>
      <c r="E966" s="7">
        <f>RawData!E966</f>
        <v>5</v>
      </c>
      <c r="F966" s="7">
        <f>RawData!F966</f>
        <v>364.42</v>
      </c>
      <c r="G966" s="7" t="str">
        <f>RawData!G966</f>
        <v>778 Main St</v>
      </c>
      <c r="H966" s="7" t="str">
        <f>RawData!H966</f>
        <v>Credit Card</v>
      </c>
      <c r="I966" s="7" t="str">
        <f>RawData!I966</f>
        <v>Cancelled</v>
      </c>
      <c r="J966" s="7" t="str">
        <f>RawData!J966</f>
        <v>TRK43084595</v>
      </c>
      <c r="K966" s="7">
        <f>RawData!K966</f>
        <v>10</v>
      </c>
      <c r="L966" s="7" t="str">
        <f>IF(RawData!L966="","No Coupon",RawData!L966)</f>
        <v>SAVE10</v>
      </c>
      <c r="M966" s="7" t="str">
        <f>RawData!M966</f>
        <v>Referral</v>
      </c>
      <c r="N966" s="7">
        <f>RawData!N966</f>
        <v>1822.1</v>
      </c>
    </row>
    <row r="967" spans="1:14" x14ac:dyDescent="0.3">
      <c r="A967" s="7" t="str">
        <f>RawData!A967</f>
        <v>ORD200965</v>
      </c>
      <c r="B967" s="11">
        <f>RawData!B967</f>
        <v>45826</v>
      </c>
      <c r="C967" s="7" t="str">
        <f>RawData!C967</f>
        <v>C70412</v>
      </c>
      <c r="D967" s="7" t="str">
        <f>RawData!D967</f>
        <v>Laptop</v>
      </c>
      <c r="E967" s="7">
        <f>RawData!E967</f>
        <v>4</v>
      </c>
      <c r="F967" s="7">
        <f>RawData!F967</f>
        <v>578.28</v>
      </c>
      <c r="G967" s="7" t="str">
        <f>RawData!G967</f>
        <v>791 Main St</v>
      </c>
      <c r="H967" s="7" t="str">
        <f>RawData!H967</f>
        <v>Gift Card</v>
      </c>
      <c r="I967" s="7" t="str">
        <f>RawData!I967</f>
        <v>Cancelled</v>
      </c>
      <c r="J967" s="7" t="str">
        <f>RawData!J967</f>
        <v>TRK22192783</v>
      </c>
      <c r="K967" s="7">
        <f>RawData!K967</f>
        <v>5</v>
      </c>
      <c r="L967" s="7" t="str">
        <f>IF(RawData!L967="","No Coupon",RawData!L967)</f>
        <v>FREESHIP</v>
      </c>
      <c r="M967" s="7" t="str">
        <f>RawData!M967</f>
        <v>Email</v>
      </c>
      <c r="N967" s="7">
        <f>RawData!N967</f>
        <v>2313.12</v>
      </c>
    </row>
    <row r="968" spans="1:14" x14ac:dyDescent="0.3">
      <c r="A968" s="7" t="str">
        <f>RawData!A968</f>
        <v>ORD200966</v>
      </c>
      <c r="B968" s="11">
        <f>RawData!B968</f>
        <v>45797</v>
      </c>
      <c r="C968" s="7" t="str">
        <f>RawData!C968</f>
        <v>C58503</v>
      </c>
      <c r="D968" s="7" t="str">
        <f>RawData!D968</f>
        <v>Monitor</v>
      </c>
      <c r="E968" s="7">
        <f>RawData!E968</f>
        <v>5</v>
      </c>
      <c r="F968" s="7">
        <f>RawData!F968</f>
        <v>280.52</v>
      </c>
      <c r="G968" s="7" t="str">
        <f>RawData!G968</f>
        <v>290 Main St</v>
      </c>
      <c r="H968" s="7" t="str">
        <f>RawData!H968</f>
        <v>Credit Card</v>
      </c>
      <c r="I968" s="7" t="str">
        <f>RawData!I968</f>
        <v>Cancelled</v>
      </c>
      <c r="J968" s="7" t="str">
        <f>RawData!J968</f>
        <v>TRK12981657</v>
      </c>
      <c r="K968" s="7">
        <f>RawData!K968</f>
        <v>7</v>
      </c>
      <c r="L968" s="7" t="str">
        <f>IF(RawData!L968="","No Coupon",RawData!L968)</f>
        <v>WINTER15</v>
      </c>
      <c r="M968" s="7" t="str">
        <f>RawData!M968</f>
        <v>Facebook</v>
      </c>
      <c r="N968" s="7">
        <f>RawData!N968</f>
        <v>1402.6</v>
      </c>
    </row>
    <row r="969" spans="1:14" x14ac:dyDescent="0.3">
      <c r="A969" s="7" t="str">
        <f>RawData!A969</f>
        <v>ORD200967</v>
      </c>
      <c r="B969" s="11">
        <f>RawData!B969</f>
        <v>45783</v>
      </c>
      <c r="C969" s="7" t="str">
        <f>RawData!C969</f>
        <v>C52879</v>
      </c>
      <c r="D969" s="7" t="str">
        <f>RawData!D969</f>
        <v>Tablet</v>
      </c>
      <c r="E969" s="7">
        <f>RawData!E969</f>
        <v>5</v>
      </c>
      <c r="F969" s="7">
        <f>RawData!F969</f>
        <v>638.91999999999996</v>
      </c>
      <c r="G969" s="7" t="str">
        <f>RawData!G969</f>
        <v>502 Main St</v>
      </c>
      <c r="H969" s="7" t="str">
        <f>RawData!H969</f>
        <v>Credit Card</v>
      </c>
      <c r="I969" s="7" t="str">
        <f>RawData!I969</f>
        <v>Returned</v>
      </c>
      <c r="J969" s="7" t="str">
        <f>RawData!J969</f>
        <v>TRK67403284</v>
      </c>
      <c r="K969" s="7">
        <f>RawData!K969</f>
        <v>5</v>
      </c>
      <c r="L969" s="7" t="str">
        <f>IF(RawData!L969="","No Coupon",RawData!L969)</f>
        <v>FREESHIP</v>
      </c>
      <c r="M969" s="7" t="str">
        <f>RawData!M969</f>
        <v>Google</v>
      </c>
      <c r="N969" s="7">
        <f>RawData!N969</f>
        <v>3194.6</v>
      </c>
    </row>
    <row r="970" spans="1:14" x14ac:dyDescent="0.3">
      <c r="A970" s="7" t="str">
        <f>RawData!A970</f>
        <v>ORD200968</v>
      </c>
      <c r="B970" s="11">
        <f>RawData!B970</f>
        <v>45330</v>
      </c>
      <c r="C970" s="7" t="str">
        <f>RawData!C970</f>
        <v>C67870</v>
      </c>
      <c r="D970" s="7" t="str">
        <f>RawData!D970</f>
        <v>Monitor</v>
      </c>
      <c r="E970" s="7">
        <f>RawData!E970</f>
        <v>4</v>
      </c>
      <c r="F970" s="7">
        <f>RawData!F970</f>
        <v>412.2</v>
      </c>
      <c r="G970" s="7" t="str">
        <f>RawData!G970</f>
        <v>664 Main St</v>
      </c>
      <c r="H970" s="7" t="str">
        <f>RawData!H970</f>
        <v>Credit Card</v>
      </c>
      <c r="I970" s="7" t="str">
        <f>RawData!I970</f>
        <v>Shipped</v>
      </c>
      <c r="J970" s="7" t="str">
        <f>RawData!J970</f>
        <v>TRK72602178</v>
      </c>
      <c r="K970" s="7">
        <f>RawData!K970</f>
        <v>6</v>
      </c>
      <c r="L970" s="7" t="str">
        <f>IF(RawData!L970="","No Coupon",RawData!L970)</f>
        <v>WINTER15</v>
      </c>
      <c r="M970" s="7" t="str">
        <f>RawData!M970</f>
        <v>Referral</v>
      </c>
      <c r="N970" s="7">
        <f>RawData!N970</f>
        <v>1648.8</v>
      </c>
    </row>
    <row r="971" spans="1:14" x14ac:dyDescent="0.3">
      <c r="A971" s="7" t="str">
        <f>RawData!A971</f>
        <v>ORD200969</v>
      </c>
      <c r="B971" s="11">
        <f>RawData!B971</f>
        <v>45813</v>
      </c>
      <c r="C971" s="7" t="str">
        <f>RawData!C971</f>
        <v>C19439</v>
      </c>
      <c r="D971" s="7" t="str">
        <f>RawData!D971</f>
        <v>Desk</v>
      </c>
      <c r="E971" s="7">
        <f>RawData!E971</f>
        <v>1</v>
      </c>
      <c r="F971" s="7">
        <f>RawData!F971</f>
        <v>440.34</v>
      </c>
      <c r="G971" s="7" t="str">
        <f>RawData!G971</f>
        <v>675 Main St</v>
      </c>
      <c r="H971" s="7" t="str">
        <f>RawData!H971</f>
        <v>Gift Card</v>
      </c>
      <c r="I971" s="7" t="str">
        <f>RawData!I971</f>
        <v>Shipped</v>
      </c>
      <c r="J971" s="7" t="str">
        <f>RawData!J971</f>
        <v>TRK25383993</v>
      </c>
      <c r="K971" s="7">
        <f>RawData!K971</f>
        <v>2</v>
      </c>
      <c r="L971" s="7" t="str">
        <f>IF(RawData!L971="","No Coupon",RawData!L971)</f>
        <v>WINTER15</v>
      </c>
      <c r="M971" s="7" t="str">
        <f>RawData!M971</f>
        <v>Facebook</v>
      </c>
      <c r="N971" s="7">
        <f>RawData!N971</f>
        <v>440.34</v>
      </c>
    </row>
    <row r="972" spans="1:14" x14ac:dyDescent="0.3">
      <c r="A972" s="7" t="str">
        <f>RawData!A972</f>
        <v>ORD200970</v>
      </c>
      <c r="B972" s="11">
        <f>RawData!B972</f>
        <v>45542</v>
      </c>
      <c r="C972" s="7" t="str">
        <f>RawData!C972</f>
        <v>C72664</v>
      </c>
      <c r="D972" s="7" t="str">
        <f>RawData!D972</f>
        <v>Desk</v>
      </c>
      <c r="E972" s="7">
        <f>RawData!E972</f>
        <v>1</v>
      </c>
      <c r="F972" s="7">
        <f>RawData!F972</f>
        <v>627.15</v>
      </c>
      <c r="G972" s="7" t="str">
        <f>RawData!G972</f>
        <v>241 Main St</v>
      </c>
      <c r="H972" s="7" t="str">
        <f>RawData!H972</f>
        <v>Cash</v>
      </c>
      <c r="I972" s="7" t="str">
        <f>RawData!I972</f>
        <v>Delivered</v>
      </c>
      <c r="J972" s="7" t="str">
        <f>RawData!J972</f>
        <v>TRK86694331</v>
      </c>
      <c r="K972" s="7">
        <f>RawData!K972</f>
        <v>5</v>
      </c>
      <c r="L972" s="7" t="str">
        <f>IF(RawData!L972="","No Coupon",RawData!L972)</f>
        <v>SAVE10</v>
      </c>
      <c r="M972" s="7" t="str">
        <f>RawData!M972</f>
        <v>Instagram</v>
      </c>
      <c r="N972" s="7">
        <f>RawData!N972</f>
        <v>627.15</v>
      </c>
    </row>
    <row r="973" spans="1:14" x14ac:dyDescent="0.3">
      <c r="A973" s="7" t="str">
        <f>RawData!A973</f>
        <v>ORD200971</v>
      </c>
      <c r="B973" s="11">
        <f>RawData!B973</f>
        <v>45439</v>
      </c>
      <c r="C973" s="7" t="str">
        <f>RawData!C973</f>
        <v>C32650</v>
      </c>
      <c r="D973" s="7" t="str">
        <f>RawData!D973</f>
        <v>Monitor</v>
      </c>
      <c r="E973" s="7">
        <f>RawData!E973</f>
        <v>2</v>
      </c>
      <c r="F973" s="7">
        <f>RawData!F973</f>
        <v>605.26</v>
      </c>
      <c r="G973" s="7" t="str">
        <f>RawData!G973</f>
        <v>934 Main St</v>
      </c>
      <c r="H973" s="7" t="str">
        <f>RawData!H973</f>
        <v>Cash</v>
      </c>
      <c r="I973" s="7" t="str">
        <f>RawData!I973</f>
        <v>Cancelled</v>
      </c>
      <c r="J973" s="7" t="str">
        <f>RawData!J973</f>
        <v>TRK66648743</v>
      </c>
      <c r="K973" s="7">
        <f>RawData!K973</f>
        <v>4</v>
      </c>
      <c r="L973" s="7" t="str">
        <f>IF(RawData!L973="","No Coupon",RawData!L973)</f>
        <v>WINTER15</v>
      </c>
      <c r="M973" s="7" t="str">
        <f>RawData!M973</f>
        <v>Referral</v>
      </c>
      <c r="N973" s="7">
        <f>RawData!N973</f>
        <v>1210.52</v>
      </c>
    </row>
    <row r="974" spans="1:14" x14ac:dyDescent="0.3">
      <c r="A974" s="7" t="str">
        <f>RawData!A974</f>
        <v>ORD200972</v>
      </c>
      <c r="B974" s="11">
        <f>RawData!B974</f>
        <v>45452</v>
      </c>
      <c r="C974" s="7" t="str">
        <f>RawData!C974</f>
        <v>C66438</v>
      </c>
      <c r="D974" s="7" t="str">
        <f>RawData!D974</f>
        <v>Laptop</v>
      </c>
      <c r="E974" s="7">
        <f>RawData!E974</f>
        <v>1</v>
      </c>
      <c r="F974" s="7">
        <f>RawData!F974</f>
        <v>90.27</v>
      </c>
      <c r="G974" s="7" t="str">
        <f>RawData!G974</f>
        <v>816 Main St</v>
      </c>
      <c r="H974" s="7" t="str">
        <f>RawData!H974</f>
        <v>Cash</v>
      </c>
      <c r="I974" s="7" t="str">
        <f>RawData!I974</f>
        <v>Delivered</v>
      </c>
      <c r="J974" s="7" t="str">
        <f>RawData!J974</f>
        <v>TRK32035271</v>
      </c>
      <c r="K974" s="7">
        <f>RawData!K974</f>
        <v>5</v>
      </c>
      <c r="L974" s="7" t="str">
        <f>IF(RawData!L974="","No Coupon",RawData!L974)</f>
        <v>SAVE10</v>
      </c>
      <c r="M974" s="7" t="str">
        <f>RawData!M974</f>
        <v>Facebook</v>
      </c>
      <c r="N974" s="7">
        <f>RawData!N974</f>
        <v>90.27</v>
      </c>
    </row>
    <row r="975" spans="1:14" x14ac:dyDescent="0.3">
      <c r="A975" s="7" t="str">
        <f>RawData!A975</f>
        <v>ORD200973</v>
      </c>
      <c r="B975" s="11">
        <f>RawData!B975</f>
        <v>45817</v>
      </c>
      <c r="C975" s="7" t="str">
        <f>RawData!C975</f>
        <v>C70010</v>
      </c>
      <c r="D975" s="7" t="str">
        <f>RawData!D975</f>
        <v>Desk</v>
      </c>
      <c r="E975" s="7">
        <f>RawData!E975</f>
        <v>5</v>
      </c>
      <c r="F975" s="7">
        <f>RawData!F975</f>
        <v>230.77</v>
      </c>
      <c r="G975" s="7" t="str">
        <f>RawData!G975</f>
        <v>141 Main St</v>
      </c>
      <c r="H975" s="7" t="str">
        <f>RawData!H975</f>
        <v>Online</v>
      </c>
      <c r="I975" s="7" t="str">
        <f>RawData!I975</f>
        <v>Pending</v>
      </c>
      <c r="J975" s="7" t="str">
        <f>RawData!J975</f>
        <v>TRK50594008</v>
      </c>
      <c r="K975" s="7">
        <f>RawData!K975</f>
        <v>10</v>
      </c>
      <c r="L975" s="7" t="str">
        <f>IF(RawData!L975="","No Coupon",RawData!L975)</f>
        <v>WINTER15</v>
      </c>
      <c r="M975" s="7" t="str">
        <f>RawData!M975</f>
        <v>Referral</v>
      </c>
      <c r="N975" s="7">
        <f>RawData!N975</f>
        <v>1153.8499999999999</v>
      </c>
    </row>
    <row r="976" spans="1:14" x14ac:dyDescent="0.3">
      <c r="A976" s="7" t="str">
        <f>RawData!A976</f>
        <v>ORD200974</v>
      </c>
      <c r="B976" s="11">
        <f>RawData!B976</f>
        <v>45196</v>
      </c>
      <c r="C976" s="7" t="str">
        <f>RawData!C976</f>
        <v>C30722</v>
      </c>
      <c r="D976" s="7" t="str">
        <f>RawData!D976</f>
        <v>Desk</v>
      </c>
      <c r="E976" s="7">
        <f>RawData!E976</f>
        <v>5</v>
      </c>
      <c r="F976" s="7">
        <f>RawData!F976</f>
        <v>266.77999999999997</v>
      </c>
      <c r="G976" s="7" t="str">
        <f>RawData!G976</f>
        <v>274 Main St</v>
      </c>
      <c r="H976" s="7" t="str">
        <f>RawData!H976</f>
        <v>Gift Card</v>
      </c>
      <c r="I976" s="7" t="str">
        <f>RawData!I976</f>
        <v>Cancelled</v>
      </c>
      <c r="J976" s="7" t="str">
        <f>RawData!J976</f>
        <v>TRK52088168</v>
      </c>
      <c r="K976" s="7">
        <f>RawData!K976</f>
        <v>5</v>
      </c>
      <c r="L976" s="7" t="str">
        <f>IF(RawData!L976="","No Coupon",RawData!L976)</f>
        <v>No Coupon</v>
      </c>
      <c r="M976" s="7" t="str">
        <f>RawData!M976</f>
        <v>Email</v>
      </c>
      <c r="N976" s="7">
        <f>RawData!N976</f>
        <v>1333.9</v>
      </c>
    </row>
    <row r="977" spans="1:14" x14ac:dyDescent="0.3">
      <c r="A977" s="7" t="str">
        <f>RawData!A977</f>
        <v>ORD200975</v>
      </c>
      <c r="B977" s="11">
        <f>RawData!B977</f>
        <v>45064</v>
      </c>
      <c r="C977" s="7" t="str">
        <f>RawData!C977</f>
        <v>C70529</v>
      </c>
      <c r="D977" s="7" t="str">
        <f>RawData!D977</f>
        <v>Desk</v>
      </c>
      <c r="E977" s="7">
        <f>RawData!E977</f>
        <v>1</v>
      </c>
      <c r="F977" s="7">
        <f>RawData!F977</f>
        <v>105.92</v>
      </c>
      <c r="G977" s="7" t="str">
        <f>RawData!G977</f>
        <v>974 Main St</v>
      </c>
      <c r="H977" s="7" t="str">
        <f>RawData!H977</f>
        <v>Gift Card</v>
      </c>
      <c r="I977" s="7" t="str">
        <f>RawData!I977</f>
        <v>Returned</v>
      </c>
      <c r="J977" s="7" t="str">
        <f>RawData!J977</f>
        <v>TRK82165408</v>
      </c>
      <c r="K977" s="7">
        <f>RawData!K977</f>
        <v>6</v>
      </c>
      <c r="L977" s="7" t="str">
        <f>IF(RawData!L977="","No Coupon",RawData!L977)</f>
        <v>SAVE10</v>
      </c>
      <c r="M977" s="7" t="str">
        <f>RawData!M977</f>
        <v>Email</v>
      </c>
      <c r="N977" s="7">
        <f>RawData!N977</f>
        <v>105.92</v>
      </c>
    </row>
    <row r="978" spans="1:14" x14ac:dyDescent="0.3">
      <c r="A978" s="7" t="str">
        <f>RawData!A978</f>
        <v>ORD200976</v>
      </c>
      <c r="B978" s="11">
        <f>RawData!B978</f>
        <v>45386</v>
      </c>
      <c r="C978" s="7" t="str">
        <f>RawData!C978</f>
        <v>C18984</v>
      </c>
      <c r="D978" s="7" t="str">
        <f>RawData!D978</f>
        <v>Tablet</v>
      </c>
      <c r="E978" s="7">
        <f>RawData!E978</f>
        <v>3</v>
      </c>
      <c r="F978" s="7">
        <f>RawData!F978</f>
        <v>589.29999999999995</v>
      </c>
      <c r="G978" s="7" t="str">
        <f>RawData!G978</f>
        <v>650 Main St</v>
      </c>
      <c r="H978" s="7" t="str">
        <f>RawData!H978</f>
        <v>Credit Card</v>
      </c>
      <c r="I978" s="7" t="str">
        <f>RawData!I978</f>
        <v>Returned</v>
      </c>
      <c r="J978" s="7" t="str">
        <f>RawData!J978</f>
        <v>TRK49298239</v>
      </c>
      <c r="K978" s="7">
        <f>RawData!K978</f>
        <v>6</v>
      </c>
      <c r="L978" s="7" t="str">
        <f>IF(RawData!L978="","No Coupon",RawData!L978)</f>
        <v>WINTER15</v>
      </c>
      <c r="M978" s="7" t="str">
        <f>RawData!M978</f>
        <v>Referral</v>
      </c>
      <c r="N978" s="7">
        <f>RawData!N978</f>
        <v>1767.9</v>
      </c>
    </row>
    <row r="979" spans="1:14" x14ac:dyDescent="0.3">
      <c r="A979" s="7" t="str">
        <f>RawData!A979</f>
        <v>ORD200977</v>
      </c>
      <c r="B979" s="11">
        <f>RawData!B979</f>
        <v>44954</v>
      </c>
      <c r="C979" s="7" t="str">
        <f>RawData!C979</f>
        <v>C85841</v>
      </c>
      <c r="D979" s="7" t="str">
        <f>RawData!D979</f>
        <v>Chair</v>
      </c>
      <c r="E979" s="7">
        <f>RawData!E979</f>
        <v>4</v>
      </c>
      <c r="F979" s="7">
        <f>RawData!F979</f>
        <v>649.47</v>
      </c>
      <c r="G979" s="7" t="str">
        <f>RawData!G979</f>
        <v>608 Main St</v>
      </c>
      <c r="H979" s="7" t="str">
        <f>RawData!H979</f>
        <v>Cash</v>
      </c>
      <c r="I979" s="7" t="str">
        <f>RawData!I979</f>
        <v>Pending</v>
      </c>
      <c r="J979" s="7" t="str">
        <f>RawData!J979</f>
        <v>TRK99820544</v>
      </c>
      <c r="K979" s="7">
        <f>RawData!K979</f>
        <v>8</v>
      </c>
      <c r="L979" s="7" t="str">
        <f>IF(RawData!L979="","No Coupon",RawData!L979)</f>
        <v>SAVE10</v>
      </c>
      <c r="M979" s="7" t="str">
        <f>RawData!M979</f>
        <v>Google</v>
      </c>
      <c r="N979" s="7">
        <f>RawData!N979</f>
        <v>2597.88</v>
      </c>
    </row>
    <row r="980" spans="1:14" x14ac:dyDescent="0.3">
      <c r="A980" s="7" t="str">
        <f>RawData!A980</f>
        <v>ORD200978</v>
      </c>
      <c r="B980" s="11">
        <f>RawData!B980</f>
        <v>45468</v>
      </c>
      <c r="C980" s="7" t="str">
        <f>RawData!C980</f>
        <v>C41508</v>
      </c>
      <c r="D980" s="7" t="str">
        <f>RawData!D980</f>
        <v>Printer</v>
      </c>
      <c r="E980" s="7">
        <f>RawData!E980</f>
        <v>4</v>
      </c>
      <c r="F980" s="7">
        <f>RawData!F980</f>
        <v>107.49</v>
      </c>
      <c r="G980" s="7" t="str">
        <f>RawData!G980</f>
        <v>993 Main St</v>
      </c>
      <c r="H980" s="7" t="str">
        <f>RawData!H980</f>
        <v>Cash</v>
      </c>
      <c r="I980" s="7" t="str">
        <f>RawData!I980</f>
        <v>Delivered</v>
      </c>
      <c r="J980" s="7" t="str">
        <f>RawData!J980</f>
        <v>TRK61047536</v>
      </c>
      <c r="K980" s="7">
        <f>RawData!K980</f>
        <v>5</v>
      </c>
      <c r="L980" s="7" t="str">
        <f>IF(RawData!L980="","No Coupon",RawData!L980)</f>
        <v>No Coupon</v>
      </c>
      <c r="M980" s="7" t="str">
        <f>RawData!M980</f>
        <v>Google</v>
      </c>
      <c r="N980" s="7">
        <f>RawData!N980</f>
        <v>429.96</v>
      </c>
    </row>
    <row r="981" spans="1:14" x14ac:dyDescent="0.3">
      <c r="A981" s="7" t="str">
        <f>RawData!A981</f>
        <v>ORD200979</v>
      </c>
      <c r="B981" s="11">
        <f>RawData!B981</f>
        <v>45077</v>
      </c>
      <c r="C981" s="7" t="str">
        <f>RawData!C981</f>
        <v>C75018</v>
      </c>
      <c r="D981" s="7" t="str">
        <f>RawData!D981</f>
        <v>Monitor</v>
      </c>
      <c r="E981" s="7">
        <f>RawData!E981</f>
        <v>3</v>
      </c>
      <c r="F981" s="7">
        <f>RawData!F981</f>
        <v>669.06</v>
      </c>
      <c r="G981" s="7" t="str">
        <f>RawData!G981</f>
        <v>299 Main St</v>
      </c>
      <c r="H981" s="7" t="str">
        <f>RawData!H981</f>
        <v>Cash</v>
      </c>
      <c r="I981" s="7" t="str">
        <f>RawData!I981</f>
        <v>Delivered</v>
      </c>
      <c r="J981" s="7" t="str">
        <f>RawData!J981</f>
        <v>TRK51794806</v>
      </c>
      <c r="K981" s="7">
        <f>RawData!K981</f>
        <v>7</v>
      </c>
      <c r="L981" s="7" t="str">
        <f>IF(RawData!L981="","No Coupon",RawData!L981)</f>
        <v>SAVE10</v>
      </c>
      <c r="M981" s="7" t="str">
        <f>RawData!M981</f>
        <v>Facebook</v>
      </c>
      <c r="N981" s="7">
        <f>RawData!N981</f>
        <v>2007.18</v>
      </c>
    </row>
    <row r="982" spans="1:14" x14ac:dyDescent="0.3">
      <c r="A982" s="7" t="str">
        <f>RawData!A982</f>
        <v>ORD200980</v>
      </c>
      <c r="B982" s="11">
        <f>RawData!B982</f>
        <v>45213</v>
      </c>
      <c r="C982" s="7" t="str">
        <f>RawData!C982</f>
        <v>C84320</v>
      </c>
      <c r="D982" s="7" t="str">
        <f>RawData!D982</f>
        <v>Chair</v>
      </c>
      <c r="E982" s="7">
        <f>RawData!E982</f>
        <v>3</v>
      </c>
      <c r="F982" s="7">
        <f>RawData!F982</f>
        <v>69.650000000000006</v>
      </c>
      <c r="G982" s="7" t="str">
        <f>RawData!G982</f>
        <v>107 Main St</v>
      </c>
      <c r="H982" s="7" t="str">
        <f>RawData!H982</f>
        <v>Cash</v>
      </c>
      <c r="I982" s="7" t="str">
        <f>RawData!I982</f>
        <v>Delivered</v>
      </c>
      <c r="J982" s="7" t="str">
        <f>RawData!J982</f>
        <v>TRK81093218</v>
      </c>
      <c r="K982" s="7">
        <f>RawData!K982</f>
        <v>7</v>
      </c>
      <c r="L982" s="7" t="str">
        <f>IF(RawData!L982="","No Coupon",RawData!L982)</f>
        <v>WINTER15</v>
      </c>
      <c r="M982" s="7" t="str">
        <f>RawData!M982</f>
        <v>Instagram</v>
      </c>
      <c r="N982" s="7">
        <f>RawData!N982</f>
        <v>208.95</v>
      </c>
    </row>
    <row r="983" spans="1:14" x14ac:dyDescent="0.3">
      <c r="A983" s="7" t="str">
        <f>RawData!A983</f>
        <v>ORD200981</v>
      </c>
      <c r="B983" s="11">
        <f>RawData!B983</f>
        <v>45256</v>
      </c>
      <c r="C983" s="7" t="str">
        <f>RawData!C983</f>
        <v>C12609</v>
      </c>
      <c r="D983" s="7" t="str">
        <f>RawData!D983</f>
        <v>Phone</v>
      </c>
      <c r="E983" s="7">
        <f>RawData!E983</f>
        <v>4</v>
      </c>
      <c r="F983" s="7">
        <f>RawData!F983</f>
        <v>136.83000000000001</v>
      </c>
      <c r="G983" s="7" t="str">
        <f>RawData!G983</f>
        <v>490 Main St</v>
      </c>
      <c r="H983" s="7" t="str">
        <f>RawData!H983</f>
        <v>Debit Card</v>
      </c>
      <c r="I983" s="7" t="str">
        <f>RawData!I983</f>
        <v>Pending</v>
      </c>
      <c r="J983" s="7" t="str">
        <f>RawData!J983</f>
        <v>TRK56379337</v>
      </c>
      <c r="K983" s="7">
        <f>RawData!K983</f>
        <v>8</v>
      </c>
      <c r="L983" s="7" t="str">
        <f>IF(RawData!L983="","No Coupon",RawData!L983)</f>
        <v>SAVE10</v>
      </c>
      <c r="M983" s="7" t="str">
        <f>RawData!M983</f>
        <v>Email</v>
      </c>
      <c r="N983" s="7">
        <f>RawData!N983</f>
        <v>547.32000000000005</v>
      </c>
    </row>
    <row r="984" spans="1:14" x14ac:dyDescent="0.3">
      <c r="A984" s="7" t="str">
        <f>RawData!A984</f>
        <v>ORD200982</v>
      </c>
      <c r="B984" s="11">
        <f>RawData!B984</f>
        <v>45541</v>
      </c>
      <c r="C984" s="7" t="str">
        <f>RawData!C984</f>
        <v>C64935</v>
      </c>
      <c r="D984" s="7" t="str">
        <f>RawData!D984</f>
        <v>Monitor</v>
      </c>
      <c r="E984" s="7">
        <f>RawData!E984</f>
        <v>1</v>
      </c>
      <c r="F984" s="7">
        <f>RawData!F984</f>
        <v>304.11</v>
      </c>
      <c r="G984" s="7" t="str">
        <f>RawData!G984</f>
        <v>707 Main St</v>
      </c>
      <c r="H984" s="7" t="str">
        <f>RawData!H984</f>
        <v>Gift Card</v>
      </c>
      <c r="I984" s="7" t="str">
        <f>RawData!I984</f>
        <v>Shipped</v>
      </c>
      <c r="J984" s="7" t="str">
        <f>RawData!J984</f>
        <v>TRK42969065</v>
      </c>
      <c r="K984" s="7">
        <f>RawData!K984</f>
        <v>2</v>
      </c>
      <c r="L984" s="7" t="str">
        <f>IF(RawData!L984="","No Coupon",RawData!L984)</f>
        <v>SAVE10</v>
      </c>
      <c r="M984" s="7" t="str">
        <f>RawData!M984</f>
        <v>Referral</v>
      </c>
      <c r="N984" s="7">
        <f>RawData!N984</f>
        <v>304.11</v>
      </c>
    </row>
    <row r="985" spans="1:14" x14ac:dyDescent="0.3">
      <c r="A985" s="7" t="str">
        <f>RawData!A985</f>
        <v>ORD200983</v>
      </c>
      <c r="B985" s="11">
        <f>RawData!B985</f>
        <v>45620</v>
      </c>
      <c r="C985" s="7" t="str">
        <f>RawData!C985</f>
        <v>C67528</v>
      </c>
      <c r="D985" s="7" t="str">
        <f>RawData!D985</f>
        <v>Monitor</v>
      </c>
      <c r="E985" s="7">
        <f>RawData!E985</f>
        <v>4</v>
      </c>
      <c r="F985" s="7">
        <f>RawData!F985</f>
        <v>296.27999999999997</v>
      </c>
      <c r="G985" s="7" t="str">
        <f>RawData!G985</f>
        <v>110 Main St</v>
      </c>
      <c r="H985" s="7" t="str">
        <f>RawData!H985</f>
        <v>Gift Card</v>
      </c>
      <c r="I985" s="7" t="str">
        <f>RawData!I985</f>
        <v>Shipped</v>
      </c>
      <c r="J985" s="7" t="str">
        <f>RawData!J985</f>
        <v>TRK60865210</v>
      </c>
      <c r="K985" s="7">
        <f>RawData!K985</f>
        <v>5</v>
      </c>
      <c r="L985" s="7" t="str">
        <f>IF(RawData!L985="","No Coupon",RawData!L985)</f>
        <v>SAVE10</v>
      </c>
      <c r="M985" s="7" t="str">
        <f>RawData!M985</f>
        <v>Email</v>
      </c>
      <c r="N985" s="7">
        <f>RawData!N985</f>
        <v>1185.1199999999999</v>
      </c>
    </row>
    <row r="986" spans="1:14" x14ac:dyDescent="0.3">
      <c r="A986" s="7" t="str">
        <f>RawData!A986</f>
        <v>ORD200984</v>
      </c>
      <c r="B986" s="11">
        <f>RawData!B986</f>
        <v>45716</v>
      </c>
      <c r="C986" s="7" t="str">
        <f>RawData!C986</f>
        <v>C44176</v>
      </c>
      <c r="D986" s="7" t="str">
        <f>RawData!D986</f>
        <v>Desk</v>
      </c>
      <c r="E986" s="7">
        <f>RawData!E986</f>
        <v>1</v>
      </c>
      <c r="F986" s="7">
        <f>RawData!F986</f>
        <v>77.64</v>
      </c>
      <c r="G986" s="7" t="str">
        <f>RawData!G986</f>
        <v>706 Main St</v>
      </c>
      <c r="H986" s="7" t="str">
        <f>RawData!H986</f>
        <v>Credit Card</v>
      </c>
      <c r="I986" s="7" t="str">
        <f>RawData!I986</f>
        <v>Shipped</v>
      </c>
      <c r="J986" s="7" t="str">
        <f>RawData!J986</f>
        <v>TRK68704764</v>
      </c>
      <c r="K986" s="7">
        <f>RawData!K986</f>
        <v>1</v>
      </c>
      <c r="L986" s="7" t="str">
        <f>IF(RawData!L986="","No Coupon",RawData!L986)</f>
        <v>FREESHIP</v>
      </c>
      <c r="M986" s="7" t="str">
        <f>RawData!M986</f>
        <v>Facebook</v>
      </c>
      <c r="N986" s="7">
        <f>RawData!N986</f>
        <v>77.64</v>
      </c>
    </row>
    <row r="987" spans="1:14" x14ac:dyDescent="0.3">
      <c r="A987" s="7" t="str">
        <f>RawData!A987</f>
        <v>ORD200985</v>
      </c>
      <c r="B987" s="11">
        <f>RawData!B987</f>
        <v>45493</v>
      </c>
      <c r="C987" s="7" t="str">
        <f>RawData!C987</f>
        <v>C92788</v>
      </c>
      <c r="D987" s="7" t="str">
        <f>RawData!D987</f>
        <v>Desk</v>
      </c>
      <c r="E987" s="7">
        <f>RawData!E987</f>
        <v>1</v>
      </c>
      <c r="F987" s="7">
        <f>RawData!F987</f>
        <v>243.71</v>
      </c>
      <c r="G987" s="7" t="str">
        <f>RawData!G987</f>
        <v>948 Main St</v>
      </c>
      <c r="H987" s="7" t="str">
        <f>RawData!H987</f>
        <v>Gift Card</v>
      </c>
      <c r="I987" s="7" t="str">
        <f>RawData!I987</f>
        <v>Delivered</v>
      </c>
      <c r="J987" s="7" t="str">
        <f>RawData!J987</f>
        <v>TRK83835361</v>
      </c>
      <c r="K987" s="7">
        <f>RawData!K987</f>
        <v>6</v>
      </c>
      <c r="L987" s="7" t="str">
        <f>IF(RawData!L987="","No Coupon",RawData!L987)</f>
        <v>SAVE10</v>
      </c>
      <c r="M987" s="7" t="str">
        <f>RawData!M987</f>
        <v>Google</v>
      </c>
      <c r="N987" s="7">
        <f>RawData!N987</f>
        <v>243.71</v>
      </c>
    </row>
    <row r="988" spans="1:14" x14ac:dyDescent="0.3">
      <c r="A988" s="7" t="str">
        <f>RawData!A988</f>
        <v>ORD200986</v>
      </c>
      <c r="B988" s="11">
        <f>RawData!B988</f>
        <v>45542</v>
      </c>
      <c r="C988" s="7" t="str">
        <f>RawData!C988</f>
        <v>C69213</v>
      </c>
      <c r="D988" s="7" t="str">
        <f>RawData!D988</f>
        <v>Laptop</v>
      </c>
      <c r="E988" s="7">
        <f>RawData!E988</f>
        <v>4</v>
      </c>
      <c r="F988" s="7">
        <f>RawData!F988</f>
        <v>644.96</v>
      </c>
      <c r="G988" s="7" t="str">
        <f>RawData!G988</f>
        <v>533 Main St</v>
      </c>
      <c r="H988" s="7" t="str">
        <f>RawData!H988</f>
        <v>Credit Card</v>
      </c>
      <c r="I988" s="7" t="str">
        <f>RawData!I988</f>
        <v>Pending</v>
      </c>
      <c r="J988" s="7" t="str">
        <f>RawData!J988</f>
        <v>TRK67837331</v>
      </c>
      <c r="K988" s="7">
        <f>RawData!K988</f>
        <v>7</v>
      </c>
      <c r="L988" s="7" t="str">
        <f>IF(RawData!L988="","No Coupon",RawData!L988)</f>
        <v>FREESHIP</v>
      </c>
      <c r="M988" s="7" t="str">
        <f>RawData!M988</f>
        <v>Email</v>
      </c>
      <c r="N988" s="7">
        <f>RawData!N988</f>
        <v>2579.84</v>
      </c>
    </row>
    <row r="989" spans="1:14" x14ac:dyDescent="0.3">
      <c r="A989" s="7" t="str">
        <f>RawData!A989</f>
        <v>ORD200987</v>
      </c>
      <c r="B989" s="11">
        <f>RawData!B989</f>
        <v>45813</v>
      </c>
      <c r="C989" s="7" t="str">
        <f>RawData!C989</f>
        <v>C67387</v>
      </c>
      <c r="D989" s="7" t="str">
        <f>RawData!D989</f>
        <v>Phone</v>
      </c>
      <c r="E989" s="7">
        <f>RawData!E989</f>
        <v>5</v>
      </c>
      <c r="F989" s="7">
        <f>RawData!F989</f>
        <v>283.73</v>
      </c>
      <c r="G989" s="7" t="str">
        <f>RawData!G989</f>
        <v>436 Main St</v>
      </c>
      <c r="H989" s="7" t="str">
        <f>RawData!H989</f>
        <v>Gift Card</v>
      </c>
      <c r="I989" s="7" t="str">
        <f>RawData!I989</f>
        <v>Pending</v>
      </c>
      <c r="J989" s="7" t="str">
        <f>RawData!J989</f>
        <v>TRK54120003</v>
      </c>
      <c r="K989" s="7">
        <f>RawData!K989</f>
        <v>8</v>
      </c>
      <c r="L989" s="7" t="str">
        <f>IF(RawData!L989="","No Coupon",RawData!L989)</f>
        <v>FREESHIP</v>
      </c>
      <c r="M989" s="7" t="str">
        <f>RawData!M989</f>
        <v>Instagram</v>
      </c>
      <c r="N989" s="7">
        <f>RawData!N989</f>
        <v>1418.65</v>
      </c>
    </row>
    <row r="990" spans="1:14" x14ac:dyDescent="0.3">
      <c r="A990" s="7" t="str">
        <f>RawData!A990</f>
        <v>ORD200988</v>
      </c>
      <c r="B990" s="11">
        <f>RawData!B990</f>
        <v>45692</v>
      </c>
      <c r="C990" s="7" t="str">
        <f>RawData!C990</f>
        <v>C90318</v>
      </c>
      <c r="D990" s="7" t="str">
        <f>RawData!D990</f>
        <v>Desk</v>
      </c>
      <c r="E990" s="7">
        <f>RawData!E990</f>
        <v>2</v>
      </c>
      <c r="F990" s="7">
        <f>RawData!F990</f>
        <v>629.55999999999995</v>
      </c>
      <c r="G990" s="7" t="str">
        <f>RawData!G990</f>
        <v>818 Main St</v>
      </c>
      <c r="H990" s="7" t="str">
        <f>RawData!H990</f>
        <v>Gift Card</v>
      </c>
      <c r="I990" s="7" t="str">
        <f>RawData!I990</f>
        <v>Cancelled</v>
      </c>
      <c r="J990" s="7" t="str">
        <f>RawData!J990</f>
        <v>TRK52765043</v>
      </c>
      <c r="K990" s="7">
        <f>RawData!K990</f>
        <v>5</v>
      </c>
      <c r="L990" s="7" t="str">
        <f>IF(RawData!L990="","No Coupon",RawData!L990)</f>
        <v>WINTER15</v>
      </c>
      <c r="M990" s="7" t="str">
        <f>RawData!M990</f>
        <v>Instagram</v>
      </c>
      <c r="N990" s="7">
        <f>RawData!N990</f>
        <v>1259.1199999999999</v>
      </c>
    </row>
    <row r="991" spans="1:14" x14ac:dyDescent="0.3">
      <c r="A991" s="7" t="str">
        <f>RawData!A991</f>
        <v>ORD200989</v>
      </c>
      <c r="B991" s="11">
        <f>RawData!B991</f>
        <v>45008</v>
      </c>
      <c r="C991" s="7" t="str">
        <f>RawData!C991</f>
        <v>C49995</v>
      </c>
      <c r="D991" s="7" t="str">
        <f>RawData!D991</f>
        <v>Laptop</v>
      </c>
      <c r="E991" s="7">
        <f>RawData!E991</f>
        <v>4</v>
      </c>
      <c r="F991" s="7">
        <f>RawData!F991</f>
        <v>246.11</v>
      </c>
      <c r="G991" s="7" t="str">
        <f>RawData!G991</f>
        <v>559 Main St</v>
      </c>
      <c r="H991" s="7" t="str">
        <f>RawData!H991</f>
        <v>Credit Card</v>
      </c>
      <c r="I991" s="7" t="str">
        <f>RawData!I991</f>
        <v>Pending</v>
      </c>
      <c r="J991" s="7" t="str">
        <f>RawData!J991</f>
        <v>TRK33212013</v>
      </c>
      <c r="K991" s="7">
        <f>RawData!K991</f>
        <v>4</v>
      </c>
      <c r="L991" s="7" t="str">
        <f>IF(RawData!L991="","No Coupon",RawData!L991)</f>
        <v>SAVE10</v>
      </c>
      <c r="M991" s="7" t="str">
        <f>RawData!M991</f>
        <v>Instagram</v>
      </c>
      <c r="N991" s="7">
        <f>RawData!N991</f>
        <v>984.44</v>
      </c>
    </row>
    <row r="992" spans="1:14" x14ac:dyDescent="0.3">
      <c r="A992" s="7" t="str">
        <f>RawData!A992</f>
        <v>ORD200990</v>
      </c>
      <c r="B992" s="11">
        <f>RawData!B992</f>
        <v>45249</v>
      </c>
      <c r="C992" s="7" t="str">
        <f>RawData!C992</f>
        <v>C52313</v>
      </c>
      <c r="D992" s="7" t="str">
        <f>RawData!D992</f>
        <v>Phone</v>
      </c>
      <c r="E992" s="7">
        <f>RawData!E992</f>
        <v>2</v>
      </c>
      <c r="F992" s="7">
        <f>RawData!F992</f>
        <v>418.26</v>
      </c>
      <c r="G992" s="7" t="str">
        <f>RawData!G992</f>
        <v>913 Main St</v>
      </c>
      <c r="H992" s="7" t="str">
        <f>RawData!H992</f>
        <v>Debit Card</v>
      </c>
      <c r="I992" s="7" t="str">
        <f>RawData!I992</f>
        <v>Pending</v>
      </c>
      <c r="J992" s="7" t="str">
        <f>RawData!J992</f>
        <v>TRK67368559</v>
      </c>
      <c r="K992" s="7">
        <f>RawData!K992</f>
        <v>2</v>
      </c>
      <c r="L992" s="7" t="str">
        <f>IF(RawData!L992="","No Coupon",RawData!L992)</f>
        <v>SAVE10</v>
      </c>
      <c r="M992" s="7" t="str">
        <f>RawData!M992</f>
        <v>Google</v>
      </c>
      <c r="N992" s="7">
        <f>RawData!N992</f>
        <v>836.52</v>
      </c>
    </row>
    <row r="993" spans="1:14" x14ac:dyDescent="0.3">
      <c r="A993" s="7" t="str">
        <f>RawData!A993</f>
        <v>ORD200991</v>
      </c>
      <c r="B993" s="11">
        <f>RawData!B993</f>
        <v>45421</v>
      </c>
      <c r="C993" s="7" t="str">
        <f>RawData!C993</f>
        <v>C10211</v>
      </c>
      <c r="D993" s="7" t="str">
        <f>RawData!D993</f>
        <v>Desk</v>
      </c>
      <c r="E993" s="7">
        <f>RawData!E993</f>
        <v>5</v>
      </c>
      <c r="F993" s="7">
        <f>RawData!F993</f>
        <v>127.18</v>
      </c>
      <c r="G993" s="7" t="str">
        <f>RawData!G993</f>
        <v>598 Main St</v>
      </c>
      <c r="H993" s="7" t="str">
        <f>RawData!H993</f>
        <v>Debit Card</v>
      </c>
      <c r="I993" s="7" t="str">
        <f>RawData!I993</f>
        <v>Cancelled</v>
      </c>
      <c r="J993" s="7" t="str">
        <f>RawData!J993</f>
        <v>TRK68938335</v>
      </c>
      <c r="K993" s="7">
        <f>RawData!K993</f>
        <v>10</v>
      </c>
      <c r="L993" s="7" t="str">
        <f>IF(RawData!L993="","No Coupon",RawData!L993)</f>
        <v>FREESHIP</v>
      </c>
      <c r="M993" s="7" t="str">
        <f>RawData!M993</f>
        <v>Google</v>
      </c>
      <c r="N993" s="7">
        <f>RawData!N993</f>
        <v>635.9</v>
      </c>
    </row>
    <row r="994" spans="1:14" x14ac:dyDescent="0.3">
      <c r="A994" s="7" t="str">
        <f>RawData!A994</f>
        <v>ORD200992</v>
      </c>
      <c r="B994" s="11">
        <f>RawData!B994</f>
        <v>45531</v>
      </c>
      <c r="C994" s="7" t="str">
        <f>RawData!C994</f>
        <v>C97907</v>
      </c>
      <c r="D994" s="7" t="str">
        <f>RawData!D994</f>
        <v>Printer</v>
      </c>
      <c r="E994" s="7">
        <f>RawData!E994</f>
        <v>3</v>
      </c>
      <c r="F994" s="7">
        <f>RawData!F994</f>
        <v>586.21</v>
      </c>
      <c r="G994" s="7" t="str">
        <f>RawData!G994</f>
        <v>933 Main St</v>
      </c>
      <c r="H994" s="7" t="str">
        <f>RawData!H994</f>
        <v>Gift Card</v>
      </c>
      <c r="I994" s="7" t="str">
        <f>RawData!I994</f>
        <v>Pending</v>
      </c>
      <c r="J994" s="7" t="str">
        <f>RawData!J994</f>
        <v>TRK89637569</v>
      </c>
      <c r="K994" s="7">
        <f>RawData!K994</f>
        <v>4</v>
      </c>
      <c r="L994" s="7" t="str">
        <f>IF(RawData!L994="","No Coupon",RawData!L994)</f>
        <v>WINTER15</v>
      </c>
      <c r="M994" s="7" t="str">
        <f>RawData!M994</f>
        <v>Referral</v>
      </c>
      <c r="N994" s="7">
        <f>RawData!N994</f>
        <v>1758.63</v>
      </c>
    </row>
    <row r="995" spans="1:14" x14ac:dyDescent="0.3">
      <c r="A995" s="7" t="str">
        <f>RawData!A995</f>
        <v>ORD200993</v>
      </c>
      <c r="B995" s="11">
        <f>RawData!B995</f>
        <v>45388</v>
      </c>
      <c r="C995" s="7" t="str">
        <f>RawData!C995</f>
        <v>C61384</v>
      </c>
      <c r="D995" s="7" t="str">
        <f>RawData!D995</f>
        <v>Monitor</v>
      </c>
      <c r="E995" s="7">
        <f>RawData!E995</f>
        <v>3</v>
      </c>
      <c r="F995" s="7">
        <f>RawData!F995</f>
        <v>267.45</v>
      </c>
      <c r="G995" s="7" t="str">
        <f>RawData!G995</f>
        <v>576 Main St</v>
      </c>
      <c r="H995" s="7" t="str">
        <f>RawData!H995</f>
        <v>Gift Card</v>
      </c>
      <c r="I995" s="7" t="str">
        <f>RawData!I995</f>
        <v>Delivered</v>
      </c>
      <c r="J995" s="7" t="str">
        <f>RawData!J995</f>
        <v>TRK33323210</v>
      </c>
      <c r="K995" s="7">
        <f>RawData!K995</f>
        <v>5</v>
      </c>
      <c r="L995" s="7" t="str">
        <f>IF(RawData!L995="","No Coupon",RawData!L995)</f>
        <v>WINTER15</v>
      </c>
      <c r="M995" s="7" t="str">
        <f>RawData!M995</f>
        <v>Instagram</v>
      </c>
      <c r="N995" s="7">
        <f>RawData!N995</f>
        <v>802.35</v>
      </c>
    </row>
    <row r="996" spans="1:14" x14ac:dyDescent="0.3">
      <c r="A996" s="7" t="str">
        <f>RawData!A996</f>
        <v>ORD200994</v>
      </c>
      <c r="B996" s="11">
        <f>RawData!B996</f>
        <v>45470</v>
      </c>
      <c r="C996" s="7" t="str">
        <f>RawData!C996</f>
        <v>C27613</v>
      </c>
      <c r="D996" s="7" t="str">
        <f>RawData!D996</f>
        <v>Tablet</v>
      </c>
      <c r="E996" s="7">
        <f>RawData!E996</f>
        <v>4</v>
      </c>
      <c r="F996" s="7">
        <f>RawData!F996</f>
        <v>615.65</v>
      </c>
      <c r="G996" s="7" t="str">
        <f>RawData!G996</f>
        <v>971 Main St</v>
      </c>
      <c r="H996" s="7" t="str">
        <f>RawData!H996</f>
        <v>Debit Card</v>
      </c>
      <c r="I996" s="7" t="str">
        <f>RawData!I996</f>
        <v>Delivered</v>
      </c>
      <c r="J996" s="7" t="str">
        <f>RawData!J996</f>
        <v>TRK63701318</v>
      </c>
      <c r="K996" s="7">
        <f>RawData!K996</f>
        <v>9</v>
      </c>
      <c r="L996" s="7" t="str">
        <f>IF(RawData!L996="","No Coupon",RawData!L996)</f>
        <v>WINTER15</v>
      </c>
      <c r="M996" s="7" t="str">
        <f>RawData!M996</f>
        <v>Google</v>
      </c>
      <c r="N996" s="7">
        <f>RawData!N996</f>
        <v>2462.6</v>
      </c>
    </row>
    <row r="997" spans="1:14" x14ac:dyDescent="0.3">
      <c r="A997" s="7" t="str">
        <f>RawData!A997</f>
        <v>ORD200995</v>
      </c>
      <c r="B997" s="11">
        <f>RawData!B997</f>
        <v>45248</v>
      </c>
      <c r="C997" s="7" t="str">
        <f>RawData!C997</f>
        <v>C99271</v>
      </c>
      <c r="D997" s="7" t="str">
        <f>RawData!D997</f>
        <v>Monitor</v>
      </c>
      <c r="E997" s="7">
        <f>RawData!E997</f>
        <v>2</v>
      </c>
      <c r="F997" s="7">
        <f>RawData!F997</f>
        <v>113.29</v>
      </c>
      <c r="G997" s="7" t="str">
        <f>RawData!G997</f>
        <v>959 Main St</v>
      </c>
      <c r="H997" s="7" t="str">
        <f>RawData!H997</f>
        <v>Cash</v>
      </c>
      <c r="I997" s="7" t="str">
        <f>RawData!I997</f>
        <v>Pending</v>
      </c>
      <c r="J997" s="7" t="str">
        <f>RawData!J997</f>
        <v>TRK87832736</v>
      </c>
      <c r="K997" s="7">
        <f>RawData!K997</f>
        <v>5</v>
      </c>
      <c r="L997" s="7" t="str">
        <f>IF(RawData!L997="","No Coupon",RawData!L997)</f>
        <v>SAVE10</v>
      </c>
      <c r="M997" s="7" t="str">
        <f>RawData!M997</f>
        <v>Facebook</v>
      </c>
      <c r="N997" s="7">
        <f>RawData!N997</f>
        <v>226.58</v>
      </c>
    </row>
    <row r="998" spans="1:14" x14ac:dyDescent="0.3">
      <c r="A998" s="7" t="str">
        <f>RawData!A998</f>
        <v>ORD200996</v>
      </c>
      <c r="B998" s="11">
        <f>RawData!B998</f>
        <v>45410</v>
      </c>
      <c r="C998" s="7" t="str">
        <f>RawData!C998</f>
        <v>C28648</v>
      </c>
      <c r="D998" s="7" t="str">
        <f>RawData!D998</f>
        <v>Monitor</v>
      </c>
      <c r="E998" s="7">
        <f>RawData!E998</f>
        <v>4</v>
      </c>
      <c r="F998" s="7">
        <f>RawData!F998</f>
        <v>473.86</v>
      </c>
      <c r="G998" s="7" t="str">
        <f>RawData!G998</f>
        <v>101 Main St</v>
      </c>
      <c r="H998" s="7" t="str">
        <f>RawData!H998</f>
        <v>Debit Card</v>
      </c>
      <c r="I998" s="7" t="str">
        <f>RawData!I998</f>
        <v>Delivered</v>
      </c>
      <c r="J998" s="7" t="str">
        <f>RawData!J998</f>
        <v>TRK92240846</v>
      </c>
      <c r="K998" s="7">
        <f>RawData!K998</f>
        <v>7</v>
      </c>
      <c r="L998" s="7" t="str">
        <f>IF(RawData!L998="","No Coupon",RawData!L998)</f>
        <v>SAVE10</v>
      </c>
      <c r="M998" s="7" t="str">
        <f>RawData!M998</f>
        <v>Facebook</v>
      </c>
      <c r="N998" s="7">
        <f>RawData!N998</f>
        <v>1895.44</v>
      </c>
    </row>
    <row r="999" spans="1:14" x14ac:dyDescent="0.3">
      <c r="A999" s="7" t="str">
        <f>RawData!A999</f>
        <v>ORD200997</v>
      </c>
      <c r="B999" s="11">
        <f>RawData!B999</f>
        <v>45257</v>
      </c>
      <c r="C999" s="7" t="str">
        <f>RawData!C999</f>
        <v>C26210</v>
      </c>
      <c r="D999" s="7" t="str">
        <f>RawData!D999</f>
        <v>Laptop</v>
      </c>
      <c r="E999" s="7">
        <f>RawData!E999</f>
        <v>3</v>
      </c>
      <c r="F999" s="7">
        <f>RawData!F999</f>
        <v>444.75</v>
      </c>
      <c r="G999" s="7" t="str">
        <f>RawData!G999</f>
        <v>805 Main St</v>
      </c>
      <c r="H999" s="7" t="str">
        <f>RawData!H999</f>
        <v>Cash</v>
      </c>
      <c r="I999" s="7" t="str">
        <f>RawData!I999</f>
        <v>Delivered</v>
      </c>
      <c r="J999" s="7" t="str">
        <f>RawData!J999</f>
        <v>TRK40616861</v>
      </c>
      <c r="K999" s="7">
        <f>RawData!K999</f>
        <v>6</v>
      </c>
      <c r="L999" s="7" t="str">
        <f>IF(RawData!L999="","No Coupon",RawData!L999)</f>
        <v>SAVE10</v>
      </c>
      <c r="M999" s="7" t="str">
        <f>RawData!M999</f>
        <v>Facebook</v>
      </c>
      <c r="N999" s="7">
        <f>RawData!N999</f>
        <v>1334.25</v>
      </c>
    </row>
    <row r="1000" spans="1:14" x14ac:dyDescent="0.3">
      <c r="A1000" s="7" t="str">
        <f>RawData!A1000</f>
        <v>ORD200998</v>
      </c>
      <c r="B1000" s="11">
        <f>RawData!B1000</f>
        <v>45065</v>
      </c>
      <c r="C1000" s="7" t="str">
        <f>RawData!C1000</f>
        <v>C90350</v>
      </c>
      <c r="D1000" s="7" t="str">
        <f>RawData!D1000</f>
        <v>Phone</v>
      </c>
      <c r="E1000" s="7">
        <f>RawData!E1000</f>
        <v>2</v>
      </c>
      <c r="F1000" s="7">
        <f>RawData!F1000</f>
        <v>183.67</v>
      </c>
      <c r="G1000" s="7" t="str">
        <f>RawData!G1000</f>
        <v>783 Main St</v>
      </c>
      <c r="H1000" s="7" t="str">
        <f>RawData!H1000</f>
        <v>Debit Card</v>
      </c>
      <c r="I1000" s="7" t="str">
        <f>RawData!I1000</f>
        <v>Cancelled</v>
      </c>
      <c r="J1000" s="7" t="str">
        <f>RawData!J1000</f>
        <v>TRK22824230</v>
      </c>
      <c r="K1000" s="7">
        <f>RawData!K1000</f>
        <v>6</v>
      </c>
      <c r="L1000" s="7" t="str">
        <f>IF(RawData!L1000="","No Coupon",RawData!L1000)</f>
        <v>SAVE10</v>
      </c>
      <c r="M1000" s="7" t="str">
        <f>RawData!M1000</f>
        <v>Google</v>
      </c>
      <c r="N1000" s="7">
        <f>RawData!N1000</f>
        <v>367.34</v>
      </c>
    </row>
    <row r="1001" spans="1:14" x14ac:dyDescent="0.3">
      <c r="A1001" s="7" t="str">
        <f>RawData!A1001</f>
        <v>ORD200999</v>
      </c>
      <c r="B1001" s="11">
        <f>RawData!B1001</f>
        <v>45284</v>
      </c>
      <c r="C1001" s="7" t="str">
        <f>RawData!C1001</f>
        <v>C61957</v>
      </c>
      <c r="D1001" s="7" t="str">
        <f>RawData!D1001</f>
        <v>Printer</v>
      </c>
      <c r="E1001" s="7">
        <f>RawData!E1001</f>
        <v>1</v>
      </c>
      <c r="F1001" s="7">
        <f>RawData!F1001</f>
        <v>483.38</v>
      </c>
      <c r="G1001" s="7" t="str">
        <f>RawData!G1001</f>
        <v>652 Main St</v>
      </c>
      <c r="H1001" s="7" t="str">
        <f>RawData!H1001</f>
        <v>Cash</v>
      </c>
      <c r="I1001" s="7" t="str">
        <f>RawData!I1001</f>
        <v>Pending</v>
      </c>
      <c r="J1001" s="7" t="str">
        <f>RawData!J1001</f>
        <v>TRK43983841</v>
      </c>
      <c r="K1001" s="7">
        <f>RawData!K1001</f>
        <v>6</v>
      </c>
      <c r="L1001" s="7" t="str">
        <f>IF(RawData!L1001="","No Coupon",RawData!L1001)</f>
        <v>FREESHIP</v>
      </c>
      <c r="M1001" s="7" t="str">
        <f>RawData!M1001</f>
        <v>Google</v>
      </c>
      <c r="N1001" s="7">
        <f>RawData!N1001</f>
        <v>483.38</v>
      </c>
    </row>
    <row r="1002" spans="1:14" x14ac:dyDescent="0.3">
      <c r="A1002" s="7" t="str">
        <f>RawData!A1002</f>
        <v>ORD201000</v>
      </c>
      <c r="B1002" s="11">
        <f>RawData!B1002</f>
        <v>45098</v>
      </c>
      <c r="C1002" s="7" t="str">
        <f>RawData!C1002</f>
        <v>C90132</v>
      </c>
      <c r="D1002" s="7" t="str">
        <f>RawData!D1002</f>
        <v>Printer</v>
      </c>
      <c r="E1002" s="7">
        <f>RawData!E1002</f>
        <v>5</v>
      </c>
      <c r="F1002" s="7">
        <f>RawData!F1002</f>
        <v>260.93</v>
      </c>
      <c r="G1002" s="7" t="str">
        <f>RawData!G1002</f>
        <v>582 Main St</v>
      </c>
      <c r="H1002" s="7" t="str">
        <f>RawData!H1002</f>
        <v>Online</v>
      </c>
      <c r="I1002" s="7" t="str">
        <f>RawData!I1002</f>
        <v>Delivered</v>
      </c>
      <c r="J1002" s="7" t="str">
        <f>RawData!J1002</f>
        <v>TRK52664903</v>
      </c>
      <c r="K1002" s="7">
        <f>RawData!K1002</f>
        <v>9</v>
      </c>
      <c r="L1002" s="7" t="str">
        <f>IF(RawData!L1002="","No Coupon",RawData!L1002)</f>
        <v>SAVE10</v>
      </c>
      <c r="M1002" s="7" t="str">
        <f>RawData!M1002</f>
        <v>Email</v>
      </c>
      <c r="N1002" s="7">
        <f>RawData!N1002</f>
        <v>1304.6500000000001</v>
      </c>
    </row>
    <row r="1003" spans="1:14" x14ac:dyDescent="0.3">
      <c r="A1003" s="7" t="str">
        <f>RawData!A1003</f>
        <v>ORD201001</v>
      </c>
      <c r="B1003" s="11">
        <f>RawData!B1003</f>
        <v>45268</v>
      </c>
      <c r="C1003" s="7" t="str">
        <f>RawData!C1003</f>
        <v>C31371</v>
      </c>
      <c r="D1003" s="7" t="str">
        <f>RawData!D1003</f>
        <v>Printer</v>
      </c>
      <c r="E1003" s="7">
        <f>RawData!E1003</f>
        <v>2</v>
      </c>
      <c r="F1003" s="7">
        <f>RawData!F1003</f>
        <v>253.68</v>
      </c>
      <c r="G1003" s="7" t="str">
        <f>RawData!G1003</f>
        <v>122 Main St</v>
      </c>
      <c r="H1003" s="7" t="str">
        <f>RawData!H1003</f>
        <v>Gift Card</v>
      </c>
      <c r="I1003" s="7" t="str">
        <f>RawData!I1003</f>
        <v>Shipped</v>
      </c>
      <c r="J1003" s="7" t="str">
        <f>RawData!J1003</f>
        <v>TRK19554327</v>
      </c>
      <c r="K1003" s="7">
        <f>RawData!K1003</f>
        <v>6</v>
      </c>
      <c r="L1003" s="7" t="str">
        <f>IF(RawData!L1003="","No Coupon",RawData!L1003)</f>
        <v>No Coupon</v>
      </c>
      <c r="M1003" s="7" t="str">
        <f>RawData!M1003</f>
        <v>Referral</v>
      </c>
      <c r="N1003" s="7">
        <f>RawData!N1003</f>
        <v>507.36</v>
      </c>
    </row>
    <row r="1004" spans="1:14" x14ac:dyDescent="0.3">
      <c r="A1004" s="7" t="str">
        <f>RawData!A1004</f>
        <v>ORD201002</v>
      </c>
      <c r="B1004" s="11">
        <f>RawData!B1004</f>
        <v>45827</v>
      </c>
      <c r="C1004" s="7" t="str">
        <f>RawData!C1004</f>
        <v>C83911</v>
      </c>
      <c r="D1004" s="7" t="str">
        <f>RawData!D1004</f>
        <v>Tablet</v>
      </c>
      <c r="E1004" s="7">
        <f>RawData!E1004</f>
        <v>4</v>
      </c>
      <c r="F1004" s="7">
        <f>RawData!F1004</f>
        <v>699.88</v>
      </c>
      <c r="G1004" s="7" t="str">
        <f>RawData!G1004</f>
        <v>944 Main St</v>
      </c>
      <c r="H1004" s="7" t="str">
        <f>RawData!H1004</f>
        <v>Cash</v>
      </c>
      <c r="I1004" s="7" t="str">
        <f>RawData!I1004</f>
        <v>Pending</v>
      </c>
      <c r="J1004" s="7" t="str">
        <f>RawData!J1004</f>
        <v>TRK33188106</v>
      </c>
      <c r="K1004" s="7">
        <f>RawData!K1004</f>
        <v>5</v>
      </c>
      <c r="L1004" s="7" t="str">
        <f>IF(RawData!L1004="","No Coupon",RawData!L1004)</f>
        <v>WINTER15</v>
      </c>
      <c r="M1004" s="7" t="str">
        <f>RawData!M1004</f>
        <v>Referral</v>
      </c>
      <c r="N1004" s="7">
        <f>RawData!N1004</f>
        <v>2799.52</v>
      </c>
    </row>
    <row r="1005" spans="1:14" x14ac:dyDescent="0.3">
      <c r="A1005" s="7" t="str">
        <f>RawData!A1005</f>
        <v>ORD201003</v>
      </c>
      <c r="B1005" s="11">
        <f>RawData!B1005</f>
        <v>44937</v>
      </c>
      <c r="C1005" s="7" t="str">
        <f>RawData!C1005</f>
        <v>C84700</v>
      </c>
      <c r="D1005" s="7" t="str">
        <f>RawData!D1005</f>
        <v>Printer</v>
      </c>
      <c r="E1005" s="7">
        <f>RawData!E1005</f>
        <v>5</v>
      </c>
      <c r="F1005" s="7">
        <f>RawData!F1005</f>
        <v>319.97000000000003</v>
      </c>
      <c r="G1005" s="7" t="str">
        <f>RawData!G1005</f>
        <v>582 Main St</v>
      </c>
      <c r="H1005" s="7" t="str">
        <f>RawData!H1005</f>
        <v>Cash</v>
      </c>
      <c r="I1005" s="7" t="str">
        <f>RawData!I1005</f>
        <v>Shipped</v>
      </c>
      <c r="J1005" s="7" t="str">
        <f>RawData!J1005</f>
        <v>TRK14706969</v>
      </c>
      <c r="K1005" s="7">
        <f>RawData!K1005</f>
        <v>7</v>
      </c>
      <c r="L1005" s="7" t="str">
        <f>IF(RawData!L1005="","No Coupon",RawData!L1005)</f>
        <v>SAVE10</v>
      </c>
      <c r="M1005" s="7" t="str">
        <f>RawData!M1005</f>
        <v>Google</v>
      </c>
      <c r="N1005" s="7">
        <f>RawData!N1005</f>
        <v>1599.85</v>
      </c>
    </row>
    <row r="1006" spans="1:14" x14ac:dyDescent="0.3">
      <c r="A1006" s="7" t="str">
        <f>RawData!A1006</f>
        <v>ORD201004</v>
      </c>
      <c r="B1006" s="11">
        <f>RawData!B1006</f>
        <v>45817</v>
      </c>
      <c r="C1006" s="7" t="str">
        <f>RawData!C1006</f>
        <v>C87529</v>
      </c>
      <c r="D1006" s="7" t="str">
        <f>RawData!D1006</f>
        <v>Chair</v>
      </c>
      <c r="E1006" s="7">
        <f>RawData!E1006</f>
        <v>4</v>
      </c>
      <c r="F1006" s="7">
        <f>RawData!F1006</f>
        <v>246.91</v>
      </c>
      <c r="G1006" s="7" t="str">
        <f>RawData!G1006</f>
        <v>296 Main St</v>
      </c>
      <c r="H1006" s="7" t="str">
        <f>RawData!H1006</f>
        <v>Online</v>
      </c>
      <c r="I1006" s="7" t="str">
        <f>RawData!I1006</f>
        <v>Pending</v>
      </c>
      <c r="J1006" s="7" t="str">
        <f>RawData!J1006</f>
        <v>TRK15739505</v>
      </c>
      <c r="K1006" s="7">
        <f>RawData!K1006</f>
        <v>8</v>
      </c>
      <c r="L1006" s="7" t="str">
        <f>IF(RawData!L1006="","No Coupon",RawData!L1006)</f>
        <v>SAVE10</v>
      </c>
      <c r="M1006" s="7" t="str">
        <f>RawData!M1006</f>
        <v>Referral</v>
      </c>
      <c r="N1006" s="7">
        <f>RawData!N1006</f>
        <v>987.64</v>
      </c>
    </row>
    <row r="1007" spans="1:14" x14ac:dyDescent="0.3">
      <c r="A1007" s="7" t="str">
        <f>RawData!A1007</f>
        <v>ORD201005</v>
      </c>
      <c r="B1007" s="11">
        <f>RawData!B1007</f>
        <v>44987</v>
      </c>
      <c r="C1007" s="7" t="str">
        <f>RawData!C1007</f>
        <v>C38065</v>
      </c>
      <c r="D1007" s="7" t="str">
        <f>RawData!D1007</f>
        <v>Printer</v>
      </c>
      <c r="E1007" s="7">
        <f>RawData!E1007</f>
        <v>3</v>
      </c>
      <c r="F1007" s="7">
        <f>RawData!F1007</f>
        <v>392.85</v>
      </c>
      <c r="G1007" s="7" t="str">
        <f>RawData!G1007</f>
        <v>426 Main St</v>
      </c>
      <c r="H1007" s="7" t="str">
        <f>RawData!H1007</f>
        <v>Credit Card</v>
      </c>
      <c r="I1007" s="7" t="str">
        <f>RawData!I1007</f>
        <v>Returned</v>
      </c>
      <c r="J1007" s="7" t="str">
        <f>RawData!J1007</f>
        <v>TRK11448295</v>
      </c>
      <c r="K1007" s="7">
        <f>RawData!K1007</f>
        <v>6</v>
      </c>
      <c r="L1007" s="7" t="str">
        <f>IF(RawData!L1007="","No Coupon",RawData!L1007)</f>
        <v>No Coupon</v>
      </c>
      <c r="M1007" s="7" t="str">
        <f>RawData!M1007</f>
        <v>Google</v>
      </c>
      <c r="N1007" s="7">
        <f>RawData!N1007</f>
        <v>1178.55</v>
      </c>
    </row>
    <row r="1008" spans="1:14" x14ac:dyDescent="0.3">
      <c r="A1008" s="7" t="str">
        <f>RawData!A1008</f>
        <v>ORD201006</v>
      </c>
      <c r="B1008" s="11">
        <f>RawData!B1008</f>
        <v>45439</v>
      </c>
      <c r="C1008" s="7" t="str">
        <f>RawData!C1008</f>
        <v>C27435</v>
      </c>
      <c r="D1008" s="7" t="str">
        <f>RawData!D1008</f>
        <v>Tablet</v>
      </c>
      <c r="E1008" s="7">
        <f>RawData!E1008</f>
        <v>5</v>
      </c>
      <c r="F1008" s="7">
        <f>RawData!F1008</f>
        <v>420.98</v>
      </c>
      <c r="G1008" s="7" t="str">
        <f>RawData!G1008</f>
        <v>860 Main St</v>
      </c>
      <c r="H1008" s="7" t="str">
        <f>RawData!H1008</f>
        <v>Cash</v>
      </c>
      <c r="I1008" s="7" t="str">
        <f>RawData!I1008</f>
        <v>Delivered</v>
      </c>
      <c r="J1008" s="7" t="str">
        <f>RawData!J1008</f>
        <v>TRK91458233</v>
      </c>
      <c r="K1008" s="7">
        <f>RawData!K1008</f>
        <v>7</v>
      </c>
      <c r="L1008" s="7" t="str">
        <f>IF(RawData!L1008="","No Coupon",RawData!L1008)</f>
        <v>SAVE10</v>
      </c>
      <c r="M1008" s="7" t="str">
        <f>RawData!M1008</f>
        <v>Facebook</v>
      </c>
      <c r="N1008" s="7">
        <f>RawData!N1008</f>
        <v>2104.9</v>
      </c>
    </row>
    <row r="1009" spans="1:14" x14ac:dyDescent="0.3">
      <c r="A1009" s="7" t="str">
        <f>RawData!A1009</f>
        <v>ORD201007</v>
      </c>
      <c r="B1009" s="11">
        <f>RawData!B1009</f>
        <v>45371</v>
      </c>
      <c r="C1009" s="7" t="str">
        <f>RawData!C1009</f>
        <v>C46651</v>
      </c>
      <c r="D1009" s="7" t="str">
        <f>RawData!D1009</f>
        <v>Monitor</v>
      </c>
      <c r="E1009" s="7">
        <f>RawData!E1009</f>
        <v>2</v>
      </c>
      <c r="F1009" s="7">
        <f>RawData!F1009</f>
        <v>73.260000000000005</v>
      </c>
      <c r="G1009" s="7" t="str">
        <f>RawData!G1009</f>
        <v>839 Main St</v>
      </c>
      <c r="H1009" s="7" t="str">
        <f>RawData!H1009</f>
        <v>Cash</v>
      </c>
      <c r="I1009" s="7" t="str">
        <f>RawData!I1009</f>
        <v>Pending</v>
      </c>
      <c r="J1009" s="7" t="str">
        <f>RawData!J1009</f>
        <v>TRK60444502</v>
      </c>
      <c r="K1009" s="7">
        <f>RawData!K1009</f>
        <v>4</v>
      </c>
      <c r="L1009" s="7" t="str">
        <f>IF(RawData!L1009="","No Coupon",RawData!L1009)</f>
        <v>WINTER15</v>
      </c>
      <c r="M1009" s="7" t="str">
        <f>RawData!M1009</f>
        <v>Facebook</v>
      </c>
      <c r="N1009" s="7">
        <f>RawData!N1009</f>
        <v>146.52000000000001</v>
      </c>
    </row>
    <row r="1010" spans="1:14" x14ac:dyDescent="0.3">
      <c r="A1010" s="7" t="str">
        <f>RawData!A1010</f>
        <v>ORD201008</v>
      </c>
      <c r="B1010" s="11">
        <f>RawData!B1010</f>
        <v>44939</v>
      </c>
      <c r="C1010" s="7" t="str">
        <f>RawData!C1010</f>
        <v>C62557</v>
      </c>
      <c r="D1010" s="7" t="str">
        <f>RawData!D1010</f>
        <v>Monitor</v>
      </c>
      <c r="E1010" s="7">
        <f>RawData!E1010</f>
        <v>3</v>
      </c>
      <c r="F1010" s="7">
        <f>RawData!F1010</f>
        <v>410.88</v>
      </c>
      <c r="G1010" s="7" t="str">
        <f>RawData!G1010</f>
        <v>257 Main St</v>
      </c>
      <c r="H1010" s="7" t="str">
        <f>RawData!H1010</f>
        <v>Cash</v>
      </c>
      <c r="I1010" s="7" t="str">
        <f>RawData!I1010</f>
        <v>Delivered</v>
      </c>
      <c r="J1010" s="7" t="str">
        <f>RawData!J1010</f>
        <v>TRK12742366</v>
      </c>
      <c r="K1010" s="7">
        <f>RawData!K1010</f>
        <v>8</v>
      </c>
      <c r="L1010" s="7" t="str">
        <f>IF(RawData!L1010="","No Coupon",RawData!L1010)</f>
        <v>FREESHIP</v>
      </c>
      <c r="M1010" s="7" t="str">
        <f>RawData!M1010</f>
        <v>Instagram</v>
      </c>
      <c r="N1010" s="7">
        <f>RawData!N1010</f>
        <v>1232.6400000000001</v>
      </c>
    </row>
    <row r="1011" spans="1:14" x14ac:dyDescent="0.3">
      <c r="A1011" s="7" t="str">
        <f>RawData!A1011</f>
        <v>ORD201009</v>
      </c>
      <c r="B1011" s="11">
        <f>RawData!B1011</f>
        <v>45171</v>
      </c>
      <c r="C1011" s="7" t="str">
        <f>RawData!C1011</f>
        <v>C54494</v>
      </c>
      <c r="D1011" s="7" t="str">
        <f>RawData!D1011</f>
        <v>Tablet</v>
      </c>
      <c r="E1011" s="7">
        <f>RawData!E1011</f>
        <v>2</v>
      </c>
      <c r="F1011" s="7">
        <f>RawData!F1011</f>
        <v>176.46</v>
      </c>
      <c r="G1011" s="7" t="str">
        <f>RawData!G1011</f>
        <v>696 Main St</v>
      </c>
      <c r="H1011" s="7" t="str">
        <f>RawData!H1011</f>
        <v>Credit Card</v>
      </c>
      <c r="I1011" s="7" t="str">
        <f>RawData!I1011</f>
        <v>Delivered</v>
      </c>
      <c r="J1011" s="7" t="str">
        <f>RawData!J1011</f>
        <v>TRK95958645</v>
      </c>
      <c r="K1011" s="7">
        <f>RawData!K1011</f>
        <v>2</v>
      </c>
      <c r="L1011" s="7" t="str">
        <f>IF(RawData!L1011="","No Coupon",RawData!L1011)</f>
        <v>FREESHIP</v>
      </c>
      <c r="M1011" s="7" t="str">
        <f>RawData!M1011</f>
        <v>Email</v>
      </c>
      <c r="N1011" s="7">
        <f>RawData!N1011</f>
        <v>352.92</v>
      </c>
    </row>
    <row r="1012" spans="1:14" x14ac:dyDescent="0.3">
      <c r="A1012" s="7" t="str">
        <f>RawData!A1012</f>
        <v>ORD201010</v>
      </c>
      <c r="B1012" s="11">
        <f>RawData!B1012</f>
        <v>45016</v>
      </c>
      <c r="C1012" s="7" t="str">
        <f>RawData!C1012</f>
        <v>C33729</v>
      </c>
      <c r="D1012" s="7" t="str">
        <f>RawData!D1012</f>
        <v>Monitor</v>
      </c>
      <c r="E1012" s="7">
        <f>RawData!E1012</f>
        <v>3</v>
      </c>
      <c r="F1012" s="7">
        <f>RawData!F1012</f>
        <v>659.57</v>
      </c>
      <c r="G1012" s="7" t="str">
        <f>RawData!G1012</f>
        <v>533 Main St</v>
      </c>
      <c r="H1012" s="7" t="str">
        <f>RawData!H1012</f>
        <v>Credit Card</v>
      </c>
      <c r="I1012" s="7" t="str">
        <f>RawData!I1012</f>
        <v>Cancelled</v>
      </c>
      <c r="J1012" s="7" t="str">
        <f>RawData!J1012</f>
        <v>TRK35649833</v>
      </c>
      <c r="K1012" s="7">
        <f>RawData!K1012</f>
        <v>6</v>
      </c>
      <c r="L1012" s="7" t="str">
        <f>IF(RawData!L1012="","No Coupon",RawData!L1012)</f>
        <v>SAVE10</v>
      </c>
      <c r="M1012" s="7" t="str">
        <f>RawData!M1012</f>
        <v>Email</v>
      </c>
      <c r="N1012" s="7">
        <f>RawData!N1012</f>
        <v>1978.71</v>
      </c>
    </row>
    <row r="1013" spans="1:14" x14ac:dyDescent="0.3">
      <c r="A1013" s="7" t="str">
        <f>RawData!A1013</f>
        <v>ORD201011</v>
      </c>
      <c r="B1013" s="11">
        <f>RawData!B1013</f>
        <v>45629</v>
      </c>
      <c r="C1013" s="7" t="str">
        <f>RawData!C1013</f>
        <v>C47823</v>
      </c>
      <c r="D1013" s="7" t="str">
        <f>RawData!D1013</f>
        <v>Phone</v>
      </c>
      <c r="E1013" s="7">
        <f>RawData!E1013</f>
        <v>2</v>
      </c>
      <c r="F1013" s="7">
        <f>RawData!F1013</f>
        <v>478.36</v>
      </c>
      <c r="G1013" s="7" t="str">
        <f>RawData!G1013</f>
        <v>654 Main St</v>
      </c>
      <c r="H1013" s="7" t="str">
        <f>RawData!H1013</f>
        <v>Online</v>
      </c>
      <c r="I1013" s="7" t="str">
        <f>RawData!I1013</f>
        <v>Shipped</v>
      </c>
      <c r="J1013" s="7" t="str">
        <f>RawData!J1013</f>
        <v>TRK22271097</v>
      </c>
      <c r="K1013" s="7">
        <f>RawData!K1013</f>
        <v>3</v>
      </c>
      <c r="L1013" s="7" t="str">
        <f>IF(RawData!L1013="","No Coupon",RawData!L1013)</f>
        <v>No Coupon</v>
      </c>
      <c r="M1013" s="7" t="str">
        <f>RawData!M1013</f>
        <v>Google</v>
      </c>
      <c r="N1013" s="7">
        <f>RawData!N1013</f>
        <v>956.72</v>
      </c>
    </row>
    <row r="1014" spans="1:14" x14ac:dyDescent="0.3">
      <c r="A1014" s="7" t="str">
        <f>RawData!A1014</f>
        <v>ORD201012</v>
      </c>
      <c r="B1014" s="11">
        <f>RawData!B1014</f>
        <v>45629</v>
      </c>
      <c r="C1014" s="7" t="str">
        <f>RawData!C1014</f>
        <v>C84570</v>
      </c>
      <c r="D1014" s="7" t="str">
        <f>RawData!D1014</f>
        <v>Printer</v>
      </c>
      <c r="E1014" s="7">
        <f>RawData!E1014</f>
        <v>4</v>
      </c>
      <c r="F1014" s="7">
        <f>RawData!F1014</f>
        <v>30.05</v>
      </c>
      <c r="G1014" s="7" t="str">
        <f>RawData!G1014</f>
        <v>301 Main St</v>
      </c>
      <c r="H1014" s="7" t="str">
        <f>RawData!H1014</f>
        <v>Online</v>
      </c>
      <c r="I1014" s="7" t="str">
        <f>RawData!I1014</f>
        <v>Returned</v>
      </c>
      <c r="J1014" s="7" t="str">
        <f>RawData!J1014</f>
        <v>TRK12551882</v>
      </c>
      <c r="K1014" s="7">
        <f>RawData!K1014</f>
        <v>6</v>
      </c>
      <c r="L1014" s="7" t="str">
        <f>IF(RawData!L1014="","No Coupon",RawData!L1014)</f>
        <v>No Coupon</v>
      </c>
      <c r="M1014" s="7" t="str">
        <f>RawData!M1014</f>
        <v>Facebook</v>
      </c>
      <c r="N1014" s="7">
        <f>RawData!N1014</f>
        <v>120.2</v>
      </c>
    </row>
    <row r="1015" spans="1:14" x14ac:dyDescent="0.3">
      <c r="A1015" s="7" t="str">
        <f>RawData!A1015</f>
        <v>ORD201013</v>
      </c>
      <c r="B1015" s="11">
        <f>RawData!B1015</f>
        <v>45773</v>
      </c>
      <c r="C1015" s="7" t="str">
        <f>RawData!C1015</f>
        <v>C91123</v>
      </c>
      <c r="D1015" s="7" t="str">
        <f>RawData!D1015</f>
        <v>Laptop</v>
      </c>
      <c r="E1015" s="7">
        <f>RawData!E1015</f>
        <v>4</v>
      </c>
      <c r="F1015" s="7">
        <f>RawData!F1015</f>
        <v>300.56</v>
      </c>
      <c r="G1015" s="7" t="str">
        <f>RawData!G1015</f>
        <v>842 Main St</v>
      </c>
      <c r="H1015" s="7" t="str">
        <f>RawData!H1015</f>
        <v>Cash</v>
      </c>
      <c r="I1015" s="7" t="str">
        <f>RawData!I1015</f>
        <v>Cancelled</v>
      </c>
      <c r="J1015" s="7" t="str">
        <f>RawData!J1015</f>
        <v>TRK49568409</v>
      </c>
      <c r="K1015" s="7">
        <f>RawData!K1015</f>
        <v>9</v>
      </c>
      <c r="L1015" s="7" t="str">
        <f>IF(RawData!L1015="","No Coupon",RawData!L1015)</f>
        <v>FREESHIP</v>
      </c>
      <c r="M1015" s="7" t="str">
        <f>RawData!M1015</f>
        <v>Facebook</v>
      </c>
      <c r="N1015" s="7">
        <f>RawData!N1015</f>
        <v>1202.24</v>
      </c>
    </row>
    <row r="1016" spans="1:14" x14ac:dyDescent="0.3">
      <c r="A1016" s="7" t="str">
        <f>RawData!A1016</f>
        <v>ORD201014</v>
      </c>
      <c r="B1016" s="11">
        <f>RawData!B1016</f>
        <v>45326</v>
      </c>
      <c r="C1016" s="7" t="str">
        <f>RawData!C1016</f>
        <v>C92548</v>
      </c>
      <c r="D1016" s="7" t="str">
        <f>RawData!D1016</f>
        <v>Tablet</v>
      </c>
      <c r="E1016" s="7">
        <f>RawData!E1016</f>
        <v>5</v>
      </c>
      <c r="F1016" s="7">
        <f>RawData!F1016</f>
        <v>226.45</v>
      </c>
      <c r="G1016" s="7" t="str">
        <f>RawData!G1016</f>
        <v>160 Main St</v>
      </c>
      <c r="H1016" s="7" t="str">
        <f>RawData!H1016</f>
        <v>Debit Card</v>
      </c>
      <c r="I1016" s="7" t="str">
        <f>RawData!I1016</f>
        <v>Returned</v>
      </c>
      <c r="J1016" s="7" t="str">
        <f>RawData!J1016</f>
        <v>TRK21682892</v>
      </c>
      <c r="K1016" s="7">
        <f>RawData!K1016</f>
        <v>6</v>
      </c>
      <c r="L1016" s="7" t="str">
        <f>IF(RawData!L1016="","No Coupon",RawData!L1016)</f>
        <v>FREESHIP</v>
      </c>
      <c r="M1016" s="7" t="str">
        <f>RawData!M1016</f>
        <v>Email</v>
      </c>
      <c r="N1016" s="7">
        <f>RawData!N1016</f>
        <v>1132.25</v>
      </c>
    </row>
    <row r="1017" spans="1:14" x14ac:dyDescent="0.3">
      <c r="A1017" s="7" t="str">
        <f>RawData!A1017</f>
        <v>ORD201015</v>
      </c>
      <c r="B1017" s="11">
        <f>RawData!B1017</f>
        <v>45317</v>
      </c>
      <c r="C1017" s="7" t="str">
        <f>RawData!C1017</f>
        <v>C97454</v>
      </c>
      <c r="D1017" s="7" t="str">
        <f>RawData!D1017</f>
        <v>Printer</v>
      </c>
      <c r="E1017" s="7">
        <f>RawData!E1017</f>
        <v>2</v>
      </c>
      <c r="F1017" s="7">
        <f>RawData!F1017</f>
        <v>349.4</v>
      </c>
      <c r="G1017" s="7" t="str">
        <f>RawData!G1017</f>
        <v>892 Main St</v>
      </c>
      <c r="H1017" s="7" t="str">
        <f>RawData!H1017</f>
        <v>Online</v>
      </c>
      <c r="I1017" s="7" t="str">
        <f>RawData!I1017</f>
        <v>Shipped</v>
      </c>
      <c r="J1017" s="7" t="str">
        <f>RawData!J1017</f>
        <v>TRK73249329</v>
      </c>
      <c r="K1017" s="7">
        <f>RawData!K1017</f>
        <v>2</v>
      </c>
      <c r="L1017" s="7" t="str">
        <f>IF(RawData!L1017="","No Coupon",RawData!L1017)</f>
        <v>SAVE10</v>
      </c>
      <c r="M1017" s="7" t="str">
        <f>RawData!M1017</f>
        <v>Instagram</v>
      </c>
      <c r="N1017" s="7">
        <f>RawData!N1017</f>
        <v>698.8</v>
      </c>
    </row>
    <row r="1018" spans="1:14" x14ac:dyDescent="0.3">
      <c r="A1018" s="7" t="str">
        <f>RawData!A1018</f>
        <v>ORD201016</v>
      </c>
      <c r="B1018" s="11">
        <f>RawData!B1018</f>
        <v>45289</v>
      </c>
      <c r="C1018" s="7" t="str">
        <f>RawData!C1018</f>
        <v>C20257</v>
      </c>
      <c r="D1018" s="7" t="str">
        <f>RawData!D1018</f>
        <v>Tablet</v>
      </c>
      <c r="E1018" s="7">
        <f>RawData!E1018</f>
        <v>5</v>
      </c>
      <c r="F1018" s="7">
        <f>RawData!F1018</f>
        <v>268.77999999999997</v>
      </c>
      <c r="G1018" s="7" t="str">
        <f>RawData!G1018</f>
        <v>669 Main St</v>
      </c>
      <c r="H1018" s="7" t="str">
        <f>RawData!H1018</f>
        <v>Debit Card</v>
      </c>
      <c r="I1018" s="7" t="str">
        <f>RawData!I1018</f>
        <v>Delivered</v>
      </c>
      <c r="J1018" s="7" t="str">
        <f>RawData!J1018</f>
        <v>TRK62135578</v>
      </c>
      <c r="K1018" s="7">
        <f>RawData!K1018</f>
        <v>7</v>
      </c>
      <c r="L1018" s="7" t="str">
        <f>IF(RawData!L1018="","No Coupon",RawData!L1018)</f>
        <v>WINTER15</v>
      </c>
      <c r="M1018" s="7" t="str">
        <f>RawData!M1018</f>
        <v>Email</v>
      </c>
      <c r="N1018" s="7">
        <f>RawData!N1018</f>
        <v>1343.9</v>
      </c>
    </row>
    <row r="1019" spans="1:14" x14ac:dyDescent="0.3">
      <c r="A1019" s="7" t="str">
        <f>RawData!A1019</f>
        <v>ORD201017</v>
      </c>
      <c r="B1019" s="11">
        <f>RawData!B1019</f>
        <v>45529</v>
      </c>
      <c r="C1019" s="7" t="str">
        <f>RawData!C1019</f>
        <v>C51694</v>
      </c>
      <c r="D1019" s="7" t="str">
        <f>RawData!D1019</f>
        <v>Chair</v>
      </c>
      <c r="E1019" s="7">
        <f>RawData!E1019</f>
        <v>2</v>
      </c>
      <c r="F1019" s="7">
        <f>RawData!F1019</f>
        <v>680.85</v>
      </c>
      <c r="G1019" s="7" t="str">
        <f>RawData!G1019</f>
        <v>953 Main St</v>
      </c>
      <c r="H1019" s="7" t="str">
        <f>RawData!H1019</f>
        <v>Gift Card</v>
      </c>
      <c r="I1019" s="7" t="str">
        <f>RawData!I1019</f>
        <v>Delivered</v>
      </c>
      <c r="J1019" s="7" t="str">
        <f>RawData!J1019</f>
        <v>TRK83122112</v>
      </c>
      <c r="K1019" s="7">
        <f>RawData!K1019</f>
        <v>6</v>
      </c>
      <c r="L1019" s="7" t="str">
        <f>IF(RawData!L1019="","No Coupon",RawData!L1019)</f>
        <v>FREESHIP</v>
      </c>
      <c r="M1019" s="7" t="str">
        <f>RawData!M1019</f>
        <v>Referral</v>
      </c>
      <c r="N1019" s="7">
        <f>RawData!N1019</f>
        <v>1361.7</v>
      </c>
    </row>
    <row r="1020" spans="1:14" x14ac:dyDescent="0.3">
      <c r="A1020" s="7" t="str">
        <f>RawData!A1020</f>
        <v>ORD201018</v>
      </c>
      <c r="B1020" s="11">
        <f>RawData!B1020</f>
        <v>45115</v>
      </c>
      <c r="C1020" s="7" t="str">
        <f>RawData!C1020</f>
        <v>C77499</v>
      </c>
      <c r="D1020" s="7" t="str">
        <f>RawData!D1020</f>
        <v>Laptop</v>
      </c>
      <c r="E1020" s="7">
        <f>RawData!E1020</f>
        <v>3</v>
      </c>
      <c r="F1020" s="7">
        <f>RawData!F1020</f>
        <v>182.48</v>
      </c>
      <c r="G1020" s="7" t="str">
        <f>RawData!G1020</f>
        <v>209 Main St</v>
      </c>
      <c r="H1020" s="7" t="str">
        <f>RawData!H1020</f>
        <v>Cash</v>
      </c>
      <c r="I1020" s="7" t="str">
        <f>RawData!I1020</f>
        <v>Delivered</v>
      </c>
      <c r="J1020" s="7" t="str">
        <f>RawData!J1020</f>
        <v>TRK20703086</v>
      </c>
      <c r="K1020" s="7">
        <f>RawData!K1020</f>
        <v>3</v>
      </c>
      <c r="L1020" s="7" t="str">
        <f>IF(RawData!L1020="","No Coupon",RawData!L1020)</f>
        <v>No Coupon</v>
      </c>
      <c r="M1020" s="7" t="str">
        <f>RawData!M1020</f>
        <v>Instagram</v>
      </c>
      <c r="N1020" s="7">
        <f>RawData!N1020</f>
        <v>547.44000000000005</v>
      </c>
    </row>
    <row r="1021" spans="1:14" x14ac:dyDescent="0.3">
      <c r="A1021" s="7" t="str">
        <f>RawData!A1021</f>
        <v>ORD201019</v>
      </c>
      <c r="B1021" s="11">
        <f>RawData!B1021</f>
        <v>45388</v>
      </c>
      <c r="C1021" s="7" t="str">
        <f>RawData!C1021</f>
        <v>C28386</v>
      </c>
      <c r="D1021" s="7" t="str">
        <f>RawData!D1021</f>
        <v>Desk</v>
      </c>
      <c r="E1021" s="7">
        <f>RawData!E1021</f>
        <v>1</v>
      </c>
      <c r="F1021" s="7">
        <f>RawData!F1021</f>
        <v>277.08999999999997</v>
      </c>
      <c r="G1021" s="7" t="str">
        <f>RawData!G1021</f>
        <v>293 Main St</v>
      </c>
      <c r="H1021" s="7" t="str">
        <f>RawData!H1021</f>
        <v>Cash</v>
      </c>
      <c r="I1021" s="7" t="str">
        <f>RawData!I1021</f>
        <v>Returned</v>
      </c>
      <c r="J1021" s="7" t="str">
        <f>RawData!J1021</f>
        <v>TRK32954229</v>
      </c>
      <c r="K1021" s="7">
        <f>RawData!K1021</f>
        <v>2</v>
      </c>
      <c r="L1021" s="7" t="str">
        <f>IF(RawData!L1021="","No Coupon",RawData!L1021)</f>
        <v>SAVE10</v>
      </c>
      <c r="M1021" s="7" t="str">
        <f>RawData!M1021</f>
        <v>Referral</v>
      </c>
      <c r="N1021" s="7">
        <f>RawData!N1021</f>
        <v>277.08999999999997</v>
      </c>
    </row>
    <row r="1022" spans="1:14" x14ac:dyDescent="0.3">
      <c r="A1022" s="7" t="str">
        <f>RawData!A1022</f>
        <v>ORD201020</v>
      </c>
      <c r="B1022" s="11">
        <f>RawData!B1022</f>
        <v>45404</v>
      </c>
      <c r="C1022" s="7" t="str">
        <f>RawData!C1022</f>
        <v>C50211</v>
      </c>
      <c r="D1022" s="7" t="str">
        <f>RawData!D1022</f>
        <v>Tablet</v>
      </c>
      <c r="E1022" s="7">
        <f>RawData!E1022</f>
        <v>2</v>
      </c>
      <c r="F1022" s="7">
        <f>RawData!F1022</f>
        <v>26.5</v>
      </c>
      <c r="G1022" s="7" t="str">
        <f>RawData!G1022</f>
        <v>312 Main St</v>
      </c>
      <c r="H1022" s="7" t="str">
        <f>RawData!H1022</f>
        <v>Online</v>
      </c>
      <c r="I1022" s="7" t="str">
        <f>RawData!I1022</f>
        <v>Delivered</v>
      </c>
      <c r="J1022" s="7" t="str">
        <f>RawData!J1022</f>
        <v>TRK47787981</v>
      </c>
      <c r="K1022" s="7">
        <f>RawData!K1022</f>
        <v>3</v>
      </c>
      <c r="L1022" s="7" t="str">
        <f>IF(RawData!L1022="","No Coupon",RawData!L1022)</f>
        <v>SAVE10</v>
      </c>
      <c r="M1022" s="7" t="str">
        <f>RawData!M1022</f>
        <v>Instagram</v>
      </c>
      <c r="N1022" s="7">
        <f>RawData!N1022</f>
        <v>53</v>
      </c>
    </row>
    <row r="1023" spans="1:14" x14ac:dyDescent="0.3">
      <c r="A1023" s="7" t="str">
        <f>RawData!A1023</f>
        <v>ORD201021</v>
      </c>
      <c r="B1023" s="11">
        <f>RawData!B1023</f>
        <v>45222</v>
      </c>
      <c r="C1023" s="7" t="str">
        <f>RawData!C1023</f>
        <v>C74519</v>
      </c>
      <c r="D1023" s="7" t="str">
        <f>RawData!D1023</f>
        <v>Phone</v>
      </c>
      <c r="E1023" s="7">
        <f>RawData!E1023</f>
        <v>3</v>
      </c>
      <c r="F1023" s="7">
        <f>RawData!F1023</f>
        <v>315.27</v>
      </c>
      <c r="G1023" s="7" t="str">
        <f>RawData!G1023</f>
        <v>309 Main St</v>
      </c>
      <c r="H1023" s="7" t="str">
        <f>RawData!H1023</f>
        <v>Credit Card</v>
      </c>
      <c r="I1023" s="7" t="str">
        <f>RawData!I1023</f>
        <v>Cancelled</v>
      </c>
      <c r="J1023" s="7" t="str">
        <f>RawData!J1023</f>
        <v>TRK97351945</v>
      </c>
      <c r="K1023" s="7">
        <f>RawData!K1023</f>
        <v>4</v>
      </c>
      <c r="L1023" s="7" t="str">
        <f>IF(RawData!L1023="","No Coupon",RawData!L1023)</f>
        <v>SAVE10</v>
      </c>
      <c r="M1023" s="7" t="str">
        <f>RawData!M1023</f>
        <v>Email</v>
      </c>
      <c r="N1023" s="7">
        <f>RawData!N1023</f>
        <v>945.81</v>
      </c>
    </row>
    <row r="1024" spans="1:14" x14ac:dyDescent="0.3">
      <c r="A1024" s="7" t="str">
        <f>RawData!A1024</f>
        <v>ORD201022</v>
      </c>
      <c r="B1024" s="11">
        <f>RawData!B1024</f>
        <v>45712</v>
      </c>
      <c r="C1024" s="7" t="str">
        <f>RawData!C1024</f>
        <v>C19071</v>
      </c>
      <c r="D1024" s="7" t="str">
        <f>RawData!D1024</f>
        <v>Tablet</v>
      </c>
      <c r="E1024" s="7">
        <f>RawData!E1024</f>
        <v>3</v>
      </c>
      <c r="F1024" s="7">
        <f>RawData!F1024</f>
        <v>450.98</v>
      </c>
      <c r="G1024" s="7" t="str">
        <f>RawData!G1024</f>
        <v>396 Main St</v>
      </c>
      <c r="H1024" s="7" t="str">
        <f>RawData!H1024</f>
        <v>Credit Card</v>
      </c>
      <c r="I1024" s="7" t="str">
        <f>RawData!I1024</f>
        <v>Shipped</v>
      </c>
      <c r="J1024" s="7" t="str">
        <f>RawData!J1024</f>
        <v>TRK66537096</v>
      </c>
      <c r="K1024" s="7">
        <f>RawData!K1024</f>
        <v>8</v>
      </c>
      <c r="L1024" s="7" t="str">
        <f>IF(RawData!L1024="","No Coupon",RawData!L1024)</f>
        <v>SAVE10</v>
      </c>
      <c r="M1024" s="7" t="str">
        <f>RawData!M1024</f>
        <v>Referral</v>
      </c>
      <c r="N1024" s="7">
        <f>RawData!N1024</f>
        <v>1352.94</v>
      </c>
    </row>
    <row r="1025" spans="1:14" x14ac:dyDescent="0.3">
      <c r="A1025" s="7" t="str">
        <f>RawData!A1025</f>
        <v>ORD201023</v>
      </c>
      <c r="B1025" s="11">
        <f>RawData!B1025</f>
        <v>45558</v>
      </c>
      <c r="C1025" s="7" t="str">
        <f>RawData!C1025</f>
        <v>C65251</v>
      </c>
      <c r="D1025" s="7" t="str">
        <f>RawData!D1025</f>
        <v>Laptop</v>
      </c>
      <c r="E1025" s="7">
        <f>RawData!E1025</f>
        <v>5</v>
      </c>
      <c r="F1025" s="7">
        <f>RawData!F1025</f>
        <v>233.67</v>
      </c>
      <c r="G1025" s="7" t="str">
        <f>RawData!G1025</f>
        <v>291 Main St</v>
      </c>
      <c r="H1025" s="7" t="str">
        <f>RawData!H1025</f>
        <v>Cash</v>
      </c>
      <c r="I1025" s="7" t="str">
        <f>RawData!I1025</f>
        <v>Shipped</v>
      </c>
      <c r="J1025" s="7" t="str">
        <f>RawData!J1025</f>
        <v>TRK32059025</v>
      </c>
      <c r="K1025" s="7">
        <f>RawData!K1025</f>
        <v>10</v>
      </c>
      <c r="L1025" s="7" t="str">
        <f>IF(RawData!L1025="","No Coupon",RawData!L1025)</f>
        <v>No Coupon</v>
      </c>
      <c r="M1025" s="7" t="str">
        <f>RawData!M1025</f>
        <v>Referral</v>
      </c>
      <c r="N1025" s="7">
        <f>RawData!N1025</f>
        <v>1168.3499999999999</v>
      </c>
    </row>
    <row r="1026" spans="1:14" x14ac:dyDescent="0.3">
      <c r="A1026" s="7" t="str">
        <f>RawData!A1026</f>
        <v>ORD201024</v>
      </c>
      <c r="B1026" s="11">
        <f>RawData!B1026</f>
        <v>45320</v>
      </c>
      <c r="C1026" s="7" t="str">
        <f>RawData!C1026</f>
        <v>C90612</v>
      </c>
      <c r="D1026" s="7" t="str">
        <f>RawData!D1026</f>
        <v>Chair</v>
      </c>
      <c r="E1026" s="7">
        <f>RawData!E1026</f>
        <v>3</v>
      </c>
      <c r="F1026" s="7">
        <f>RawData!F1026</f>
        <v>367.75</v>
      </c>
      <c r="G1026" s="7" t="str">
        <f>RawData!G1026</f>
        <v>731 Main St</v>
      </c>
      <c r="H1026" s="7" t="str">
        <f>RawData!H1026</f>
        <v>Cash</v>
      </c>
      <c r="I1026" s="7" t="str">
        <f>RawData!I1026</f>
        <v>Pending</v>
      </c>
      <c r="J1026" s="7" t="str">
        <f>RawData!J1026</f>
        <v>TRK93022878</v>
      </c>
      <c r="K1026" s="7">
        <f>RawData!K1026</f>
        <v>7</v>
      </c>
      <c r="L1026" s="7" t="str">
        <f>IF(RawData!L1026="","No Coupon",RawData!L1026)</f>
        <v>FREESHIP</v>
      </c>
      <c r="M1026" s="7" t="str">
        <f>RawData!M1026</f>
        <v>Facebook</v>
      </c>
      <c r="N1026" s="7">
        <f>RawData!N1026</f>
        <v>1103.25</v>
      </c>
    </row>
    <row r="1027" spans="1:14" x14ac:dyDescent="0.3">
      <c r="A1027" s="7" t="str">
        <f>RawData!A1027</f>
        <v>ORD201025</v>
      </c>
      <c r="B1027" s="11">
        <f>RawData!B1027</f>
        <v>45794</v>
      </c>
      <c r="C1027" s="7" t="str">
        <f>RawData!C1027</f>
        <v>C28406</v>
      </c>
      <c r="D1027" s="7" t="str">
        <f>RawData!D1027</f>
        <v>Chair</v>
      </c>
      <c r="E1027" s="7">
        <f>RawData!E1027</f>
        <v>1</v>
      </c>
      <c r="F1027" s="7">
        <f>RawData!F1027</f>
        <v>23.53</v>
      </c>
      <c r="G1027" s="7" t="str">
        <f>RawData!G1027</f>
        <v>174 Main St</v>
      </c>
      <c r="H1027" s="7" t="str">
        <f>RawData!H1027</f>
        <v>Gift Card</v>
      </c>
      <c r="I1027" s="7" t="str">
        <f>RawData!I1027</f>
        <v>Delivered</v>
      </c>
      <c r="J1027" s="7" t="str">
        <f>RawData!J1027</f>
        <v>TRK98841457</v>
      </c>
      <c r="K1027" s="7">
        <f>RawData!K1027</f>
        <v>2</v>
      </c>
      <c r="L1027" s="7" t="str">
        <f>IF(RawData!L1027="","No Coupon",RawData!L1027)</f>
        <v>FREESHIP</v>
      </c>
      <c r="M1027" s="7" t="str">
        <f>RawData!M1027</f>
        <v>Instagram</v>
      </c>
      <c r="N1027" s="7">
        <f>RawData!N1027</f>
        <v>23.53</v>
      </c>
    </row>
    <row r="1028" spans="1:14" x14ac:dyDescent="0.3">
      <c r="A1028" s="7" t="str">
        <f>RawData!A1028</f>
        <v>ORD201026</v>
      </c>
      <c r="B1028" s="11">
        <f>RawData!B1028</f>
        <v>45047</v>
      </c>
      <c r="C1028" s="7" t="str">
        <f>RawData!C1028</f>
        <v>C55454</v>
      </c>
      <c r="D1028" s="7" t="str">
        <f>RawData!D1028</f>
        <v>Monitor</v>
      </c>
      <c r="E1028" s="7">
        <f>RawData!E1028</f>
        <v>1</v>
      </c>
      <c r="F1028" s="7">
        <f>RawData!F1028</f>
        <v>677.48</v>
      </c>
      <c r="G1028" s="7" t="str">
        <f>RawData!G1028</f>
        <v>807 Main St</v>
      </c>
      <c r="H1028" s="7" t="str">
        <f>RawData!H1028</f>
        <v>Online</v>
      </c>
      <c r="I1028" s="7" t="str">
        <f>RawData!I1028</f>
        <v>Delivered</v>
      </c>
      <c r="J1028" s="7" t="str">
        <f>RawData!J1028</f>
        <v>TRK13281370</v>
      </c>
      <c r="K1028" s="7">
        <f>RawData!K1028</f>
        <v>1</v>
      </c>
      <c r="L1028" s="7" t="str">
        <f>IF(RawData!L1028="","No Coupon",RawData!L1028)</f>
        <v>WINTER15</v>
      </c>
      <c r="M1028" s="7" t="str">
        <f>RawData!M1028</f>
        <v>Facebook</v>
      </c>
      <c r="N1028" s="7">
        <f>RawData!N1028</f>
        <v>677.48</v>
      </c>
    </row>
    <row r="1029" spans="1:14" x14ac:dyDescent="0.3">
      <c r="A1029" s="7" t="str">
        <f>RawData!A1029</f>
        <v>ORD201027</v>
      </c>
      <c r="B1029" s="11">
        <f>RawData!B1029</f>
        <v>45433</v>
      </c>
      <c r="C1029" s="7" t="str">
        <f>RawData!C1029</f>
        <v>C93467</v>
      </c>
      <c r="D1029" s="7" t="str">
        <f>RawData!D1029</f>
        <v>Laptop</v>
      </c>
      <c r="E1029" s="7">
        <f>RawData!E1029</f>
        <v>4</v>
      </c>
      <c r="F1029" s="7">
        <f>RawData!F1029</f>
        <v>554.83000000000004</v>
      </c>
      <c r="G1029" s="7" t="str">
        <f>RawData!G1029</f>
        <v>983 Main St</v>
      </c>
      <c r="H1029" s="7" t="str">
        <f>RawData!H1029</f>
        <v>Cash</v>
      </c>
      <c r="I1029" s="7" t="str">
        <f>RawData!I1029</f>
        <v>Returned</v>
      </c>
      <c r="J1029" s="7" t="str">
        <f>RawData!J1029</f>
        <v>TRK77377373</v>
      </c>
      <c r="K1029" s="7">
        <f>RawData!K1029</f>
        <v>6</v>
      </c>
      <c r="L1029" s="7" t="str">
        <f>IF(RawData!L1029="","No Coupon",RawData!L1029)</f>
        <v>No Coupon</v>
      </c>
      <c r="M1029" s="7" t="str">
        <f>RawData!M1029</f>
        <v>Google</v>
      </c>
      <c r="N1029" s="7">
        <f>RawData!N1029</f>
        <v>2219.3200000000002</v>
      </c>
    </row>
    <row r="1030" spans="1:14" x14ac:dyDescent="0.3">
      <c r="A1030" s="7" t="str">
        <f>RawData!A1030</f>
        <v>ORD201028</v>
      </c>
      <c r="B1030" s="11">
        <f>RawData!B1030</f>
        <v>44974</v>
      </c>
      <c r="C1030" s="7" t="str">
        <f>RawData!C1030</f>
        <v>C60042</v>
      </c>
      <c r="D1030" s="7" t="str">
        <f>RawData!D1030</f>
        <v>Desk</v>
      </c>
      <c r="E1030" s="7">
        <f>RawData!E1030</f>
        <v>4</v>
      </c>
      <c r="F1030" s="7">
        <f>RawData!F1030</f>
        <v>440.31</v>
      </c>
      <c r="G1030" s="7" t="str">
        <f>RawData!G1030</f>
        <v>610 Main St</v>
      </c>
      <c r="H1030" s="7" t="str">
        <f>RawData!H1030</f>
        <v>Cash</v>
      </c>
      <c r="I1030" s="7" t="str">
        <f>RawData!I1030</f>
        <v>Cancelled</v>
      </c>
      <c r="J1030" s="7" t="str">
        <f>RawData!J1030</f>
        <v>TRK84651559</v>
      </c>
      <c r="K1030" s="7">
        <f>RawData!K1030</f>
        <v>6</v>
      </c>
      <c r="L1030" s="7" t="str">
        <f>IF(RawData!L1030="","No Coupon",RawData!L1030)</f>
        <v>No Coupon</v>
      </c>
      <c r="M1030" s="7" t="str">
        <f>RawData!M1030</f>
        <v>Instagram</v>
      </c>
      <c r="N1030" s="7">
        <f>RawData!N1030</f>
        <v>1761.24</v>
      </c>
    </row>
    <row r="1031" spans="1:14" x14ac:dyDescent="0.3">
      <c r="A1031" s="7" t="str">
        <f>RawData!A1031</f>
        <v>ORD201029</v>
      </c>
      <c r="B1031" s="11">
        <f>RawData!B1031</f>
        <v>45717</v>
      </c>
      <c r="C1031" s="7" t="str">
        <f>RawData!C1031</f>
        <v>C44733</v>
      </c>
      <c r="D1031" s="7" t="str">
        <f>RawData!D1031</f>
        <v>Desk</v>
      </c>
      <c r="E1031" s="7">
        <f>RawData!E1031</f>
        <v>1</v>
      </c>
      <c r="F1031" s="7">
        <f>RawData!F1031</f>
        <v>87.06</v>
      </c>
      <c r="G1031" s="7" t="str">
        <f>RawData!G1031</f>
        <v>851 Main St</v>
      </c>
      <c r="H1031" s="7" t="str">
        <f>RawData!H1031</f>
        <v>Credit Card</v>
      </c>
      <c r="I1031" s="7" t="str">
        <f>RawData!I1031</f>
        <v>Shipped</v>
      </c>
      <c r="J1031" s="7" t="str">
        <f>RawData!J1031</f>
        <v>TRK41500198</v>
      </c>
      <c r="K1031" s="7">
        <f>RawData!K1031</f>
        <v>4</v>
      </c>
      <c r="L1031" s="7" t="str">
        <f>IF(RawData!L1031="","No Coupon",RawData!L1031)</f>
        <v>FREESHIP</v>
      </c>
      <c r="M1031" s="7" t="str">
        <f>RawData!M1031</f>
        <v>Email</v>
      </c>
      <c r="N1031" s="7">
        <f>RawData!N1031</f>
        <v>87.06</v>
      </c>
    </row>
    <row r="1032" spans="1:14" x14ac:dyDescent="0.3">
      <c r="A1032" s="7" t="str">
        <f>RawData!A1032</f>
        <v>ORD201030</v>
      </c>
      <c r="B1032" s="11">
        <f>RawData!B1032</f>
        <v>45201</v>
      </c>
      <c r="C1032" s="7" t="str">
        <f>RawData!C1032</f>
        <v>C61773</v>
      </c>
      <c r="D1032" s="7" t="str">
        <f>RawData!D1032</f>
        <v>Phone</v>
      </c>
      <c r="E1032" s="7">
        <f>RawData!E1032</f>
        <v>4</v>
      </c>
      <c r="F1032" s="7">
        <f>RawData!F1032</f>
        <v>245.28</v>
      </c>
      <c r="G1032" s="7" t="str">
        <f>RawData!G1032</f>
        <v>176 Main St</v>
      </c>
      <c r="H1032" s="7" t="str">
        <f>RawData!H1032</f>
        <v>Credit Card</v>
      </c>
      <c r="I1032" s="7" t="str">
        <f>RawData!I1032</f>
        <v>Delivered</v>
      </c>
      <c r="J1032" s="7" t="str">
        <f>RawData!J1032</f>
        <v>TRK12936357</v>
      </c>
      <c r="K1032" s="7">
        <f>RawData!K1032</f>
        <v>6</v>
      </c>
      <c r="L1032" s="7" t="str">
        <f>IF(RawData!L1032="","No Coupon",RawData!L1032)</f>
        <v>WINTER15</v>
      </c>
      <c r="M1032" s="7" t="str">
        <f>RawData!M1032</f>
        <v>Email</v>
      </c>
      <c r="N1032" s="7">
        <f>RawData!N1032</f>
        <v>981.12</v>
      </c>
    </row>
    <row r="1033" spans="1:14" x14ac:dyDescent="0.3">
      <c r="A1033" s="7" t="str">
        <f>RawData!A1033</f>
        <v>ORD201031</v>
      </c>
      <c r="B1033" s="11">
        <f>RawData!B1033</f>
        <v>44985</v>
      </c>
      <c r="C1033" s="7" t="str">
        <f>RawData!C1033</f>
        <v>C59183</v>
      </c>
      <c r="D1033" s="7" t="str">
        <f>RawData!D1033</f>
        <v>Phone</v>
      </c>
      <c r="E1033" s="7">
        <f>RawData!E1033</f>
        <v>5</v>
      </c>
      <c r="F1033" s="7">
        <f>RawData!F1033</f>
        <v>664.51</v>
      </c>
      <c r="G1033" s="7" t="str">
        <f>RawData!G1033</f>
        <v>136 Main St</v>
      </c>
      <c r="H1033" s="7" t="str">
        <f>RawData!H1033</f>
        <v>Debit Card</v>
      </c>
      <c r="I1033" s="7" t="str">
        <f>RawData!I1033</f>
        <v>Pending</v>
      </c>
      <c r="J1033" s="7" t="str">
        <f>RawData!J1033</f>
        <v>TRK18129706</v>
      </c>
      <c r="K1033" s="7">
        <f>RawData!K1033</f>
        <v>8</v>
      </c>
      <c r="L1033" s="7" t="str">
        <f>IF(RawData!L1033="","No Coupon",RawData!L1033)</f>
        <v>SAVE10</v>
      </c>
      <c r="M1033" s="7" t="str">
        <f>RawData!M1033</f>
        <v>Email</v>
      </c>
      <c r="N1033" s="7">
        <f>RawData!N1033</f>
        <v>3322.55</v>
      </c>
    </row>
    <row r="1034" spans="1:14" x14ac:dyDescent="0.3">
      <c r="A1034" s="7" t="str">
        <f>RawData!A1034</f>
        <v>ORD201032</v>
      </c>
      <c r="B1034" s="11">
        <f>RawData!B1034</f>
        <v>45036</v>
      </c>
      <c r="C1034" s="7" t="str">
        <f>RawData!C1034</f>
        <v>C26188</v>
      </c>
      <c r="D1034" s="7" t="str">
        <f>RawData!D1034</f>
        <v>Chair</v>
      </c>
      <c r="E1034" s="7">
        <f>RawData!E1034</f>
        <v>1</v>
      </c>
      <c r="F1034" s="7">
        <f>RawData!F1034</f>
        <v>618.67999999999995</v>
      </c>
      <c r="G1034" s="7" t="str">
        <f>RawData!G1034</f>
        <v>990 Main St</v>
      </c>
      <c r="H1034" s="7" t="str">
        <f>RawData!H1034</f>
        <v>Online</v>
      </c>
      <c r="I1034" s="7" t="str">
        <f>RawData!I1034</f>
        <v>Delivered</v>
      </c>
      <c r="J1034" s="7" t="str">
        <f>RawData!J1034</f>
        <v>TRK61634201</v>
      </c>
      <c r="K1034" s="7">
        <f>RawData!K1034</f>
        <v>6</v>
      </c>
      <c r="L1034" s="7" t="str">
        <f>IF(RawData!L1034="","No Coupon",RawData!L1034)</f>
        <v>WINTER15</v>
      </c>
      <c r="M1034" s="7" t="str">
        <f>RawData!M1034</f>
        <v>Referral</v>
      </c>
      <c r="N1034" s="7">
        <f>RawData!N1034</f>
        <v>618.67999999999995</v>
      </c>
    </row>
    <row r="1035" spans="1:14" x14ac:dyDescent="0.3">
      <c r="A1035" s="7" t="str">
        <f>RawData!A1035</f>
        <v>ORD201033</v>
      </c>
      <c r="B1035" s="11">
        <f>RawData!B1035</f>
        <v>45650</v>
      </c>
      <c r="C1035" s="7" t="str">
        <f>RawData!C1035</f>
        <v>C20338</v>
      </c>
      <c r="D1035" s="7" t="str">
        <f>RawData!D1035</f>
        <v>Monitor</v>
      </c>
      <c r="E1035" s="7">
        <f>RawData!E1035</f>
        <v>1</v>
      </c>
      <c r="F1035" s="7">
        <f>RawData!F1035</f>
        <v>370.85</v>
      </c>
      <c r="G1035" s="7" t="str">
        <f>RawData!G1035</f>
        <v>331 Main St</v>
      </c>
      <c r="H1035" s="7" t="str">
        <f>RawData!H1035</f>
        <v>Gift Card</v>
      </c>
      <c r="I1035" s="7" t="str">
        <f>RawData!I1035</f>
        <v>Delivered</v>
      </c>
      <c r="J1035" s="7" t="str">
        <f>RawData!J1035</f>
        <v>TRK30654048</v>
      </c>
      <c r="K1035" s="7">
        <f>RawData!K1035</f>
        <v>2</v>
      </c>
      <c r="L1035" s="7" t="str">
        <f>IF(RawData!L1035="","No Coupon",RawData!L1035)</f>
        <v>FREESHIP</v>
      </c>
      <c r="M1035" s="7" t="str">
        <f>RawData!M1035</f>
        <v>Referral</v>
      </c>
      <c r="N1035" s="7">
        <f>RawData!N1035</f>
        <v>370.85</v>
      </c>
    </row>
    <row r="1036" spans="1:14" x14ac:dyDescent="0.3">
      <c r="A1036" s="7" t="str">
        <f>RawData!A1036</f>
        <v>ORD201034</v>
      </c>
      <c r="B1036" s="11">
        <f>RawData!B1036</f>
        <v>45459</v>
      </c>
      <c r="C1036" s="7" t="str">
        <f>RawData!C1036</f>
        <v>C84524</v>
      </c>
      <c r="D1036" s="7" t="str">
        <f>RawData!D1036</f>
        <v>Printer</v>
      </c>
      <c r="E1036" s="7">
        <f>RawData!E1036</f>
        <v>4</v>
      </c>
      <c r="F1036" s="7">
        <f>RawData!F1036</f>
        <v>517.98</v>
      </c>
      <c r="G1036" s="7" t="str">
        <f>RawData!G1036</f>
        <v>766 Main St</v>
      </c>
      <c r="H1036" s="7" t="str">
        <f>RawData!H1036</f>
        <v>Cash</v>
      </c>
      <c r="I1036" s="7" t="str">
        <f>RawData!I1036</f>
        <v>Cancelled</v>
      </c>
      <c r="J1036" s="7" t="str">
        <f>RawData!J1036</f>
        <v>TRK76751888</v>
      </c>
      <c r="K1036" s="7">
        <f>RawData!K1036</f>
        <v>8</v>
      </c>
      <c r="L1036" s="7" t="str">
        <f>IF(RawData!L1036="","No Coupon",RawData!L1036)</f>
        <v>FREESHIP</v>
      </c>
      <c r="M1036" s="7" t="str">
        <f>RawData!M1036</f>
        <v>Facebook</v>
      </c>
      <c r="N1036" s="7">
        <f>RawData!N1036</f>
        <v>2071.92</v>
      </c>
    </row>
    <row r="1037" spans="1:14" x14ac:dyDescent="0.3">
      <c r="A1037" s="7" t="str">
        <f>RawData!A1037</f>
        <v>ORD201035</v>
      </c>
      <c r="B1037" s="11">
        <f>RawData!B1037</f>
        <v>45242</v>
      </c>
      <c r="C1037" s="7" t="str">
        <f>RawData!C1037</f>
        <v>C70315</v>
      </c>
      <c r="D1037" s="7" t="str">
        <f>RawData!D1037</f>
        <v>Laptop</v>
      </c>
      <c r="E1037" s="7">
        <f>RawData!E1037</f>
        <v>4</v>
      </c>
      <c r="F1037" s="7">
        <f>RawData!F1037</f>
        <v>506.11</v>
      </c>
      <c r="G1037" s="7" t="str">
        <f>RawData!G1037</f>
        <v>911 Main St</v>
      </c>
      <c r="H1037" s="7" t="str">
        <f>RawData!H1037</f>
        <v>Cash</v>
      </c>
      <c r="I1037" s="7" t="str">
        <f>RawData!I1037</f>
        <v>Cancelled</v>
      </c>
      <c r="J1037" s="7" t="str">
        <f>RawData!J1037</f>
        <v>TRK97732085</v>
      </c>
      <c r="K1037" s="7">
        <f>RawData!K1037</f>
        <v>5</v>
      </c>
      <c r="L1037" s="7" t="str">
        <f>IF(RawData!L1037="","No Coupon",RawData!L1037)</f>
        <v>No Coupon</v>
      </c>
      <c r="M1037" s="7" t="str">
        <f>RawData!M1037</f>
        <v>Referral</v>
      </c>
      <c r="N1037" s="7">
        <f>RawData!N1037</f>
        <v>2024.44</v>
      </c>
    </row>
    <row r="1038" spans="1:14" x14ac:dyDescent="0.3">
      <c r="A1038" s="7" t="str">
        <f>RawData!A1038</f>
        <v>ORD201036</v>
      </c>
      <c r="B1038" s="11">
        <f>RawData!B1038</f>
        <v>45443</v>
      </c>
      <c r="C1038" s="7" t="str">
        <f>RawData!C1038</f>
        <v>C98278</v>
      </c>
      <c r="D1038" s="7" t="str">
        <f>RawData!D1038</f>
        <v>Phone</v>
      </c>
      <c r="E1038" s="7">
        <f>RawData!E1038</f>
        <v>3</v>
      </c>
      <c r="F1038" s="7">
        <f>RawData!F1038</f>
        <v>413.83</v>
      </c>
      <c r="G1038" s="7" t="str">
        <f>RawData!G1038</f>
        <v>552 Main St</v>
      </c>
      <c r="H1038" s="7" t="str">
        <f>RawData!H1038</f>
        <v>Gift Card</v>
      </c>
      <c r="I1038" s="7" t="str">
        <f>RawData!I1038</f>
        <v>Shipped</v>
      </c>
      <c r="J1038" s="7" t="str">
        <f>RawData!J1038</f>
        <v>TRK49684737</v>
      </c>
      <c r="K1038" s="7">
        <f>RawData!K1038</f>
        <v>8</v>
      </c>
      <c r="L1038" s="7" t="str">
        <f>IF(RawData!L1038="","No Coupon",RawData!L1038)</f>
        <v>SAVE10</v>
      </c>
      <c r="M1038" s="7" t="str">
        <f>RawData!M1038</f>
        <v>Facebook</v>
      </c>
      <c r="N1038" s="7">
        <f>RawData!N1038</f>
        <v>1241.49</v>
      </c>
    </row>
    <row r="1039" spans="1:14" x14ac:dyDescent="0.3">
      <c r="A1039" s="7" t="str">
        <f>RawData!A1039</f>
        <v>ORD201037</v>
      </c>
      <c r="B1039" s="11">
        <f>RawData!B1039</f>
        <v>45273</v>
      </c>
      <c r="C1039" s="7" t="str">
        <f>RawData!C1039</f>
        <v>C32347</v>
      </c>
      <c r="D1039" s="7" t="str">
        <f>RawData!D1039</f>
        <v>Printer</v>
      </c>
      <c r="E1039" s="7">
        <f>RawData!E1039</f>
        <v>1</v>
      </c>
      <c r="F1039" s="7">
        <f>RawData!F1039</f>
        <v>249.81</v>
      </c>
      <c r="G1039" s="7" t="str">
        <f>RawData!G1039</f>
        <v>408 Main St</v>
      </c>
      <c r="H1039" s="7" t="str">
        <f>RawData!H1039</f>
        <v>Cash</v>
      </c>
      <c r="I1039" s="7" t="str">
        <f>RawData!I1039</f>
        <v>Pending</v>
      </c>
      <c r="J1039" s="7" t="str">
        <f>RawData!J1039</f>
        <v>TRK54073964</v>
      </c>
      <c r="K1039" s="7">
        <f>RawData!K1039</f>
        <v>1</v>
      </c>
      <c r="L1039" s="7" t="str">
        <f>IF(RawData!L1039="","No Coupon",RawData!L1039)</f>
        <v>SAVE10</v>
      </c>
      <c r="M1039" s="7" t="str">
        <f>RawData!M1039</f>
        <v>Google</v>
      </c>
      <c r="N1039" s="7">
        <f>RawData!N1039</f>
        <v>249.81</v>
      </c>
    </row>
    <row r="1040" spans="1:14" x14ac:dyDescent="0.3">
      <c r="A1040" s="7" t="str">
        <f>RawData!A1040</f>
        <v>ORD201038</v>
      </c>
      <c r="B1040" s="11">
        <f>RawData!B1040</f>
        <v>45731</v>
      </c>
      <c r="C1040" s="7" t="str">
        <f>RawData!C1040</f>
        <v>C77961</v>
      </c>
      <c r="D1040" s="7" t="str">
        <f>RawData!D1040</f>
        <v>Tablet</v>
      </c>
      <c r="E1040" s="7">
        <f>RawData!E1040</f>
        <v>3</v>
      </c>
      <c r="F1040" s="7">
        <f>RawData!F1040</f>
        <v>362.53</v>
      </c>
      <c r="G1040" s="7" t="str">
        <f>RawData!G1040</f>
        <v>422 Main St</v>
      </c>
      <c r="H1040" s="7" t="str">
        <f>RawData!H1040</f>
        <v>Debit Card</v>
      </c>
      <c r="I1040" s="7" t="str">
        <f>RawData!I1040</f>
        <v>Returned</v>
      </c>
      <c r="J1040" s="7" t="str">
        <f>RawData!J1040</f>
        <v>TRK28969024</v>
      </c>
      <c r="K1040" s="7">
        <f>RawData!K1040</f>
        <v>5</v>
      </c>
      <c r="L1040" s="7" t="str">
        <f>IF(RawData!L1040="","No Coupon",RawData!L1040)</f>
        <v>No Coupon</v>
      </c>
      <c r="M1040" s="7" t="str">
        <f>RawData!M1040</f>
        <v>Facebook</v>
      </c>
      <c r="N1040" s="7">
        <f>RawData!N1040</f>
        <v>1087.5899999999999</v>
      </c>
    </row>
    <row r="1041" spans="1:14" x14ac:dyDescent="0.3">
      <c r="A1041" s="7" t="str">
        <f>RawData!A1041</f>
        <v>ORD201039</v>
      </c>
      <c r="B1041" s="11">
        <f>RawData!B1041</f>
        <v>45836</v>
      </c>
      <c r="C1041" s="7" t="str">
        <f>RawData!C1041</f>
        <v>C49137</v>
      </c>
      <c r="D1041" s="7" t="str">
        <f>RawData!D1041</f>
        <v>Desk</v>
      </c>
      <c r="E1041" s="7">
        <f>RawData!E1041</f>
        <v>2</v>
      </c>
      <c r="F1041" s="7">
        <f>RawData!F1041</f>
        <v>299.23</v>
      </c>
      <c r="G1041" s="7" t="str">
        <f>RawData!G1041</f>
        <v>177 Main St</v>
      </c>
      <c r="H1041" s="7" t="str">
        <f>RawData!H1041</f>
        <v>Credit Card</v>
      </c>
      <c r="I1041" s="7" t="str">
        <f>RawData!I1041</f>
        <v>Cancelled</v>
      </c>
      <c r="J1041" s="7" t="str">
        <f>RawData!J1041</f>
        <v>TRK79362428</v>
      </c>
      <c r="K1041" s="7">
        <f>RawData!K1041</f>
        <v>2</v>
      </c>
      <c r="L1041" s="7" t="str">
        <f>IF(RawData!L1041="","No Coupon",RawData!L1041)</f>
        <v>WINTER15</v>
      </c>
      <c r="M1041" s="7" t="str">
        <f>RawData!M1041</f>
        <v>Instagram</v>
      </c>
      <c r="N1041" s="7">
        <f>RawData!N1041</f>
        <v>598.46</v>
      </c>
    </row>
    <row r="1042" spans="1:14" x14ac:dyDescent="0.3">
      <c r="A1042" s="7" t="str">
        <f>RawData!A1042</f>
        <v>ORD201040</v>
      </c>
      <c r="B1042" s="11">
        <f>RawData!B1042</f>
        <v>45245</v>
      </c>
      <c r="C1042" s="7" t="str">
        <f>RawData!C1042</f>
        <v>C13169</v>
      </c>
      <c r="D1042" s="7" t="str">
        <f>RawData!D1042</f>
        <v>Tablet</v>
      </c>
      <c r="E1042" s="7">
        <f>RawData!E1042</f>
        <v>1</v>
      </c>
      <c r="F1042" s="7">
        <f>RawData!F1042</f>
        <v>536.07000000000005</v>
      </c>
      <c r="G1042" s="7" t="str">
        <f>RawData!G1042</f>
        <v>932 Main St</v>
      </c>
      <c r="H1042" s="7" t="str">
        <f>RawData!H1042</f>
        <v>Debit Card</v>
      </c>
      <c r="I1042" s="7" t="str">
        <f>RawData!I1042</f>
        <v>Delivered</v>
      </c>
      <c r="J1042" s="7" t="str">
        <f>RawData!J1042</f>
        <v>TRK66288666</v>
      </c>
      <c r="K1042" s="7">
        <f>RawData!K1042</f>
        <v>5</v>
      </c>
      <c r="L1042" s="7" t="str">
        <f>IF(RawData!L1042="","No Coupon",RawData!L1042)</f>
        <v>FREESHIP</v>
      </c>
      <c r="M1042" s="7" t="str">
        <f>RawData!M1042</f>
        <v>Google</v>
      </c>
      <c r="N1042" s="7">
        <f>RawData!N1042</f>
        <v>536.07000000000005</v>
      </c>
    </row>
    <row r="1043" spans="1:14" x14ac:dyDescent="0.3">
      <c r="A1043" s="7" t="str">
        <f>RawData!A1043</f>
        <v>ORD201041</v>
      </c>
      <c r="B1043" s="11">
        <f>RawData!B1043</f>
        <v>44968</v>
      </c>
      <c r="C1043" s="7" t="str">
        <f>RawData!C1043</f>
        <v>C21167</v>
      </c>
      <c r="D1043" s="7" t="str">
        <f>RawData!D1043</f>
        <v>Monitor</v>
      </c>
      <c r="E1043" s="7">
        <f>RawData!E1043</f>
        <v>4</v>
      </c>
      <c r="F1043" s="7">
        <f>RawData!F1043</f>
        <v>558.9</v>
      </c>
      <c r="G1043" s="7" t="str">
        <f>RawData!G1043</f>
        <v>948 Main St</v>
      </c>
      <c r="H1043" s="7" t="str">
        <f>RawData!H1043</f>
        <v>Gift Card</v>
      </c>
      <c r="I1043" s="7" t="str">
        <f>RawData!I1043</f>
        <v>Shipped</v>
      </c>
      <c r="J1043" s="7" t="str">
        <f>RawData!J1043</f>
        <v>TRK97737564</v>
      </c>
      <c r="K1043" s="7">
        <f>RawData!K1043</f>
        <v>9</v>
      </c>
      <c r="L1043" s="7" t="str">
        <f>IF(RawData!L1043="","No Coupon",RawData!L1043)</f>
        <v>WINTER15</v>
      </c>
      <c r="M1043" s="7" t="str">
        <f>RawData!M1043</f>
        <v>Google</v>
      </c>
      <c r="N1043" s="7">
        <f>RawData!N1043</f>
        <v>2235.6</v>
      </c>
    </row>
    <row r="1044" spans="1:14" x14ac:dyDescent="0.3">
      <c r="A1044" s="7" t="str">
        <f>RawData!A1044</f>
        <v>ORD201042</v>
      </c>
      <c r="B1044" s="11">
        <f>RawData!B1044</f>
        <v>45635</v>
      </c>
      <c r="C1044" s="7" t="str">
        <f>RawData!C1044</f>
        <v>C59724</v>
      </c>
      <c r="D1044" s="7" t="str">
        <f>RawData!D1044</f>
        <v>Tablet</v>
      </c>
      <c r="E1044" s="7">
        <f>RawData!E1044</f>
        <v>2</v>
      </c>
      <c r="F1044" s="7">
        <f>RawData!F1044</f>
        <v>409.75</v>
      </c>
      <c r="G1044" s="7" t="str">
        <f>RawData!G1044</f>
        <v>414 Main St</v>
      </c>
      <c r="H1044" s="7" t="str">
        <f>RawData!H1044</f>
        <v>Debit Card</v>
      </c>
      <c r="I1044" s="7" t="str">
        <f>RawData!I1044</f>
        <v>Shipped</v>
      </c>
      <c r="J1044" s="7" t="str">
        <f>RawData!J1044</f>
        <v>TRK67878272</v>
      </c>
      <c r="K1044" s="7">
        <f>RawData!K1044</f>
        <v>2</v>
      </c>
      <c r="L1044" s="7" t="str">
        <f>IF(RawData!L1044="","No Coupon",RawData!L1044)</f>
        <v>WINTER15</v>
      </c>
      <c r="M1044" s="7" t="str">
        <f>RawData!M1044</f>
        <v>Facebook</v>
      </c>
      <c r="N1044" s="7">
        <f>RawData!N1044</f>
        <v>819.5</v>
      </c>
    </row>
    <row r="1045" spans="1:14" x14ac:dyDescent="0.3">
      <c r="A1045" s="7" t="str">
        <f>RawData!A1045</f>
        <v>ORD201043</v>
      </c>
      <c r="B1045" s="11">
        <f>RawData!B1045</f>
        <v>45668</v>
      </c>
      <c r="C1045" s="7" t="str">
        <f>RawData!C1045</f>
        <v>C43965</v>
      </c>
      <c r="D1045" s="7" t="str">
        <f>RawData!D1045</f>
        <v>Tablet</v>
      </c>
      <c r="E1045" s="7">
        <f>RawData!E1045</f>
        <v>2</v>
      </c>
      <c r="F1045" s="7">
        <f>RawData!F1045</f>
        <v>179.96</v>
      </c>
      <c r="G1045" s="7" t="str">
        <f>RawData!G1045</f>
        <v>675 Main St</v>
      </c>
      <c r="H1045" s="7" t="str">
        <f>RawData!H1045</f>
        <v>Gift Card</v>
      </c>
      <c r="I1045" s="7" t="str">
        <f>RawData!I1045</f>
        <v>Shipped</v>
      </c>
      <c r="J1045" s="7" t="str">
        <f>RawData!J1045</f>
        <v>TRK94346739</v>
      </c>
      <c r="K1045" s="7">
        <f>RawData!K1045</f>
        <v>5</v>
      </c>
      <c r="L1045" s="7" t="str">
        <f>IF(RawData!L1045="","No Coupon",RawData!L1045)</f>
        <v>No Coupon</v>
      </c>
      <c r="M1045" s="7" t="str">
        <f>RawData!M1045</f>
        <v>Instagram</v>
      </c>
      <c r="N1045" s="7">
        <f>RawData!N1045</f>
        <v>359.92</v>
      </c>
    </row>
    <row r="1046" spans="1:14" x14ac:dyDescent="0.3">
      <c r="A1046" s="7" t="str">
        <f>RawData!A1046</f>
        <v>ORD201044</v>
      </c>
      <c r="B1046" s="11">
        <f>RawData!B1046</f>
        <v>45830</v>
      </c>
      <c r="C1046" s="7" t="str">
        <f>RawData!C1046</f>
        <v>C63018</v>
      </c>
      <c r="D1046" s="7" t="str">
        <f>RawData!D1046</f>
        <v>Printer</v>
      </c>
      <c r="E1046" s="7">
        <f>RawData!E1046</f>
        <v>1</v>
      </c>
      <c r="F1046" s="7">
        <f>RawData!F1046</f>
        <v>38.49</v>
      </c>
      <c r="G1046" s="7" t="str">
        <f>RawData!G1046</f>
        <v>215 Main St</v>
      </c>
      <c r="H1046" s="7" t="str">
        <f>RawData!H1046</f>
        <v>Credit Card</v>
      </c>
      <c r="I1046" s="7" t="str">
        <f>RawData!I1046</f>
        <v>Delivered</v>
      </c>
      <c r="J1046" s="7" t="str">
        <f>RawData!J1046</f>
        <v>TRK52335337</v>
      </c>
      <c r="K1046" s="7">
        <f>RawData!K1046</f>
        <v>4</v>
      </c>
      <c r="L1046" s="7" t="str">
        <f>IF(RawData!L1046="","No Coupon",RawData!L1046)</f>
        <v>FREESHIP</v>
      </c>
      <c r="M1046" s="7" t="str">
        <f>RawData!M1046</f>
        <v>Referral</v>
      </c>
      <c r="N1046" s="7">
        <f>RawData!N1046</f>
        <v>38.49</v>
      </c>
    </row>
    <row r="1047" spans="1:14" x14ac:dyDescent="0.3">
      <c r="A1047" s="7" t="str">
        <f>RawData!A1047</f>
        <v>ORD201045</v>
      </c>
      <c r="B1047" s="11">
        <f>RawData!B1047</f>
        <v>45555</v>
      </c>
      <c r="C1047" s="7" t="str">
        <f>RawData!C1047</f>
        <v>C11893</v>
      </c>
      <c r="D1047" s="7" t="str">
        <f>RawData!D1047</f>
        <v>Laptop</v>
      </c>
      <c r="E1047" s="7">
        <f>RawData!E1047</f>
        <v>5</v>
      </c>
      <c r="F1047" s="7">
        <f>RawData!F1047</f>
        <v>316.39999999999998</v>
      </c>
      <c r="G1047" s="7" t="str">
        <f>RawData!G1047</f>
        <v>671 Main St</v>
      </c>
      <c r="H1047" s="7" t="str">
        <f>RawData!H1047</f>
        <v>Gift Card</v>
      </c>
      <c r="I1047" s="7" t="str">
        <f>RawData!I1047</f>
        <v>Returned</v>
      </c>
      <c r="J1047" s="7" t="str">
        <f>RawData!J1047</f>
        <v>TRK72012758</v>
      </c>
      <c r="K1047" s="7">
        <f>RawData!K1047</f>
        <v>7</v>
      </c>
      <c r="L1047" s="7" t="str">
        <f>IF(RawData!L1047="","No Coupon",RawData!L1047)</f>
        <v>No Coupon</v>
      </c>
      <c r="M1047" s="7" t="str">
        <f>RawData!M1047</f>
        <v>Email</v>
      </c>
      <c r="N1047" s="7">
        <f>RawData!N1047</f>
        <v>1582</v>
      </c>
    </row>
    <row r="1048" spans="1:14" x14ac:dyDescent="0.3">
      <c r="A1048" s="7" t="str">
        <f>RawData!A1048</f>
        <v>ORD201046</v>
      </c>
      <c r="B1048" s="11">
        <f>RawData!B1048</f>
        <v>45572</v>
      </c>
      <c r="C1048" s="7" t="str">
        <f>RawData!C1048</f>
        <v>C85421</v>
      </c>
      <c r="D1048" s="7" t="str">
        <f>RawData!D1048</f>
        <v>Tablet</v>
      </c>
      <c r="E1048" s="7">
        <f>RawData!E1048</f>
        <v>3</v>
      </c>
      <c r="F1048" s="7">
        <f>RawData!F1048</f>
        <v>547.15</v>
      </c>
      <c r="G1048" s="7" t="str">
        <f>RawData!G1048</f>
        <v>466 Main St</v>
      </c>
      <c r="H1048" s="7" t="str">
        <f>RawData!H1048</f>
        <v>Online</v>
      </c>
      <c r="I1048" s="7" t="str">
        <f>RawData!I1048</f>
        <v>Shipped</v>
      </c>
      <c r="J1048" s="7" t="str">
        <f>RawData!J1048</f>
        <v>TRK16524006</v>
      </c>
      <c r="K1048" s="7">
        <f>RawData!K1048</f>
        <v>4</v>
      </c>
      <c r="L1048" s="7" t="str">
        <f>IF(RawData!L1048="","No Coupon",RawData!L1048)</f>
        <v>WINTER15</v>
      </c>
      <c r="M1048" s="7" t="str">
        <f>RawData!M1048</f>
        <v>Instagram</v>
      </c>
      <c r="N1048" s="7">
        <f>RawData!N1048</f>
        <v>1641.45</v>
      </c>
    </row>
    <row r="1049" spans="1:14" x14ac:dyDescent="0.3">
      <c r="A1049" s="7" t="str">
        <f>RawData!A1049</f>
        <v>ORD201047</v>
      </c>
      <c r="B1049" s="11">
        <f>RawData!B1049</f>
        <v>45100</v>
      </c>
      <c r="C1049" s="7" t="str">
        <f>RawData!C1049</f>
        <v>C81726</v>
      </c>
      <c r="D1049" s="7" t="str">
        <f>RawData!D1049</f>
        <v>Chair</v>
      </c>
      <c r="E1049" s="7">
        <f>RawData!E1049</f>
        <v>4</v>
      </c>
      <c r="F1049" s="7">
        <f>RawData!F1049</f>
        <v>540.34</v>
      </c>
      <c r="G1049" s="7" t="str">
        <f>RawData!G1049</f>
        <v>394 Main St</v>
      </c>
      <c r="H1049" s="7" t="str">
        <f>RawData!H1049</f>
        <v>Gift Card</v>
      </c>
      <c r="I1049" s="7" t="str">
        <f>RawData!I1049</f>
        <v>Shipped</v>
      </c>
      <c r="J1049" s="7" t="str">
        <f>RawData!J1049</f>
        <v>TRK69872994</v>
      </c>
      <c r="K1049" s="7">
        <f>RawData!K1049</f>
        <v>6</v>
      </c>
      <c r="L1049" s="7" t="str">
        <f>IF(RawData!L1049="","No Coupon",RawData!L1049)</f>
        <v>WINTER15</v>
      </c>
      <c r="M1049" s="7" t="str">
        <f>RawData!M1049</f>
        <v>Referral</v>
      </c>
      <c r="N1049" s="7">
        <f>RawData!N1049</f>
        <v>2161.36</v>
      </c>
    </row>
    <row r="1050" spans="1:14" x14ac:dyDescent="0.3">
      <c r="A1050" s="7" t="str">
        <f>RawData!A1050</f>
        <v>ORD201048</v>
      </c>
      <c r="B1050" s="11">
        <f>RawData!B1050</f>
        <v>45544</v>
      </c>
      <c r="C1050" s="7" t="str">
        <f>RawData!C1050</f>
        <v>C57601</v>
      </c>
      <c r="D1050" s="7" t="str">
        <f>RawData!D1050</f>
        <v>Monitor</v>
      </c>
      <c r="E1050" s="7">
        <f>RawData!E1050</f>
        <v>4</v>
      </c>
      <c r="F1050" s="7">
        <f>RawData!F1050</f>
        <v>73.650000000000006</v>
      </c>
      <c r="G1050" s="7" t="str">
        <f>RawData!G1050</f>
        <v>889 Main St</v>
      </c>
      <c r="H1050" s="7" t="str">
        <f>RawData!H1050</f>
        <v>Debit Card</v>
      </c>
      <c r="I1050" s="7" t="str">
        <f>RawData!I1050</f>
        <v>Shipped</v>
      </c>
      <c r="J1050" s="7" t="str">
        <f>RawData!J1050</f>
        <v>TRK21153699</v>
      </c>
      <c r="K1050" s="7">
        <f>RawData!K1050</f>
        <v>9</v>
      </c>
      <c r="L1050" s="7" t="str">
        <f>IF(RawData!L1050="","No Coupon",RawData!L1050)</f>
        <v>No Coupon</v>
      </c>
      <c r="M1050" s="7" t="str">
        <f>RawData!M1050</f>
        <v>Google</v>
      </c>
      <c r="N1050" s="7">
        <f>RawData!N1050</f>
        <v>294.60000000000002</v>
      </c>
    </row>
    <row r="1051" spans="1:14" x14ac:dyDescent="0.3">
      <c r="A1051" s="7" t="str">
        <f>RawData!A1051</f>
        <v>ORD201049</v>
      </c>
      <c r="B1051" s="11">
        <f>RawData!B1051</f>
        <v>45491</v>
      </c>
      <c r="C1051" s="7" t="str">
        <f>RawData!C1051</f>
        <v>C60575</v>
      </c>
      <c r="D1051" s="7" t="str">
        <f>RawData!D1051</f>
        <v>Desk</v>
      </c>
      <c r="E1051" s="7">
        <f>RawData!E1051</f>
        <v>5</v>
      </c>
      <c r="F1051" s="7">
        <f>RawData!F1051</f>
        <v>391.86</v>
      </c>
      <c r="G1051" s="7" t="str">
        <f>RawData!G1051</f>
        <v>587 Main St</v>
      </c>
      <c r="H1051" s="7" t="str">
        <f>RawData!H1051</f>
        <v>Credit Card</v>
      </c>
      <c r="I1051" s="7" t="str">
        <f>RawData!I1051</f>
        <v>Shipped</v>
      </c>
      <c r="J1051" s="7" t="str">
        <f>RawData!J1051</f>
        <v>TRK44468232</v>
      </c>
      <c r="K1051" s="7">
        <f>RawData!K1051</f>
        <v>6</v>
      </c>
      <c r="L1051" s="7" t="str">
        <f>IF(RawData!L1051="","No Coupon",RawData!L1051)</f>
        <v>No Coupon</v>
      </c>
      <c r="M1051" s="7" t="str">
        <f>RawData!M1051</f>
        <v>Instagram</v>
      </c>
      <c r="N1051" s="7">
        <f>RawData!N1051</f>
        <v>1959.3</v>
      </c>
    </row>
    <row r="1052" spans="1:14" x14ac:dyDescent="0.3">
      <c r="A1052" s="7" t="str">
        <f>RawData!A1052</f>
        <v>ORD201050</v>
      </c>
      <c r="B1052" s="11">
        <f>RawData!B1052</f>
        <v>45158</v>
      </c>
      <c r="C1052" s="7" t="str">
        <f>RawData!C1052</f>
        <v>C70659</v>
      </c>
      <c r="D1052" s="7" t="str">
        <f>RawData!D1052</f>
        <v>Laptop</v>
      </c>
      <c r="E1052" s="7">
        <f>RawData!E1052</f>
        <v>5</v>
      </c>
      <c r="F1052" s="7">
        <f>RawData!F1052</f>
        <v>69.7</v>
      </c>
      <c r="G1052" s="7" t="str">
        <f>RawData!G1052</f>
        <v>722 Main St</v>
      </c>
      <c r="H1052" s="7" t="str">
        <f>RawData!H1052</f>
        <v>Online</v>
      </c>
      <c r="I1052" s="7" t="str">
        <f>RawData!I1052</f>
        <v>Returned</v>
      </c>
      <c r="J1052" s="7" t="str">
        <f>RawData!J1052</f>
        <v>TRK49663597</v>
      </c>
      <c r="K1052" s="7">
        <f>RawData!K1052</f>
        <v>9</v>
      </c>
      <c r="L1052" s="7" t="str">
        <f>IF(RawData!L1052="","No Coupon",RawData!L1052)</f>
        <v>No Coupon</v>
      </c>
      <c r="M1052" s="7" t="str">
        <f>RawData!M1052</f>
        <v>Instagram</v>
      </c>
      <c r="N1052" s="7">
        <f>RawData!N1052</f>
        <v>348.5</v>
      </c>
    </row>
    <row r="1053" spans="1:14" x14ac:dyDescent="0.3">
      <c r="A1053" s="7" t="str">
        <f>RawData!A1053</f>
        <v>ORD201051</v>
      </c>
      <c r="B1053" s="11">
        <f>RawData!B1053</f>
        <v>45721</v>
      </c>
      <c r="C1053" s="7" t="str">
        <f>RawData!C1053</f>
        <v>C35043</v>
      </c>
      <c r="D1053" s="7" t="str">
        <f>RawData!D1053</f>
        <v>Monitor</v>
      </c>
      <c r="E1053" s="7">
        <f>RawData!E1053</f>
        <v>5</v>
      </c>
      <c r="F1053" s="7">
        <f>RawData!F1053</f>
        <v>26.43</v>
      </c>
      <c r="G1053" s="7" t="str">
        <f>RawData!G1053</f>
        <v>820 Main St</v>
      </c>
      <c r="H1053" s="7" t="str">
        <f>RawData!H1053</f>
        <v>Gift Card</v>
      </c>
      <c r="I1053" s="7" t="str">
        <f>RawData!I1053</f>
        <v>Shipped</v>
      </c>
      <c r="J1053" s="7" t="str">
        <f>RawData!J1053</f>
        <v>TRK65097450</v>
      </c>
      <c r="K1053" s="7">
        <f>RawData!K1053</f>
        <v>5</v>
      </c>
      <c r="L1053" s="7" t="str">
        <f>IF(RawData!L1053="","No Coupon",RawData!L1053)</f>
        <v>FREESHIP</v>
      </c>
      <c r="M1053" s="7" t="str">
        <f>RawData!M1053</f>
        <v>Facebook</v>
      </c>
      <c r="N1053" s="7">
        <f>RawData!N1053</f>
        <v>132.15</v>
      </c>
    </row>
    <row r="1054" spans="1:14" x14ac:dyDescent="0.3">
      <c r="A1054" s="7" t="str">
        <f>RawData!A1054</f>
        <v>ORD201052</v>
      </c>
      <c r="B1054" s="11">
        <f>RawData!B1054</f>
        <v>45180</v>
      </c>
      <c r="C1054" s="7" t="str">
        <f>RawData!C1054</f>
        <v>C12301</v>
      </c>
      <c r="D1054" s="7" t="str">
        <f>RawData!D1054</f>
        <v>Tablet</v>
      </c>
      <c r="E1054" s="7">
        <f>RawData!E1054</f>
        <v>1</v>
      </c>
      <c r="F1054" s="7">
        <f>RawData!F1054</f>
        <v>531.74</v>
      </c>
      <c r="G1054" s="7" t="str">
        <f>RawData!G1054</f>
        <v>493 Main St</v>
      </c>
      <c r="H1054" s="7" t="str">
        <f>RawData!H1054</f>
        <v>Online</v>
      </c>
      <c r="I1054" s="7" t="str">
        <f>RawData!I1054</f>
        <v>Shipped</v>
      </c>
      <c r="J1054" s="7" t="str">
        <f>RawData!J1054</f>
        <v>TRK25145796</v>
      </c>
      <c r="K1054" s="7">
        <f>RawData!K1054</f>
        <v>1</v>
      </c>
      <c r="L1054" s="7" t="str">
        <f>IF(RawData!L1054="","No Coupon",RawData!L1054)</f>
        <v>WINTER15</v>
      </c>
      <c r="M1054" s="7" t="str">
        <f>RawData!M1054</f>
        <v>Google</v>
      </c>
      <c r="N1054" s="7">
        <f>RawData!N1054</f>
        <v>531.74</v>
      </c>
    </row>
    <row r="1055" spans="1:14" x14ac:dyDescent="0.3">
      <c r="A1055" s="7" t="str">
        <f>RawData!A1055</f>
        <v>ORD201053</v>
      </c>
      <c r="B1055" s="11">
        <f>RawData!B1055</f>
        <v>45550</v>
      </c>
      <c r="C1055" s="7" t="str">
        <f>RawData!C1055</f>
        <v>C32798</v>
      </c>
      <c r="D1055" s="7" t="str">
        <f>RawData!D1055</f>
        <v>Phone</v>
      </c>
      <c r="E1055" s="7">
        <f>RawData!E1055</f>
        <v>2</v>
      </c>
      <c r="F1055" s="7">
        <f>RawData!F1055</f>
        <v>496.62</v>
      </c>
      <c r="G1055" s="7" t="str">
        <f>RawData!G1055</f>
        <v>679 Main St</v>
      </c>
      <c r="H1055" s="7" t="str">
        <f>RawData!H1055</f>
        <v>Online</v>
      </c>
      <c r="I1055" s="7" t="str">
        <f>RawData!I1055</f>
        <v>Pending</v>
      </c>
      <c r="J1055" s="7" t="str">
        <f>RawData!J1055</f>
        <v>TRK37375451</v>
      </c>
      <c r="K1055" s="7">
        <f>RawData!K1055</f>
        <v>2</v>
      </c>
      <c r="L1055" s="7" t="str">
        <f>IF(RawData!L1055="","No Coupon",RawData!L1055)</f>
        <v>SAVE10</v>
      </c>
      <c r="M1055" s="7" t="str">
        <f>RawData!M1055</f>
        <v>Instagram</v>
      </c>
      <c r="N1055" s="7">
        <f>RawData!N1055</f>
        <v>993.24</v>
      </c>
    </row>
    <row r="1056" spans="1:14" x14ac:dyDescent="0.3">
      <c r="A1056" s="7" t="str">
        <f>RawData!A1056</f>
        <v>ORD201054</v>
      </c>
      <c r="B1056" s="11">
        <f>RawData!B1056</f>
        <v>45259</v>
      </c>
      <c r="C1056" s="7" t="str">
        <f>RawData!C1056</f>
        <v>C42949</v>
      </c>
      <c r="D1056" s="7" t="str">
        <f>RawData!D1056</f>
        <v>Printer</v>
      </c>
      <c r="E1056" s="7">
        <f>RawData!E1056</f>
        <v>1</v>
      </c>
      <c r="F1056" s="7">
        <f>RawData!F1056</f>
        <v>660.66</v>
      </c>
      <c r="G1056" s="7" t="str">
        <f>RawData!G1056</f>
        <v>447 Main St</v>
      </c>
      <c r="H1056" s="7" t="str">
        <f>RawData!H1056</f>
        <v>Debit Card</v>
      </c>
      <c r="I1056" s="7" t="str">
        <f>RawData!I1056</f>
        <v>Delivered</v>
      </c>
      <c r="J1056" s="7" t="str">
        <f>RawData!J1056</f>
        <v>TRK46415143</v>
      </c>
      <c r="K1056" s="7">
        <f>RawData!K1056</f>
        <v>3</v>
      </c>
      <c r="L1056" s="7" t="str">
        <f>IF(RawData!L1056="","No Coupon",RawData!L1056)</f>
        <v>WINTER15</v>
      </c>
      <c r="M1056" s="7" t="str">
        <f>RawData!M1056</f>
        <v>Instagram</v>
      </c>
      <c r="N1056" s="7">
        <f>RawData!N1056</f>
        <v>660.66</v>
      </c>
    </row>
    <row r="1057" spans="1:14" x14ac:dyDescent="0.3">
      <c r="A1057" s="7" t="str">
        <f>RawData!A1057</f>
        <v>ORD201055</v>
      </c>
      <c r="B1057" s="11">
        <f>RawData!B1057</f>
        <v>45222</v>
      </c>
      <c r="C1057" s="7" t="str">
        <f>RawData!C1057</f>
        <v>C10787</v>
      </c>
      <c r="D1057" s="7" t="str">
        <f>RawData!D1057</f>
        <v>Monitor</v>
      </c>
      <c r="E1057" s="7">
        <f>RawData!E1057</f>
        <v>4</v>
      </c>
      <c r="F1057" s="7">
        <f>RawData!F1057</f>
        <v>274.82</v>
      </c>
      <c r="G1057" s="7" t="str">
        <f>RawData!G1057</f>
        <v>932 Main St</v>
      </c>
      <c r="H1057" s="7" t="str">
        <f>RawData!H1057</f>
        <v>Debit Card</v>
      </c>
      <c r="I1057" s="7" t="str">
        <f>RawData!I1057</f>
        <v>Delivered</v>
      </c>
      <c r="J1057" s="7" t="str">
        <f>RawData!J1057</f>
        <v>TRK91512567</v>
      </c>
      <c r="K1057" s="7">
        <f>RawData!K1057</f>
        <v>9</v>
      </c>
      <c r="L1057" s="7" t="str">
        <f>IF(RawData!L1057="","No Coupon",RawData!L1057)</f>
        <v>WINTER15</v>
      </c>
      <c r="M1057" s="7" t="str">
        <f>RawData!M1057</f>
        <v>Email</v>
      </c>
      <c r="N1057" s="7">
        <f>RawData!N1057</f>
        <v>1099.28</v>
      </c>
    </row>
    <row r="1058" spans="1:14" x14ac:dyDescent="0.3">
      <c r="A1058" s="7" t="str">
        <f>RawData!A1058</f>
        <v>ORD201056</v>
      </c>
      <c r="B1058" s="11">
        <f>RawData!B1058</f>
        <v>45457</v>
      </c>
      <c r="C1058" s="7" t="str">
        <f>RawData!C1058</f>
        <v>C26152</v>
      </c>
      <c r="D1058" s="7" t="str">
        <f>RawData!D1058</f>
        <v>Phone</v>
      </c>
      <c r="E1058" s="7">
        <f>RawData!E1058</f>
        <v>2</v>
      </c>
      <c r="F1058" s="7">
        <f>RawData!F1058</f>
        <v>486.35</v>
      </c>
      <c r="G1058" s="7" t="str">
        <f>RawData!G1058</f>
        <v>790 Main St</v>
      </c>
      <c r="H1058" s="7" t="str">
        <f>RawData!H1058</f>
        <v>Online</v>
      </c>
      <c r="I1058" s="7" t="str">
        <f>RawData!I1058</f>
        <v>Pending</v>
      </c>
      <c r="J1058" s="7" t="str">
        <f>RawData!J1058</f>
        <v>TRK49382455</v>
      </c>
      <c r="K1058" s="7">
        <f>RawData!K1058</f>
        <v>6</v>
      </c>
      <c r="L1058" s="7" t="str">
        <f>IF(RawData!L1058="","No Coupon",RawData!L1058)</f>
        <v>SAVE10</v>
      </c>
      <c r="M1058" s="7" t="str">
        <f>RawData!M1058</f>
        <v>Referral</v>
      </c>
      <c r="N1058" s="7">
        <f>RawData!N1058</f>
        <v>972.7</v>
      </c>
    </row>
    <row r="1059" spans="1:14" x14ac:dyDescent="0.3">
      <c r="A1059" s="7" t="str">
        <f>RawData!A1059</f>
        <v>ORD201057</v>
      </c>
      <c r="B1059" s="11">
        <f>RawData!B1059</f>
        <v>45559</v>
      </c>
      <c r="C1059" s="7" t="str">
        <f>RawData!C1059</f>
        <v>C46210</v>
      </c>
      <c r="D1059" s="7" t="str">
        <f>RawData!D1059</f>
        <v>Laptop</v>
      </c>
      <c r="E1059" s="7">
        <f>RawData!E1059</f>
        <v>3</v>
      </c>
      <c r="F1059" s="7">
        <f>RawData!F1059</f>
        <v>428.88</v>
      </c>
      <c r="G1059" s="7" t="str">
        <f>RawData!G1059</f>
        <v>535 Main St</v>
      </c>
      <c r="H1059" s="7" t="str">
        <f>RawData!H1059</f>
        <v>Debit Card</v>
      </c>
      <c r="I1059" s="7" t="str">
        <f>RawData!I1059</f>
        <v>Shipped</v>
      </c>
      <c r="J1059" s="7" t="str">
        <f>RawData!J1059</f>
        <v>TRK81611937</v>
      </c>
      <c r="K1059" s="7">
        <f>RawData!K1059</f>
        <v>3</v>
      </c>
      <c r="L1059" s="7" t="str">
        <f>IF(RawData!L1059="","No Coupon",RawData!L1059)</f>
        <v>WINTER15</v>
      </c>
      <c r="M1059" s="7" t="str">
        <f>RawData!M1059</f>
        <v>Facebook</v>
      </c>
      <c r="N1059" s="7">
        <f>RawData!N1059</f>
        <v>1286.6400000000001</v>
      </c>
    </row>
    <row r="1060" spans="1:14" x14ac:dyDescent="0.3">
      <c r="A1060" s="7" t="str">
        <f>RawData!A1060</f>
        <v>ORD201058</v>
      </c>
      <c r="B1060" s="11">
        <f>RawData!B1060</f>
        <v>45177</v>
      </c>
      <c r="C1060" s="7" t="str">
        <f>RawData!C1060</f>
        <v>C32943</v>
      </c>
      <c r="D1060" s="7" t="str">
        <f>RawData!D1060</f>
        <v>Desk</v>
      </c>
      <c r="E1060" s="7">
        <f>RawData!E1060</f>
        <v>2</v>
      </c>
      <c r="F1060" s="7">
        <f>RawData!F1060</f>
        <v>412.14</v>
      </c>
      <c r="G1060" s="7" t="str">
        <f>RawData!G1060</f>
        <v>127 Main St</v>
      </c>
      <c r="H1060" s="7" t="str">
        <f>RawData!H1060</f>
        <v>Credit Card</v>
      </c>
      <c r="I1060" s="7" t="str">
        <f>RawData!I1060</f>
        <v>Returned</v>
      </c>
      <c r="J1060" s="7" t="str">
        <f>RawData!J1060</f>
        <v>TRK26949106</v>
      </c>
      <c r="K1060" s="7">
        <f>RawData!K1060</f>
        <v>2</v>
      </c>
      <c r="L1060" s="7" t="str">
        <f>IF(RawData!L1060="","No Coupon",RawData!L1060)</f>
        <v>FREESHIP</v>
      </c>
      <c r="M1060" s="7" t="str">
        <f>RawData!M1060</f>
        <v>Instagram</v>
      </c>
      <c r="N1060" s="7">
        <f>RawData!N1060</f>
        <v>824.28</v>
      </c>
    </row>
    <row r="1061" spans="1:14" x14ac:dyDescent="0.3">
      <c r="A1061" s="7" t="str">
        <f>RawData!A1061</f>
        <v>ORD201059</v>
      </c>
      <c r="B1061" s="11">
        <f>RawData!B1061</f>
        <v>45557</v>
      </c>
      <c r="C1061" s="7" t="str">
        <f>RawData!C1061</f>
        <v>C73629</v>
      </c>
      <c r="D1061" s="7" t="str">
        <f>RawData!D1061</f>
        <v>Desk</v>
      </c>
      <c r="E1061" s="7">
        <f>RawData!E1061</f>
        <v>1</v>
      </c>
      <c r="F1061" s="7">
        <f>RawData!F1061</f>
        <v>265.64</v>
      </c>
      <c r="G1061" s="7" t="str">
        <f>RawData!G1061</f>
        <v>601 Main St</v>
      </c>
      <c r="H1061" s="7" t="str">
        <f>RawData!H1061</f>
        <v>Credit Card</v>
      </c>
      <c r="I1061" s="7" t="str">
        <f>RawData!I1061</f>
        <v>Returned</v>
      </c>
      <c r="J1061" s="7" t="str">
        <f>RawData!J1061</f>
        <v>TRK11492924</v>
      </c>
      <c r="K1061" s="7">
        <f>RawData!K1061</f>
        <v>3</v>
      </c>
      <c r="L1061" s="7" t="str">
        <f>IF(RawData!L1061="","No Coupon",RawData!L1061)</f>
        <v>WINTER15</v>
      </c>
      <c r="M1061" s="7" t="str">
        <f>RawData!M1061</f>
        <v>Instagram</v>
      </c>
      <c r="N1061" s="7">
        <f>RawData!N1061</f>
        <v>265.64</v>
      </c>
    </row>
    <row r="1062" spans="1:14" x14ac:dyDescent="0.3">
      <c r="A1062" s="7" t="str">
        <f>RawData!A1062</f>
        <v>ORD201060</v>
      </c>
      <c r="B1062" s="11">
        <f>RawData!B1062</f>
        <v>45419</v>
      </c>
      <c r="C1062" s="7" t="str">
        <f>RawData!C1062</f>
        <v>C38024</v>
      </c>
      <c r="D1062" s="7" t="str">
        <f>RawData!D1062</f>
        <v>Tablet</v>
      </c>
      <c r="E1062" s="7">
        <f>RawData!E1062</f>
        <v>2</v>
      </c>
      <c r="F1062" s="7">
        <f>RawData!F1062</f>
        <v>273.43</v>
      </c>
      <c r="G1062" s="7" t="str">
        <f>RawData!G1062</f>
        <v>824 Main St</v>
      </c>
      <c r="H1062" s="7" t="str">
        <f>RawData!H1062</f>
        <v>Cash</v>
      </c>
      <c r="I1062" s="7" t="str">
        <f>RawData!I1062</f>
        <v>Shipped</v>
      </c>
      <c r="J1062" s="7" t="str">
        <f>RawData!J1062</f>
        <v>TRK93370912</v>
      </c>
      <c r="K1062" s="7">
        <f>RawData!K1062</f>
        <v>7</v>
      </c>
      <c r="L1062" s="7" t="str">
        <f>IF(RawData!L1062="","No Coupon",RawData!L1062)</f>
        <v>WINTER15</v>
      </c>
      <c r="M1062" s="7" t="str">
        <f>RawData!M1062</f>
        <v>Referral</v>
      </c>
      <c r="N1062" s="7">
        <f>RawData!N1062</f>
        <v>546.86</v>
      </c>
    </row>
    <row r="1063" spans="1:14" x14ac:dyDescent="0.3">
      <c r="A1063" s="7" t="str">
        <f>RawData!A1063</f>
        <v>ORD201061</v>
      </c>
      <c r="B1063" s="11">
        <f>RawData!B1063</f>
        <v>45686</v>
      </c>
      <c r="C1063" s="7" t="str">
        <f>RawData!C1063</f>
        <v>C25445</v>
      </c>
      <c r="D1063" s="7" t="str">
        <f>RawData!D1063</f>
        <v>Laptop</v>
      </c>
      <c r="E1063" s="7">
        <f>RawData!E1063</f>
        <v>5</v>
      </c>
      <c r="F1063" s="7">
        <f>RawData!F1063</f>
        <v>131.69999999999999</v>
      </c>
      <c r="G1063" s="7" t="str">
        <f>RawData!G1063</f>
        <v>830 Main St</v>
      </c>
      <c r="H1063" s="7" t="str">
        <f>RawData!H1063</f>
        <v>Cash</v>
      </c>
      <c r="I1063" s="7" t="str">
        <f>RawData!I1063</f>
        <v>Shipped</v>
      </c>
      <c r="J1063" s="7" t="str">
        <f>RawData!J1063</f>
        <v>TRK12402431</v>
      </c>
      <c r="K1063" s="7">
        <f>RawData!K1063</f>
        <v>8</v>
      </c>
      <c r="L1063" s="7" t="str">
        <f>IF(RawData!L1063="","No Coupon",RawData!L1063)</f>
        <v>FREESHIP</v>
      </c>
      <c r="M1063" s="7" t="str">
        <f>RawData!M1063</f>
        <v>Google</v>
      </c>
      <c r="N1063" s="7">
        <f>RawData!N1063</f>
        <v>658.5</v>
      </c>
    </row>
    <row r="1064" spans="1:14" x14ac:dyDescent="0.3">
      <c r="A1064" s="7" t="str">
        <f>RawData!A1064</f>
        <v>ORD201062</v>
      </c>
      <c r="B1064" s="11">
        <f>RawData!B1064</f>
        <v>45161</v>
      </c>
      <c r="C1064" s="7" t="str">
        <f>RawData!C1064</f>
        <v>C13501</v>
      </c>
      <c r="D1064" s="7" t="str">
        <f>RawData!D1064</f>
        <v>Chair</v>
      </c>
      <c r="E1064" s="7">
        <f>RawData!E1064</f>
        <v>5</v>
      </c>
      <c r="F1064" s="7">
        <f>RawData!F1064</f>
        <v>85.52</v>
      </c>
      <c r="G1064" s="7" t="str">
        <f>RawData!G1064</f>
        <v>301 Main St</v>
      </c>
      <c r="H1064" s="7" t="str">
        <f>RawData!H1064</f>
        <v>Gift Card</v>
      </c>
      <c r="I1064" s="7" t="str">
        <f>RawData!I1064</f>
        <v>Cancelled</v>
      </c>
      <c r="J1064" s="7" t="str">
        <f>RawData!J1064</f>
        <v>TRK65149372</v>
      </c>
      <c r="K1064" s="7">
        <f>RawData!K1064</f>
        <v>5</v>
      </c>
      <c r="L1064" s="7" t="str">
        <f>IF(RawData!L1064="","No Coupon",RawData!L1064)</f>
        <v>No Coupon</v>
      </c>
      <c r="M1064" s="7" t="str">
        <f>RawData!M1064</f>
        <v>Facebook</v>
      </c>
      <c r="N1064" s="7">
        <f>RawData!N1064</f>
        <v>427.6</v>
      </c>
    </row>
    <row r="1065" spans="1:14" x14ac:dyDescent="0.3">
      <c r="A1065" s="7" t="str">
        <f>RawData!A1065</f>
        <v>ORD201063</v>
      </c>
      <c r="B1065" s="11">
        <f>RawData!B1065</f>
        <v>45462</v>
      </c>
      <c r="C1065" s="7" t="str">
        <f>RawData!C1065</f>
        <v>C42108</v>
      </c>
      <c r="D1065" s="7" t="str">
        <f>RawData!D1065</f>
        <v>Desk</v>
      </c>
      <c r="E1065" s="7">
        <f>RawData!E1065</f>
        <v>2</v>
      </c>
      <c r="F1065" s="7">
        <f>RawData!F1065</f>
        <v>320.68</v>
      </c>
      <c r="G1065" s="7" t="str">
        <f>RawData!G1065</f>
        <v>336 Main St</v>
      </c>
      <c r="H1065" s="7" t="str">
        <f>RawData!H1065</f>
        <v>Credit Card</v>
      </c>
      <c r="I1065" s="7" t="str">
        <f>RawData!I1065</f>
        <v>Shipped</v>
      </c>
      <c r="J1065" s="7" t="str">
        <f>RawData!J1065</f>
        <v>TRK58407918</v>
      </c>
      <c r="K1065" s="7">
        <f>RawData!K1065</f>
        <v>5</v>
      </c>
      <c r="L1065" s="7" t="str">
        <f>IF(RawData!L1065="","No Coupon",RawData!L1065)</f>
        <v>FREESHIP</v>
      </c>
      <c r="M1065" s="7" t="str">
        <f>RawData!M1065</f>
        <v>Referral</v>
      </c>
      <c r="N1065" s="7">
        <f>RawData!N1065</f>
        <v>641.36</v>
      </c>
    </row>
    <row r="1066" spans="1:14" x14ac:dyDescent="0.3">
      <c r="A1066" s="7" t="str">
        <f>RawData!A1066</f>
        <v>ORD201064</v>
      </c>
      <c r="B1066" s="11">
        <f>RawData!B1066</f>
        <v>45700</v>
      </c>
      <c r="C1066" s="7" t="str">
        <f>RawData!C1066</f>
        <v>C32121</v>
      </c>
      <c r="D1066" s="7" t="str">
        <f>RawData!D1066</f>
        <v>Laptop</v>
      </c>
      <c r="E1066" s="7">
        <f>RawData!E1066</f>
        <v>4</v>
      </c>
      <c r="F1066" s="7">
        <f>RawData!F1066</f>
        <v>198.81</v>
      </c>
      <c r="G1066" s="7" t="str">
        <f>RawData!G1066</f>
        <v>654 Main St</v>
      </c>
      <c r="H1066" s="7" t="str">
        <f>RawData!H1066</f>
        <v>Cash</v>
      </c>
      <c r="I1066" s="7" t="str">
        <f>RawData!I1066</f>
        <v>Returned</v>
      </c>
      <c r="J1066" s="7" t="str">
        <f>RawData!J1066</f>
        <v>TRK96074264</v>
      </c>
      <c r="K1066" s="7">
        <f>RawData!K1066</f>
        <v>9</v>
      </c>
      <c r="L1066" s="7" t="str">
        <f>IF(RawData!L1066="","No Coupon",RawData!L1066)</f>
        <v>FREESHIP</v>
      </c>
      <c r="M1066" s="7" t="str">
        <f>RawData!M1066</f>
        <v>Referral</v>
      </c>
      <c r="N1066" s="7">
        <f>RawData!N1066</f>
        <v>795.24</v>
      </c>
    </row>
    <row r="1067" spans="1:14" x14ac:dyDescent="0.3">
      <c r="A1067" s="7" t="str">
        <f>RawData!A1067</f>
        <v>ORD201065</v>
      </c>
      <c r="B1067" s="11">
        <f>RawData!B1067</f>
        <v>45229</v>
      </c>
      <c r="C1067" s="7" t="str">
        <f>RawData!C1067</f>
        <v>C47778</v>
      </c>
      <c r="D1067" s="7" t="str">
        <f>RawData!D1067</f>
        <v>Printer</v>
      </c>
      <c r="E1067" s="7">
        <f>RawData!E1067</f>
        <v>5</v>
      </c>
      <c r="F1067" s="7">
        <f>RawData!F1067</f>
        <v>666.8</v>
      </c>
      <c r="G1067" s="7" t="str">
        <f>RawData!G1067</f>
        <v>488 Main St</v>
      </c>
      <c r="H1067" s="7" t="str">
        <f>RawData!H1067</f>
        <v>Debit Card</v>
      </c>
      <c r="I1067" s="7" t="str">
        <f>RawData!I1067</f>
        <v>Delivered</v>
      </c>
      <c r="J1067" s="7" t="str">
        <f>RawData!J1067</f>
        <v>TRK79504329</v>
      </c>
      <c r="K1067" s="7">
        <f>RawData!K1067</f>
        <v>7</v>
      </c>
      <c r="L1067" s="7" t="str">
        <f>IF(RawData!L1067="","No Coupon",RawData!L1067)</f>
        <v>SAVE10</v>
      </c>
      <c r="M1067" s="7" t="str">
        <f>RawData!M1067</f>
        <v>Referral</v>
      </c>
      <c r="N1067" s="7">
        <f>RawData!N1067</f>
        <v>3334</v>
      </c>
    </row>
    <row r="1068" spans="1:14" x14ac:dyDescent="0.3">
      <c r="A1068" s="7" t="str">
        <f>RawData!A1068</f>
        <v>ORD201066</v>
      </c>
      <c r="B1068" s="11">
        <f>RawData!B1068</f>
        <v>45280</v>
      </c>
      <c r="C1068" s="7" t="str">
        <f>RawData!C1068</f>
        <v>C10791</v>
      </c>
      <c r="D1068" s="7" t="str">
        <f>RawData!D1068</f>
        <v>Desk</v>
      </c>
      <c r="E1068" s="7">
        <f>RawData!E1068</f>
        <v>1</v>
      </c>
      <c r="F1068" s="7">
        <f>RawData!F1068</f>
        <v>355.09</v>
      </c>
      <c r="G1068" s="7" t="str">
        <f>RawData!G1068</f>
        <v>674 Main St</v>
      </c>
      <c r="H1068" s="7" t="str">
        <f>RawData!H1068</f>
        <v>Debit Card</v>
      </c>
      <c r="I1068" s="7" t="str">
        <f>RawData!I1068</f>
        <v>Cancelled</v>
      </c>
      <c r="J1068" s="7" t="str">
        <f>RawData!J1068</f>
        <v>TRK20321248</v>
      </c>
      <c r="K1068" s="7">
        <f>RawData!K1068</f>
        <v>5</v>
      </c>
      <c r="L1068" s="7" t="str">
        <f>IF(RawData!L1068="","No Coupon",RawData!L1068)</f>
        <v>SAVE10</v>
      </c>
      <c r="M1068" s="7" t="str">
        <f>RawData!M1068</f>
        <v>Instagram</v>
      </c>
      <c r="N1068" s="7">
        <f>RawData!N1068</f>
        <v>355.09</v>
      </c>
    </row>
    <row r="1069" spans="1:14" x14ac:dyDescent="0.3">
      <c r="A1069" s="7" t="str">
        <f>RawData!A1069</f>
        <v>ORD201067</v>
      </c>
      <c r="B1069" s="11">
        <f>RawData!B1069</f>
        <v>45083</v>
      </c>
      <c r="C1069" s="7" t="str">
        <f>RawData!C1069</f>
        <v>C78959</v>
      </c>
      <c r="D1069" s="7" t="str">
        <f>RawData!D1069</f>
        <v>Phone</v>
      </c>
      <c r="E1069" s="7">
        <f>RawData!E1069</f>
        <v>2</v>
      </c>
      <c r="F1069" s="7">
        <f>RawData!F1069</f>
        <v>316.2</v>
      </c>
      <c r="G1069" s="7" t="str">
        <f>RawData!G1069</f>
        <v>384 Main St</v>
      </c>
      <c r="H1069" s="7" t="str">
        <f>RawData!H1069</f>
        <v>Online</v>
      </c>
      <c r="I1069" s="7" t="str">
        <f>RawData!I1069</f>
        <v>Returned</v>
      </c>
      <c r="J1069" s="7" t="str">
        <f>RawData!J1069</f>
        <v>TRK37426359</v>
      </c>
      <c r="K1069" s="7">
        <f>RawData!K1069</f>
        <v>2</v>
      </c>
      <c r="L1069" s="7" t="str">
        <f>IF(RawData!L1069="","No Coupon",RawData!L1069)</f>
        <v>No Coupon</v>
      </c>
      <c r="M1069" s="7" t="str">
        <f>RawData!M1069</f>
        <v>Instagram</v>
      </c>
      <c r="N1069" s="7">
        <f>RawData!N1069</f>
        <v>632.4</v>
      </c>
    </row>
    <row r="1070" spans="1:14" x14ac:dyDescent="0.3">
      <c r="A1070" s="7" t="str">
        <f>RawData!A1070</f>
        <v>ORD201068</v>
      </c>
      <c r="B1070" s="11">
        <f>RawData!B1070</f>
        <v>45507</v>
      </c>
      <c r="C1070" s="7" t="str">
        <f>RawData!C1070</f>
        <v>C29914</v>
      </c>
      <c r="D1070" s="7" t="str">
        <f>RawData!D1070</f>
        <v>Laptop</v>
      </c>
      <c r="E1070" s="7">
        <f>RawData!E1070</f>
        <v>1</v>
      </c>
      <c r="F1070" s="7">
        <f>RawData!F1070</f>
        <v>133.38999999999999</v>
      </c>
      <c r="G1070" s="7" t="str">
        <f>RawData!G1070</f>
        <v>469 Main St</v>
      </c>
      <c r="H1070" s="7" t="str">
        <f>RawData!H1070</f>
        <v>Debit Card</v>
      </c>
      <c r="I1070" s="7" t="str">
        <f>RawData!I1070</f>
        <v>Shipped</v>
      </c>
      <c r="J1070" s="7" t="str">
        <f>RawData!J1070</f>
        <v>TRK22073506</v>
      </c>
      <c r="K1070" s="7">
        <f>RawData!K1070</f>
        <v>2</v>
      </c>
      <c r="L1070" s="7" t="str">
        <f>IF(RawData!L1070="","No Coupon",RawData!L1070)</f>
        <v>SAVE10</v>
      </c>
      <c r="M1070" s="7" t="str">
        <f>RawData!M1070</f>
        <v>Referral</v>
      </c>
      <c r="N1070" s="7">
        <f>RawData!N1070</f>
        <v>133.38999999999999</v>
      </c>
    </row>
    <row r="1071" spans="1:14" x14ac:dyDescent="0.3">
      <c r="A1071" s="7" t="str">
        <f>RawData!A1071</f>
        <v>ORD201069</v>
      </c>
      <c r="B1071" s="11">
        <f>RawData!B1071</f>
        <v>44982</v>
      </c>
      <c r="C1071" s="7" t="str">
        <f>RawData!C1071</f>
        <v>C70506</v>
      </c>
      <c r="D1071" s="7" t="str">
        <f>RawData!D1071</f>
        <v>Monitor</v>
      </c>
      <c r="E1071" s="7">
        <f>RawData!E1071</f>
        <v>1</v>
      </c>
      <c r="F1071" s="7">
        <f>RawData!F1071</f>
        <v>454.23</v>
      </c>
      <c r="G1071" s="7" t="str">
        <f>RawData!G1071</f>
        <v>255 Main St</v>
      </c>
      <c r="H1071" s="7" t="str">
        <f>RawData!H1071</f>
        <v>Gift Card</v>
      </c>
      <c r="I1071" s="7" t="str">
        <f>RawData!I1071</f>
        <v>Returned</v>
      </c>
      <c r="J1071" s="7" t="str">
        <f>RawData!J1071</f>
        <v>TRK12518384</v>
      </c>
      <c r="K1071" s="7">
        <f>RawData!K1071</f>
        <v>3</v>
      </c>
      <c r="L1071" s="7" t="str">
        <f>IF(RawData!L1071="","No Coupon",RawData!L1071)</f>
        <v>No Coupon</v>
      </c>
      <c r="M1071" s="7" t="str">
        <f>RawData!M1071</f>
        <v>Facebook</v>
      </c>
      <c r="N1071" s="7">
        <f>RawData!N1071</f>
        <v>454.23</v>
      </c>
    </row>
    <row r="1072" spans="1:14" x14ac:dyDescent="0.3">
      <c r="A1072" s="7" t="str">
        <f>RawData!A1072</f>
        <v>ORD201070</v>
      </c>
      <c r="B1072" s="11">
        <f>RawData!B1072</f>
        <v>45541</v>
      </c>
      <c r="C1072" s="7" t="str">
        <f>RawData!C1072</f>
        <v>C46873</v>
      </c>
      <c r="D1072" s="7" t="str">
        <f>RawData!D1072</f>
        <v>Desk</v>
      </c>
      <c r="E1072" s="7">
        <f>RawData!E1072</f>
        <v>4</v>
      </c>
      <c r="F1072" s="7">
        <f>RawData!F1072</f>
        <v>491.29</v>
      </c>
      <c r="G1072" s="7" t="str">
        <f>RawData!G1072</f>
        <v>496 Main St</v>
      </c>
      <c r="H1072" s="7" t="str">
        <f>RawData!H1072</f>
        <v>Debit Card</v>
      </c>
      <c r="I1072" s="7" t="str">
        <f>RawData!I1072</f>
        <v>Pending</v>
      </c>
      <c r="J1072" s="7" t="str">
        <f>RawData!J1072</f>
        <v>TRK10926575</v>
      </c>
      <c r="K1072" s="7">
        <f>RawData!K1072</f>
        <v>6</v>
      </c>
      <c r="L1072" s="7" t="str">
        <f>IF(RawData!L1072="","No Coupon",RawData!L1072)</f>
        <v>No Coupon</v>
      </c>
      <c r="M1072" s="7" t="str">
        <f>RawData!M1072</f>
        <v>Email</v>
      </c>
      <c r="N1072" s="7">
        <f>RawData!N1072</f>
        <v>1965.16</v>
      </c>
    </row>
    <row r="1073" spans="1:14" x14ac:dyDescent="0.3">
      <c r="A1073" s="7" t="str">
        <f>RawData!A1073</f>
        <v>ORD201071</v>
      </c>
      <c r="B1073" s="11">
        <f>RawData!B1073</f>
        <v>45832</v>
      </c>
      <c r="C1073" s="7" t="str">
        <f>RawData!C1073</f>
        <v>C94037</v>
      </c>
      <c r="D1073" s="7" t="str">
        <f>RawData!D1073</f>
        <v>Phone</v>
      </c>
      <c r="E1073" s="7">
        <f>RawData!E1073</f>
        <v>2</v>
      </c>
      <c r="F1073" s="7">
        <f>RawData!F1073</f>
        <v>255.14</v>
      </c>
      <c r="G1073" s="7" t="str">
        <f>RawData!G1073</f>
        <v>216 Main St</v>
      </c>
      <c r="H1073" s="7" t="str">
        <f>RawData!H1073</f>
        <v>Cash</v>
      </c>
      <c r="I1073" s="7" t="str">
        <f>RawData!I1073</f>
        <v>Shipped</v>
      </c>
      <c r="J1073" s="7" t="str">
        <f>RawData!J1073</f>
        <v>TRK47536985</v>
      </c>
      <c r="K1073" s="7">
        <f>RawData!K1073</f>
        <v>2</v>
      </c>
      <c r="L1073" s="7" t="str">
        <f>IF(RawData!L1073="","No Coupon",RawData!L1073)</f>
        <v>No Coupon</v>
      </c>
      <c r="M1073" s="7" t="str">
        <f>RawData!M1073</f>
        <v>Google</v>
      </c>
      <c r="N1073" s="7">
        <f>RawData!N1073</f>
        <v>510.28</v>
      </c>
    </row>
    <row r="1074" spans="1:14" x14ac:dyDescent="0.3">
      <c r="A1074" s="7" t="str">
        <f>RawData!A1074</f>
        <v>ORD201072</v>
      </c>
      <c r="B1074" s="11">
        <f>RawData!B1074</f>
        <v>44983</v>
      </c>
      <c r="C1074" s="7" t="str">
        <f>RawData!C1074</f>
        <v>C88644</v>
      </c>
      <c r="D1074" s="7" t="str">
        <f>RawData!D1074</f>
        <v>Monitor</v>
      </c>
      <c r="E1074" s="7">
        <f>RawData!E1074</f>
        <v>1</v>
      </c>
      <c r="F1074" s="7">
        <f>RawData!F1074</f>
        <v>392.61</v>
      </c>
      <c r="G1074" s="7" t="str">
        <f>RawData!G1074</f>
        <v>977 Main St</v>
      </c>
      <c r="H1074" s="7" t="str">
        <f>RawData!H1074</f>
        <v>Gift Card</v>
      </c>
      <c r="I1074" s="7" t="str">
        <f>RawData!I1074</f>
        <v>Cancelled</v>
      </c>
      <c r="J1074" s="7" t="str">
        <f>RawData!J1074</f>
        <v>TRK14900878</v>
      </c>
      <c r="K1074" s="7">
        <f>RawData!K1074</f>
        <v>4</v>
      </c>
      <c r="L1074" s="7" t="str">
        <f>IF(RawData!L1074="","No Coupon",RawData!L1074)</f>
        <v>SAVE10</v>
      </c>
      <c r="M1074" s="7" t="str">
        <f>RawData!M1074</f>
        <v>Referral</v>
      </c>
      <c r="N1074" s="7">
        <f>RawData!N1074</f>
        <v>392.61</v>
      </c>
    </row>
    <row r="1075" spans="1:14" x14ac:dyDescent="0.3">
      <c r="A1075" s="7" t="str">
        <f>RawData!A1075</f>
        <v>ORD201073</v>
      </c>
      <c r="B1075" s="11">
        <f>RawData!B1075</f>
        <v>45576</v>
      </c>
      <c r="C1075" s="7" t="str">
        <f>RawData!C1075</f>
        <v>C69471</v>
      </c>
      <c r="D1075" s="7" t="str">
        <f>RawData!D1075</f>
        <v>Tablet</v>
      </c>
      <c r="E1075" s="7">
        <f>RawData!E1075</f>
        <v>4</v>
      </c>
      <c r="F1075" s="7">
        <f>RawData!F1075</f>
        <v>362.06</v>
      </c>
      <c r="G1075" s="7" t="str">
        <f>RawData!G1075</f>
        <v>294 Main St</v>
      </c>
      <c r="H1075" s="7" t="str">
        <f>RawData!H1075</f>
        <v>Debit Card</v>
      </c>
      <c r="I1075" s="7" t="str">
        <f>RawData!I1075</f>
        <v>Returned</v>
      </c>
      <c r="J1075" s="7" t="str">
        <f>RawData!J1075</f>
        <v>TRK11107152</v>
      </c>
      <c r="K1075" s="7">
        <f>RawData!K1075</f>
        <v>4</v>
      </c>
      <c r="L1075" s="7" t="str">
        <f>IF(RawData!L1075="","No Coupon",RawData!L1075)</f>
        <v>No Coupon</v>
      </c>
      <c r="M1075" s="7" t="str">
        <f>RawData!M1075</f>
        <v>Facebook</v>
      </c>
      <c r="N1075" s="7">
        <f>RawData!N1075</f>
        <v>1448.24</v>
      </c>
    </row>
    <row r="1076" spans="1:14" x14ac:dyDescent="0.3">
      <c r="A1076" s="7" t="str">
        <f>RawData!A1076</f>
        <v>ORD201074</v>
      </c>
      <c r="B1076" s="11">
        <f>RawData!B1076</f>
        <v>45422</v>
      </c>
      <c r="C1076" s="7" t="str">
        <f>RawData!C1076</f>
        <v>C21437</v>
      </c>
      <c r="D1076" s="7" t="str">
        <f>RawData!D1076</f>
        <v>Phone</v>
      </c>
      <c r="E1076" s="7">
        <f>RawData!E1076</f>
        <v>1</v>
      </c>
      <c r="F1076" s="7">
        <f>RawData!F1076</f>
        <v>222.73</v>
      </c>
      <c r="G1076" s="7" t="str">
        <f>RawData!G1076</f>
        <v>120 Main St</v>
      </c>
      <c r="H1076" s="7" t="str">
        <f>RawData!H1076</f>
        <v>Online</v>
      </c>
      <c r="I1076" s="7" t="str">
        <f>RawData!I1076</f>
        <v>Returned</v>
      </c>
      <c r="J1076" s="7" t="str">
        <f>RawData!J1076</f>
        <v>TRK81624772</v>
      </c>
      <c r="K1076" s="7">
        <f>RawData!K1076</f>
        <v>4</v>
      </c>
      <c r="L1076" s="7" t="str">
        <f>IF(RawData!L1076="","No Coupon",RawData!L1076)</f>
        <v>No Coupon</v>
      </c>
      <c r="M1076" s="7" t="str">
        <f>RawData!M1076</f>
        <v>Google</v>
      </c>
      <c r="N1076" s="7">
        <f>RawData!N1076</f>
        <v>222.73</v>
      </c>
    </row>
    <row r="1077" spans="1:14" x14ac:dyDescent="0.3">
      <c r="A1077" s="7" t="str">
        <f>RawData!A1077</f>
        <v>ORD201075</v>
      </c>
      <c r="B1077" s="11">
        <f>RawData!B1077</f>
        <v>45535</v>
      </c>
      <c r="C1077" s="7" t="str">
        <f>RawData!C1077</f>
        <v>C40949</v>
      </c>
      <c r="D1077" s="7" t="str">
        <f>RawData!D1077</f>
        <v>Monitor</v>
      </c>
      <c r="E1077" s="7">
        <f>RawData!E1077</f>
        <v>2</v>
      </c>
      <c r="F1077" s="7">
        <f>RawData!F1077</f>
        <v>552.63</v>
      </c>
      <c r="G1077" s="7" t="str">
        <f>RawData!G1077</f>
        <v>609 Main St</v>
      </c>
      <c r="H1077" s="7" t="str">
        <f>RawData!H1077</f>
        <v>Debit Card</v>
      </c>
      <c r="I1077" s="7" t="str">
        <f>RawData!I1077</f>
        <v>Delivered</v>
      </c>
      <c r="J1077" s="7" t="str">
        <f>RawData!J1077</f>
        <v>TRK43066749</v>
      </c>
      <c r="K1077" s="7">
        <f>RawData!K1077</f>
        <v>7</v>
      </c>
      <c r="L1077" s="7" t="str">
        <f>IF(RawData!L1077="","No Coupon",RawData!L1077)</f>
        <v>WINTER15</v>
      </c>
      <c r="M1077" s="7" t="str">
        <f>RawData!M1077</f>
        <v>Instagram</v>
      </c>
      <c r="N1077" s="7">
        <f>RawData!N1077</f>
        <v>1105.26</v>
      </c>
    </row>
    <row r="1078" spans="1:14" x14ac:dyDescent="0.3">
      <c r="A1078" s="7" t="str">
        <f>RawData!A1078</f>
        <v>ORD201076</v>
      </c>
      <c r="B1078" s="11">
        <f>RawData!B1078</f>
        <v>45054</v>
      </c>
      <c r="C1078" s="7" t="str">
        <f>RawData!C1078</f>
        <v>C99116</v>
      </c>
      <c r="D1078" s="7" t="str">
        <f>RawData!D1078</f>
        <v>Laptop</v>
      </c>
      <c r="E1078" s="7">
        <f>RawData!E1078</f>
        <v>4</v>
      </c>
      <c r="F1078" s="7">
        <f>RawData!F1078</f>
        <v>686.61</v>
      </c>
      <c r="G1078" s="7" t="str">
        <f>RawData!G1078</f>
        <v>176 Main St</v>
      </c>
      <c r="H1078" s="7" t="str">
        <f>RawData!H1078</f>
        <v>Cash</v>
      </c>
      <c r="I1078" s="7" t="str">
        <f>RawData!I1078</f>
        <v>Shipped</v>
      </c>
      <c r="J1078" s="7" t="str">
        <f>RawData!J1078</f>
        <v>TRK52711973</v>
      </c>
      <c r="K1078" s="7">
        <f>RawData!K1078</f>
        <v>6</v>
      </c>
      <c r="L1078" s="7" t="str">
        <f>IF(RawData!L1078="","No Coupon",RawData!L1078)</f>
        <v>No Coupon</v>
      </c>
      <c r="M1078" s="7" t="str">
        <f>RawData!M1078</f>
        <v>Referral</v>
      </c>
      <c r="N1078" s="7">
        <f>RawData!N1078</f>
        <v>2746.44</v>
      </c>
    </row>
    <row r="1079" spans="1:14" x14ac:dyDescent="0.3">
      <c r="A1079" s="7" t="str">
        <f>RawData!A1079</f>
        <v>ORD201077</v>
      </c>
      <c r="B1079" s="11">
        <f>RawData!B1079</f>
        <v>45723</v>
      </c>
      <c r="C1079" s="7" t="str">
        <f>RawData!C1079</f>
        <v>C57861</v>
      </c>
      <c r="D1079" s="7" t="str">
        <f>RawData!D1079</f>
        <v>Printer</v>
      </c>
      <c r="E1079" s="7">
        <f>RawData!E1079</f>
        <v>3</v>
      </c>
      <c r="F1079" s="7">
        <f>RawData!F1079</f>
        <v>305.16000000000003</v>
      </c>
      <c r="G1079" s="7" t="str">
        <f>RawData!G1079</f>
        <v>115 Main St</v>
      </c>
      <c r="H1079" s="7" t="str">
        <f>RawData!H1079</f>
        <v>Credit Card</v>
      </c>
      <c r="I1079" s="7" t="str">
        <f>RawData!I1079</f>
        <v>Cancelled</v>
      </c>
      <c r="J1079" s="7" t="str">
        <f>RawData!J1079</f>
        <v>TRK47775217</v>
      </c>
      <c r="K1079" s="7">
        <f>RawData!K1079</f>
        <v>8</v>
      </c>
      <c r="L1079" s="7" t="str">
        <f>IF(RawData!L1079="","No Coupon",RawData!L1079)</f>
        <v>SAVE10</v>
      </c>
      <c r="M1079" s="7" t="str">
        <f>RawData!M1079</f>
        <v>Referral</v>
      </c>
      <c r="N1079" s="7">
        <f>RawData!N1079</f>
        <v>915.48</v>
      </c>
    </row>
    <row r="1080" spans="1:14" x14ac:dyDescent="0.3">
      <c r="A1080" s="7" t="str">
        <f>RawData!A1080</f>
        <v>ORD201078</v>
      </c>
      <c r="B1080" s="11">
        <f>RawData!B1080</f>
        <v>45003</v>
      </c>
      <c r="C1080" s="7" t="str">
        <f>RawData!C1080</f>
        <v>C62627</v>
      </c>
      <c r="D1080" s="7" t="str">
        <f>RawData!D1080</f>
        <v>Desk</v>
      </c>
      <c r="E1080" s="7">
        <f>RawData!E1080</f>
        <v>1</v>
      </c>
      <c r="F1080" s="7">
        <f>RawData!F1080</f>
        <v>41.09</v>
      </c>
      <c r="G1080" s="7" t="str">
        <f>RawData!G1080</f>
        <v>881 Main St</v>
      </c>
      <c r="H1080" s="7" t="str">
        <f>RawData!H1080</f>
        <v>Online</v>
      </c>
      <c r="I1080" s="7" t="str">
        <f>RawData!I1080</f>
        <v>Returned</v>
      </c>
      <c r="J1080" s="7" t="str">
        <f>RawData!J1080</f>
        <v>TRK90060232</v>
      </c>
      <c r="K1080" s="7">
        <f>RawData!K1080</f>
        <v>4</v>
      </c>
      <c r="L1080" s="7" t="str">
        <f>IF(RawData!L1080="","No Coupon",RawData!L1080)</f>
        <v>WINTER15</v>
      </c>
      <c r="M1080" s="7" t="str">
        <f>RawData!M1080</f>
        <v>Email</v>
      </c>
      <c r="N1080" s="7">
        <f>RawData!N1080</f>
        <v>41.09</v>
      </c>
    </row>
    <row r="1081" spans="1:14" x14ac:dyDescent="0.3">
      <c r="A1081" s="7" t="str">
        <f>RawData!A1081</f>
        <v>ORD201079</v>
      </c>
      <c r="B1081" s="11">
        <f>RawData!B1081</f>
        <v>45463</v>
      </c>
      <c r="C1081" s="7" t="str">
        <f>RawData!C1081</f>
        <v>C89979</v>
      </c>
      <c r="D1081" s="7" t="str">
        <f>RawData!D1081</f>
        <v>Phone</v>
      </c>
      <c r="E1081" s="7">
        <f>RawData!E1081</f>
        <v>5</v>
      </c>
      <c r="F1081" s="7">
        <f>RawData!F1081</f>
        <v>634</v>
      </c>
      <c r="G1081" s="7" t="str">
        <f>RawData!G1081</f>
        <v>144 Main St</v>
      </c>
      <c r="H1081" s="7" t="str">
        <f>RawData!H1081</f>
        <v>Gift Card</v>
      </c>
      <c r="I1081" s="7" t="str">
        <f>RawData!I1081</f>
        <v>Delivered</v>
      </c>
      <c r="J1081" s="7" t="str">
        <f>RawData!J1081</f>
        <v>TRK99055909</v>
      </c>
      <c r="K1081" s="7">
        <f>RawData!K1081</f>
        <v>8</v>
      </c>
      <c r="L1081" s="7" t="str">
        <f>IF(RawData!L1081="","No Coupon",RawData!L1081)</f>
        <v>No Coupon</v>
      </c>
      <c r="M1081" s="7" t="str">
        <f>RawData!M1081</f>
        <v>Email</v>
      </c>
      <c r="N1081" s="7">
        <f>RawData!N1081</f>
        <v>3170</v>
      </c>
    </row>
    <row r="1082" spans="1:14" x14ac:dyDescent="0.3">
      <c r="A1082" s="7" t="str">
        <f>RawData!A1082</f>
        <v>ORD201080</v>
      </c>
      <c r="B1082" s="11">
        <f>RawData!B1082</f>
        <v>44946</v>
      </c>
      <c r="C1082" s="7" t="str">
        <f>RawData!C1082</f>
        <v>C70613</v>
      </c>
      <c r="D1082" s="7" t="str">
        <f>RawData!D1082</f>
        <v>Laptop</v>
      </c>
      <c r="E1082" s="7">
        <f>RawData!E1082</f>
        <v>5</v>
      </c>
      <c r="F1082" s="7">
        <f>RawData!F1082</f>
        <v>464.74</v>
      </c>
      <c r="G1082" s="7" t="str">
        <f>RawData!G1082</f>
        <v>438 Main St</v>
      </c>
      <c r="H1082" s="7" t="str">
        <f>RawData!H1082</f>
        <v>Gift Card</v>
      </c>
      <c r="I1082" s="7" t="str">
        <f>RawData!I1082</f>
        <v>Delivered</v>
      </c>
      <c r="J1082" s="7" t="str">
        <f>RawData!J1082</f>
        <v>TRK33140293</v>
      </c>
      <c r="K1082" s="7">
        <f>RawData!K1082</f>
        <v>7</v>
      </c>
      <c r="L1082" s="7" t="str">
        <f>IF(RawData!L1082="","No Coupon",RawData!L1082)</f>
        <v>No Coupon</v>
      </c>
      <c r="M1082" s="7" t="str">
        <f>RawData!M1082</f>
        <v>Referral</v>
      </c>
      <c r="N1082" s="7">
        <f>RawData!N1082</f>
        <v>2323.6999999999998</v>
      </c>
    </row>
    <row r="1083" spans="1:14" x14ac:dyDescent="0.3">
      <c r="A1083" s="7" t="str">
        <f>RawData!A1083</f>
        <v>ORD201081</v>
      </c>
      <c r="B1083" s="11">
        <f>RawData!B1083</f>
        <v>45037</v>
      </c>
      <c r="C1083" s="7" t="str">
        <f>RawData!C1083</f>
        <v>C55636</v>
      </c>
      <c r="D1083" s="7" t="str">
        <f>RawData!D1083</f>
        <v>Monitor</v>
      </c>
      <c r="E1083" s="7">
        <f>RawData!E1083</f>
        <v>4</v>
      </c>
      <c r="F1083" s="7">
        <f>RawData!F1083</f>
        <v>425.6</v>
      </c>
      <c r="G1083" s="7" t="str">
        <f>RawData!G1083</f>
        <v>494 Main St</v>
      </c>
      <c r="H1083" s="7" t="str">
        <f>RawData!H1083</f>
        <v>Credit Card</v>
      </c>
      <c r="I1083" s="7" t="str">
        <f>RawData!I1083</f>
        <v>Pending</v>
      </c>
      <c r="J1083" s="7" t="str">
        <f>RawData!J1083</f>
        <v>TRK85897054</v>
      </c>
      <c r="K1083" s="7">
        <f>RawData!K1083</f>
        <v>5</v>
      </c>
      <c r="L1083" s="7" t="str">
        <f>IF(RawData!L1083="","No Coupon",RawData!L1083)</f>
        <v>FREESHIP</v>
      </c>
      <c r="M1083" s="7" t="str">
        <f>RawData!M1083</f>
        <v>Google</v>
      </c>
      <c r="N1083" s="7">
        <f>RawData!N1083</f>
        <v>1702.4</v>
      </c>
    </row>
    <row r="1084" spans="1:14" x14ac:dyDescent="0.3">
      <c r="A1084" s="7" t="str">
        <f>RawData!A1084</f>
        <v>ORD201082</v>
      </c>
      <c r="B1084" s="11">
        <f>RawData!B1084</f>
        <v>45205</v>
      </c>
      <c r="C1084" s="7" t="str">
        <f>RawData!C1084</f>
        <v>C96595</v>
      </c>
      <c r="D1084" s="7" t="str">
        <f>RawData!D1084</f>
        <v>Chair</v>
      </c>
      <c r="E1084" s="7">
        <f>RawData!E1084</f>
        <v>3</v>
      </c>
      <c r="F1084" s="7">
        <f>RawData!F1084</f>
        <v>573.22</v>
      </c>
      <c r="G1084" s="7" t="str">
        <f>RawData!G1084</f>
        <v>177 Main St</v>
      </c>
      <c r="H1084" s="7" t="str">
        <f>RawData!H1084</f>
        <v>Debit Card</v>
      </c>
      <c r="I1084" s="7" t="str">
        <f>RawData!I1084</f>
        <v>Pending</v>
      </c>
      <c r="J1084" s="7" t="str">
        <f>RawData!J1084</f>
        <v>TRK59779174</v>
      </c>
      <c r="K1084" s="7">
        <f>RawData!K1084</f>
        <v>5</v>
      </c>
      <c r="L1084" s="7" t="str">
        <f>IF(RawData!L1084="","No Coupon",RawData!L1084)</f>
        <v>SAVE10</v>
      </c>
      <c r="M1084" s="7" t="str">
        <f>RawData!M1084</f>
        <v>Email</v>
      </c>
      <c r="N1084" s="7">
        <f>RawData!N1084</f>
        <v>1719.66</v>
      </c>
    </row>
    <row r="1085" spans="1:14" x14ac:dyDescent="0.3">
      <c r="A1085" s="7" t="str">
        <f>RawData!A1085</f>
        <v>ORD201083</v>
      </c>
      <c r="B1085" s="11">
        <f>RawData!B1085</f>
        <v>45482</v>
      </c>
      <c r="C1085" s="7" t="str">
        <f>RawData!C1085</f>
        <v>C68508</v>
      </c>
      <c r="D1085" s="7" t="str">
        <f>RawData!D1085</f>
        <v>Chair</v>
      </c>
      <c r="E1085" s="7">
        <f>RawData!E1085</f>
        <v>1</v>
      </c>
      <c r="F1085" s="7">
        <f>RawData!F1085</f>
        <v>123.28</v>
      </c>
      <c r="G1085" s="7" t="str">
        <f>RawData!G1085</f>
        <v>895 Main St</v>
      </c>
      <c r="H1085" s="7" t="str">
        <f>RawData!H1085</f>
        <v>Credit Card</v>
      </c>
      <c r="I1085" s="7" t="str">
        <f>RawData!I1085</f>
        <v>Delivered</v>
      </c>
      <c r="J1085" s="7" t="str">
        <f>RawData!J1085</f>
        <v>TRK98960285</v>
      </c>
      <c r="K1085" s="7">
        <f>RawData!K1085</f>
        <v>3</v>
      </c>
      <c r="L1085" s="7" t="str">
        <f>IF(RawData!L1085="","No Coupon",RawData!L1085)</f>
        <v>SAVE10</v>
      </c>
      <c r="M1085" s="7" t="str">
        <f>RawData!M1085</f>
        <v>Email</v>
      </c>
      <c r="N1085" s="7">
        <f>RawData!N1085</f>
        <v>123.28</v>
      </c>
    </row>
    <row r="1086" spans="1:14" x14ac:dyDescent="0.3">
      <c r="A1086" s="7" t="str">
        <f>RawData!A1086</f>
        <v>ORD201084</v>
      </c>
      <c r="B1086" s="11">
        <f>RawData!B1086</f>
        <v>44934</v>
      </c>
      <c r="C1086" s="7" t="str">
        <f>RawData!C1086</f>
        <v>C45175</v>
      </c>
      <c r="D1086" s="7" t="str">
        <f>RawData!D1086</f>
        <v>Phone</v>
      </c>
      <c r="E1086" s="7">
        <f>RawData!E1086</f>
        <v>1</v>
      </c>
      <c r="F1086" s="7">
        <f>RawData!F1086</f>
        <v>70.819999999999993</v>
      </c>
      <c r="G1086" s="7" t="str">
        <f>RawData!G1086</f>
        <v>128 Main St</v>
      </c>
      <c r="H1086" s="7" t="str">
        <f>RawData!H1086</f>
        <v>Gift Card</v>
      </c>
      <c r="I1086" s="7" t="str">
        <f>RawData!I1086</f>
        <v>Pending</v>
      </c>
      <c r="J1086" s="7" t="str">
        <f>RawData!J1086</f>
        <v>TRK41792296</v>
      </c>
      <c r="K1086" s="7">
        <f>RawData!K1086</f>
        <v>1</v>
      </c>
      <c r="L1086" s="7" t="str">
        <f>IF(RawData!L1086="","No Coupon",RawData!L1086)</f>
        <v>WINTER15</v>
      </c>
      <c r="M1086" s="7" t="str">
        <f>RawData!M1086</f>
        <v>Instagram</v>
      </c>
      <c r="N1086" s="7">
        <f>RawData!N1086</f>
        <v>70.819999999999993</v>
      </c>
    </row>
    <row r="1087" spans="1:14" x14ac:dyDescent="0.3">
      <c r="A1087" s="7" t="str">
        <f>RawData!A1087</f>
        <v>ORD201085</v>
      </c>
      <c r="B1087" s="11">
        <f>RawData!B1087</f>
        <v>45067</v>
      </c>
      <c r="C1087" s="7" t="str">
        <f>RawData!C1087</f>
        <v>C28049</v>
      </c>
      <c r="D1087" s="7" t="str">
        <f>RawData!D1087</f>
        <v>Printer</v>
      </c>
      <c r="E1087" s="7">
        <f>RawData!E1087</f>
        <v>2</v>
      </c>
      <c r="F1087" s="7">
        <f>RawData!F1087</f>
        <v>646.69000000000005</v>
      </c>
      <c r="G1087" s="7" t="str">
        <f>RawData!G1087</f>
        <v>404 Main St</v>
      </c>
      <c r="H1087" s="7" t="str">
        <f>RawData!H1087</f>
        <v>Debit Card</v>
      </c>
      <c r="I1087" s="7" t="str">
        <f>RawData!I1087</f>
        <v>Shipped</v>
      </c>
      <c r="J1087" s="7" t="str">
        <f>RawData!J1087</f>
        <v>TRK91426444</v>
      </c>
      <c r="K1087" s="7">
        <f>RawData!K1087</f>
        <v>7</v>
      </c>
      <c r="L1087" s="7" t="str">
        <f>IF(RawData!L1087="","No Coupon",RawData!L1087)</f>
        <v>WINTER15</v>
      </c>
      <c r="M1087" s="7" t="str">
        <f>RawData!M1087</f>
        <v>Instagram</v>
      </c>
      <c r="N1087" s="7">
        <f>RawData!N1087</f>
        <v>1293.3800000000001</v>
      </c>
    </row>
    <row r="1088" spans="1:14" x14ac:dyDescent="0.3">
      <c r="A1088" s="7" t="str">
        <f>RawData!A1088</f>
        <v>ORD201086</v>
      </c>
      <c r="B1088" s="11">
        <f>RawData!B1088</f>
        <v>45283</v>
      </c>
      <c r="C1088" s="7" t="str">
        <f>RawData!C1088</f>
        <v>C46967</v>
      </c>
      <c r="D1088" s="7" t="str">
        <f>RawData!D1088</f>
        <v>Tablet</v>
      </c>
      <c r="E1088" s="7">
        <f>RawData!E1088</f>
        <v>2</v>
      </c>
      <c r="F1088" s="7">
        <f>RawData!F1088</f>
        <v>513.41999999999996</v>
      </c>
      <c r="G1088" s="7" t="str">
        <f>RawData!G1088</f>
        <v>401 Main St</v>
      </c>
      <c r="H1088" s="7" t="str">
        <f>RawData!H1088</f>
        <v>Online</v>
      </c>
      <c r="I1088" s="7" t="str">
        <f>RawData!I1088</f>
        <v>Pending</v>
      </c>
      <c r="J1088" s="7" t="str">
        <f>RawData!J1088</f>
        <v>TRK91439791</v>
      </c>
      <c r="K1088" s="7">
        <f>RawData!K1088</f>
        <v>5</v>
      </c>
      <c r="L1088" s="7" t="str">
        <f>IF(RawData!L1088="","No Coupon",RawData!L1088)</f>
        <v>WINTER15</v>
      </c>
      <c r="M1088" s="7" t="str">
        <f>RawData!M1088</f>
        <v>Instagram</v>
      </c>
      <c r="N1088" s="7">
        <f>RawData!N1088</f>
        <v>1026.8399999999999</v>
      </c>
    </row>
    <row r="1089" spans="1:14" x14ac:dyDescent="0.3">
      <c r="A1089" s="7" t="str">
        <f>RawData!A1089</f>
        <v>ORD201087</v>
      </c>
      <c r="B1089" s="11">
        <f>RawData!B1089</f>
        <v>45739</v>
      </c>
      <c r="C1089" s="7" t="str">
        <f>RawData!C1089</f>
        <v>C84134</v>
      </c>
      <c r="D1089" s="7" t="str">
        <f>RawData!D1089</f>
        <v>Laptop</v>
      </c>
      <c r="E1089" s="7">
        <f>RawData!E1089</f>
        <v>4</v>
      </c>
      <c r="F1089" s="7">
        <f>RawData!F1089</f>
        <v>693.07</v>
      </c>
      <c r="G1089" s="7" t="str">
        <f>RawData!G1089</f>
        <v>530 Main St</v>
      </c>
      <c r="H1089" s="7" t="str">
        <f>RawData!H1089</f>
        <v>Online</v>
      </c>
      <c r="I1089" s="7" t="str">
        <f>RawData!I1089</f>
        <v>Shipped</v>
      </c>
      <c r="J1089" s="7" t="str">
        <f>RawData!J1089</f>
        <v>TRK48659380</v>
      </c>
      <c r="K1089" s="7">
        <f>RawData!K1089</f>
        <v>8</v>
      </c>
      <c r="L1089" s="7" t="str">
        <f>IF(RawData!L1089="","No Coupon",RawData!L1089)</f>
        <v>SAVE10</v>
      </c>
      <c r="M1089" s="7" t="str">
        <f>RawData!M1089</f>
        <v>Instagram</v>
      </c>
      <c r="N1089" s="7">
        <f>RawData!N1089</f>
        <v>2772.28</v>
      </c>
    </row>
    <row r="1090" spans="1:14" x14ac:dyDescent="0.3">
      <c r="A1090" s="7" t="str">
        <f>RawData!A1090</f>
        <v>ORD201088</v>
      </c>
      <c r="B1090" s="11">
        <f>RawData!B1090</f>
        <v>45260</v>
      </c>
      <c r="C1090" s="7" t="str">
        <f>RawData!C1090</f>
        <v>C49831</v>
      </c>
      <c r="D1090" s="7" t="str">
        <f>RawData!D1090</f>
        <v>Desk</v>
      </c>
      <c r="E1090" s="7">
        <f>RawData!E1090</f>
        <v>3</v>
      </c>
      <c r="F1090" s="7">
        <f>RawData!F1090</f>
        <v>491.43</v>
      </c>
      <c r="G1090" s="7" t="str">
        <f>RawData!G1090</f>
        <v>213 Main St</v>
      </c>
      <c r="H1090" s="7" t="str">
        <f>RawData!H1090</f>
        <v>Gift Card</v>
      </c>
      <c r="I1090" s="7" t="str">
        <f>RawData!I1090</f>
        <v>Shipped</v>
      </c>
      <c r="J1090" s="7" t="str">
        <f>RawData!J1090</f>
        <v>TRK21232601</v>
      </c>
      <c r="K1090" s="7">
        <f>RawData!K1090</f>
        <v>6</v>
      </c>
      <c r="L1090" s="7" t="str">
        <f>IF(RawData!L1090="","No Coupon",RawData!L1090)</f>
        <v>WINTER15</v>
      </c>
      <c r="M1090" s="7" t="str">
        <f>RawData!M1090</f>
        <v>Instagram</v>
      </c>
      <c r="N1090" s="7">
        <f>RawData!N1090</f>
        <v>1474.29</v>
      </c>
    </row>
    <row r="1091" spans="1:14" x14ac:dyDescent="0.3">
      <c r="A1091" s="7" t="str">
        <f>RawData!A1091</f>
        <v>ORD201089</v>
      </c>
      <c r="B1091" s="11">
        <f>RawData!B1091</f>
        <v>45731</v>
      </c>
      <c r="C1091" s="7" t="str">
        <f>RawData!C1091</f>
        <v>C13324</v>
      </c>
      <c r="D1091" s="7" t="str">
        <f>RawData!D1091</f>
        <v>Tablet</v>
      </c>
      <c r="E1091" s="7">
        <f>RawData!E1091</f>
        <v>2</v>
      </c>
      <c r="F1091" s="7">
        <f>RawData!F1091</f>
        <v>599.74</v>
      </c>
      <c r="G1091" s="7" t="str">
        <f>RawData!G1091</f>
        <v>440 Main St</v>
      </c>
      <c r="H1091" s="7" t="str">
        <f>RawData!H1091</f>
        <v>Gift Card</v>
      </c>
      <c r="I1091" s="7" t="str">
        <f>RawData!I1091</f>
        <v>Shipped</v>
      </c>
      <c r="J1091" s="7" t="str">
        <f>RawData!J1091</f>
        <v>TRK66967997</v>
      </c>
      <c r="K1091" s="7">
        <f>RawData!K1091</f>
        <v>2</v>
      </c>
      <c r="L1091" s="7" t="str">
        <f>IF(RawData!L1091="","No Coupon",RawData!L1091)</f>
        <v>No Coupon</v>
      </c>
      <c r="M1091" s="7" t="str">
        <f>RawData!M1091</f>
        <v>Instagram</v>
      </c>
      <c r="N1091" s="7">
        <f>RawData!N1091</f>
        <v>1199.48</v>
      </c>
    </row>
    <row r="1092" spans="1:14" x14ac:dyDescent="0.3">
      <c r="A1092" s="7" t="str">
        <f>RawData!A1092</f>
        <v>ORD201090</v>
      </c>
      <c r="B1092" s="11">
        <f>RawData!B1092</f>
        <v>44982</v>
      </c>
      <c r="C1092" s="7" t="str">
        <f>RawData!C1092</f>
        <v>C61225</v>
      </c>
      <c r="D1092" s="7" t="str">
        <f>RawData!D1092</f>
        <v>Monitor</v>
      </c>
      <c r="E1092" s="7">
        <f>RawData!E1092</f>
        <v>2</v>
      </c>
      <c r="F1092" s="7">
        <f>RawData!F1092</f>
        <v>650.25</v>
      </c>
      <c r="G1092" s="7" t="str">
        <f>RawData!G1092</f>
        <v>996 Main St</v>
      </c>
      <c r="H1092" s="7" t="str">
        <f>RawData!H1092</f>
        <v>Gift Card</v>
      </c>
      <c r="I1092" s="7" t="str">
        <f>RawData!I1092</f>
        <v>Returned</v>
      </c>
      <c r="J1092" s="7" t="str">
        <f>RawData!J1092</f>
        <v>TRK37022954</v>
      </c>
      <c r="K1092" s="7">
        <f>RawData!K1092</f>
        <v>6</v>
      </c>
      <c r="L1092" s="7" t="str">
        <f>IF(RawData!L1092="","No Coupon",RawData!L1092)</f>
        <v>No Coupon</v>
      </c>
      <c r="M1092" s="7" t="str">
        <f>RawData!M1092</f>
        <v>Instagram</v>
      </c>
      <c r="N1092" s="7">
        <f>RawData!N1092</f>
        <v>1300.5</v>
      </c>
    </row>
    <row r="1093" spans="1:14" x14ac:dyDescent="0.3">
      <c r="A1093" s="7" t="str">
        <f>RawData!A1093</f>
        <v>ORD201091</v>
      </c>
      <c r="B1093" s="11">
        <f>RawData!B1093</f>
        <v>45573</v>
      </c>
      <c r="C1093" s="7" t="str">
        <f>RawData!C1093</f>
        <v>C16400</v>
      </c>
      <c r="D1093" s="7" t="str">
        <f>RawData!D1093</f>
        <v>Laptop</v>
      </c>
      <c r="E1093" s="7">
        <f>RawData!E1093</f>
        <v>3</v>
      </c>
      <c r="F1093" s="7">
        <f>RawData!F1093</f>
        <v>209.48</v>
      </c>
      <c r="G1093" s="7" t="str">
        <f>RawData!G1093</f>
        <v>123 Main St</v>
      </c>
      <c r="H1093" s="7" t="str">
        <f>RawData!H1093</f>
        <v>Debit Card</v>
      </c>
      <c r="I1093" s="7" t="str">
        <f>RawData!I1093</f>
        <v>Pending</v>
      </c>
      <c r="J1093" s="7" t="str">
        <f>RawData!J1093</f>
        <v>TRK57771859</v>
      </c>
      <c r="K1093" s="7">
        <f>RawData!K1093</f>
        <v>4</v>
      </c>
      <c r="L1093" s="7" t="str">
        <f>IF(RawData!L1093="","No Coupon",RawData!L1093)</f>
        <v>No Coupon</v>
      </c>
      <c r="M1093" s="7" t="str">
        <f>RawData!M1093</f>
        <v>Email</v>
      </c>
      <c r="N1093" s="7">
        <f>RawData!N1093</f>
        <v>628.44000000000005</v>
      </c>
    </row>
    <row r="1094" spans="1:14" x14ac:dyDescent="0.3">
      <c r="A1094" s="7" t="str">
        <f>RawData!A1094</f>
        <v>ORD201092</v>
      </c>
      <c r="B1094" s="11">
        <f>RawData!B1094</f>
        <v>45159</v>
      </c>
      <c r="C1094" s="7" t="str">
        <f>RawData!C1094</f>
        <v>C38642</v>
      </c>
      <c r="D1094" s="7" t="str">
        <f>RawData!D1094</f>
        <v>Laptop</v>
      </c>
      <c r="E1094" s="7">
        <f>RawData!E1094</f>
        <v>5</v>
      </c>
      <c r="F1094" s="7">
        <f>RawData!F1094</f>
        <v>209.2</v>
      </c>
      <c r="G1094" s="7" t="str">
        <f>RawData!G1094</f>
        <v>930 Main St</v>
      </c>
      <c r="H1094" s="7" t="str">
        <f>RawData!H1094</f>
        <v>Debit Card</v>
      </c>
      <c r="I1094" s="7" t="str">
        <f>RawData!I1094</f>
        <v>Delivered</v>
      </c>
      <c r="J1094" s="7" t="str">
        <f>RawData!J1094</f>
        <v>TRK47744396</v>
      </c>
      <c r="K1094" s="7">
        <f>RawData!K1094</f>
        <v>6</v>
      </c>
      <c r="L1094" s="7" t="str">
        <f>IF(RawData!L1094="","No Coupon",RawData!L1094)</f>
        <v>WINTER15</v>
      </c>
      <c r="M1094" s="7" t="str">
        <f>RawData!M1094</f>
        <v>Email</v>
      </c>
      <c r="N1094" s="7">
        <f>RawData!N1094</f>
        <v>1046</v>
      </c>
    </row>
    <row r="1095" spans="1:14" x14ac:dyDescent="0.3">
      <c r="A1095" s="7" t="str">
        <f>RawData!A1095</f>
        <v>ORD201093</v>
      </c>
      <c r="B1095" s="11">
        <f>RawData!B1095</f>
        <v>45086</v>
      </c>
      <c r="C1095" s="7" t="str">
        <f>RawData!C1095</f>
        <v>C86773</v>
      </c>
      <c r="D1095" s="7" t="str">
        <f>RawData!D1095</f>
        <v>Phone</v>
      </c>
      <c r="E1095" s="7">
        <f>RawData!E1095</f>
        <v>4</v>
      </c>
      <c r="F1095" s="7">
        <f>RawData!F1095</f>
        <v>197.36</v>
      </c>
      <c r="G1095" s="7" t="str">
        <f>RawData!G1095</f>
        <v>557 Main St</v>
      </c>
      <c r="H1095" s="7" t="str">
        <f>RawData!H1095</f>
        <v>Gift Card</v>
      </c>
      <c r="I1095" s="7" t="str">
        <f>RawData!I1095</f>
        <v>Returned</v>
      </c>
      <c r="J1095" s="7" t="str">
        <f>RawData!J1095</f>
        <v>TRK22612240</v>
      </c>
      <c r="K1095" s="7">
        <f>RawData!K1095</f>
        <v>9</v>
      </c>
      <c r="L1095" s="7" t="str">
        <f>IF(RawData!L1095="","No Coupon",RawData!L1095)</f>
        <v>FREESHIP</v>
      </c>
      <c r="M1095" s="7" t="str">
        <f>RawData!M1095</f>
        <v>Instagram</v>
      </c>
      <c r="N1095" s="7">
        <f>RawData!N1095</f>
        <v>789.44</v>
      </c>
    </row>
    <row r="1096" spans="1:14" x14ac:dyDescent="0.3">
      <c r="A1096" s="7" t="str">
        <f>RawData!A1096</f>
        <v>ORD201094</v>
      </c>
      <c r="B1096" s="11">
        <f>RawData!B1096</f>
        <v>45105</v>
      </c>
      <c r="C1096" s="7" t="str">
        <f>RawData!C1096</f>
        <v>C66093</v>
      </c>
      <c r="D1096" s="7" t="str">
        <f>RawData!D1096</f>
        <v>Printer</v>
      </c>
      <c r="E1096" s="7">
        <f>RawData!E1096</f>
        <v>4</v>
      </c>
      <c r="F1096" s="7">
        <f>RawData!F1096</f>
        <v>648.91</v>
      </c>
      <c r="G1096" s="7" t="str">
        <f>RawData!G1096</f>
        <v>615 Main St</v>
      </c>
      <c r="H1096" s="7" t="str">
        <f>RawData!H1096</f>
        <v>Credit Card</v>
      </c>
      <c r="I1096" s="7" t="str">
        <f>RawData!I1096</f>
        <v>Shipped</v>
      </c>
      <c r="J1096" s="7" t="str">
        <f>RawData!J1096</f>
        <v>TRK54950785</v>
      </c>
      <c r="K1096" s="7">
        <f>RawData!K1096</f>
        <v>6</v>
      </c>
      <c r="L1096" s="7" t="str">
        <f>IF(RawData!L1096="","No Coupon",RawData!L1096)</f>
        <v>SAVE10</v>
      </c>
      <c r="M1096" s="7" t="str">
        <f>RawData!M1096</f>
        <v>Instagram</v>
      </c>
      <c r="N1096" s="7">
        <f>RawData!N1096</f>
        <v>2595.64</v>
      </c>
    </row>
    <row r="1097" spans="1:14" x14ac:dyDescent="0.3">
      <c r="A1097" s="7" t="str">
        <f>RawData!A1097</f>
        <v>ORD201095</v>
      </c>
      <c r="B1097" s="11">
        <f>RawData!B1097</f>
        <v>45405</v>
      </c>
      <c r="C1097" s="7" t="str">
        <f>RawData!C1097</f>
        <v>C33051</v>
      </c>
      <c r="D1097" s="7" t="str">
        <f>RawData!D1097</f>
        <v>Phone</v>
      </c>
      <c r="E1097" s="7">
        <f>RawData!E1097</f>
        <v>2</v>
      </c>
      <c r="F1097" s="7">
        <f>RawData!F1097</f>
        <v>441.54</v>
      </c>
      <c r="G1097" s="7" t="str">
        <f>RawData!G1097</f>
        <v>397 Main St</v>
      </c>
      <c r="H1097" s="7" t="str">
        <f>RawData!H1097</f>
        <v>Online</v>
      </c>
      <c r="I1097" s="7" t="str">
        <f>RawData!I1097</f>
        <v>Delivered</v>
      </c>
      <c r="J1097" s="7" t="str">
        <f>RawData!J1097</f>
        <v>TRK92929755</v>
      </c>
      <c r="K1097" s="7">
        <f>RawData!K1097</f>
        <v>2</v>
      </c>
      <c r="L1097" s="7" t="str">
        <f>IF(RawData!L1097="","No Coupon",RawData!L1097)</f>
        <v>SAVE10</v>
      </c>
      <c r="M1097" s="7" t="str">
        <f>RawData!M1097</f>
        <v>Email</v>
      </c>
      <c r="N1097" s="7">
        <f>RawData!N1097</f>
        <v>883.08</v>
      </c>
    </row>
    <row r="1098" spans="1:14" x14ac:dyDescent="0.3">
      <c r="A1098" s="7" t="str">
        <f>RawData!A1098</f>
        <v>ORD201096</v>
      </c>
      <c r="B1098" s="11">
        <f>RawData!B1098</f>
        <v>45780</v>
      </c>
      <c r="C1098" s="7" t="str">
        <f>RawData!C1098</f>
        <v>C18169</v>
      </c>
      <c r="D1098" s="7" t="str">
        <f>RawData!D1098</f>
        <v>Tablet</v>
      </c>
      <c r="E1098" s="7">
        <f>RawData!E1098</f>
        <v>2</v>
      </c>
      <c r="F1098" s="7">
        <f>RawData!F1098</f>
        <v>464.92</v>
      </c>
      <c r="G1098" s="7" t="str">
        <f>RawData!G1098</f>
        <v>782 Main St</v>
      </c>
      <c r="H1098" s="7" t="str">
        <f>RawData!H1098</f>
        <v>Debit Card</v>
      </c>
      <c r="I1098" s="7" t="str">
        <f>RawData!I1098</f>
        <v>Returned</v>
      </c>
      <c r="J1098" s="7" t="str">
        <f>RawData!J1098</f>
        <v>TRK49482923</v>
      </c>
      <c r="K1098" s="7">
        <f>RawData!K1098</f>
        <v>2</v>
      </c>
      <c r="L1098" s="7" t="str">
        <f>IF(RawData!L1098="","No Coupon",RawData!L1098)</f>
        <v>No Coupon</v>
      </c>
      <c r="M1098" s="7" t="str">
        <f>RawData!M1098</f>
        <v>Facebook</v>
      </c>
      <c r="N1098" s="7">
        <f>RawData!N1098</f>
        <v>929.84</v>
      </c>
    </row>
    <row r="1099" spans="1:14" x14ac:dyDescent="0.3">
      <c r="A1099" s="7" t="str">
        <f>RawData!A1099</f>
        <v>ORD201097</v>
      </c>
      <c r="B1099" s="11">
        <f>RawData!B1099</f>
        <v>45652</v>
      </c>
      <c r="C1099" s="7" t="str">
        <f>RawData!C1099</f>
        <v>C81370</v>
      </c>
      <c r="D1099" s="7" t="str">
        <f>RawData!D1099</f>
        <v>Monitor</v>
      </c>
      <c r="E1099" s="7">
        <f>RawData!E1099</f>
        <v>5</v>
      </c>
      <c r="F1099" s="7">
        <f>RawData!F1099</f>
        <v>506.45</v>
      </c>
      <c r="G1099" s="7" t="str">
        <f>RawData!G1099</f>
        <v>344 Main St</v>
      </c>
      <c r="H1099" s="7" t="str">
        <f>RawData!H1099</f>
        <v>Gift Card</v>
      </c>
      <c r="I1099" s="7" t="str">
        <f>RawData!I1099</f>
        <v>Shipped</v>
      </c>
      <c r="J1099" s="7" t="str">
        <f>RawData!J1099</f>
        <v>TRK99682998</v>
      </c>
      <c r="K1099" s="7">
        <f>RawData!K1099</f>
        <v>7</v>
      </c>
      <c r="L1099" s="7" t="str">
        <f>IF(RawData!L1099="","No Coupon",RawData!L1099)</f>
        <v>WINTER15</v>
      </c>
      <c r="M1099" s="7" t="str">
        <f>RawData!M1099</f>
        <v>Google</v>
      </c>
      <c r="N1099" s="7">
        <f>RawData!N1099</f>
        <v>2532.25</v>
      </c>
    </row>
    <row r="1100" spans="1:14" x14ac:dyDescent="0.3">
      <c r="A1100" s="7" t="str">
        <f>RawData!A1100</f>
        <v>ORD201098</v>
      </c>
      <c r="B1100" s="11">
        <f>RawData!B1100</f>
        <v>45094</v>
      </c>
      <c r="C1100" s="7" t="str">
        <f>RawData!C1100</f>
        <v>C91103</v>
      </c>
      <c r="D1100" s="7" t="str">
        <f>RawData!D1100</f>
        <v>Monitor</v>
      </c>
      <c r="E1100" s="7">
        <f>RawData!E1100</f>
        <v>4</v>
      </c>
      <c r="F1100" s="7">
        <f>RawData!F1100</f>
        <v>255.86</v>
      </c>
      <c r="G1100" s="7" t="str">
        <f>RawData!G1100</f>
        <v>155 Main St</v>
      </c>
      <c r="H1100" s="7" t="str">
        <f>RawData!H1100</f>
        <v>Credit Card</v>
      </c>
      <c r="I1100" s="7" t="str">
        <f>RawData!I1100</f>
        <v>Delivered</v>
      </c>
      <c r="J1100" s="7" t="str">
        <f>RawData!J1100</f>
        <v>TRK91653000</v>
      </c>
      <c r="K1100" s="7">
        <f>RawData!K1100</f>
        <v>7</v>
      </c>
      <c r="L1100" s="7" t="str">
        <f>IF(RawData!L1100="","No Coupon",RawData!L1100)</f>
        <v>No Coupon</v>
      </c>
      <c r="M1100" s="7" t="str">
        <f>RawData!M1100</f>
        <v>Email</v>
      </c>
      <c r="N1100" s="7">
        <f>RawData!N1100</f>
        <v>1023.44</v>
      </c>
    </row>
    <row r="1101" spans="1:14" x14ac:dyDescent="0.3">
      <c r="A1101" s="7" t="str">
        <f>RawData!A1101</f>
        <v>ORD201099</v>
      </c>
      <c r="B1101" s="11">
        <f>RawData!B1101</f>
        <v>45554</v>
      </c>
      <c r="C1101" s="7" t="str">
        <f>RawData!C1101</f>
        <v>C21953</v>
      </c>
      <c r="D1101" s="7" t="str">
        <f>RawData!D1101</f>
        <v>Laptop</v>
      </c>
      <c r="E1101" s="7">
        <f>RawData!E1101</f>
        <v>2</v>
      </c>
      <c r="F1101" s="7">
        <f>RawData!F1101</f>
        <v>125.23</v>
      </c>
      <c r="G1101" s="7" t="str">
        <f>RawData!G1101</f>
        <v>272 Main St</v>
      </c>
      <c r="H1101" s="7" t="str">
        <f>RawData!H1101</f>
        <v>Cash</v>
      </c>
      <c r="I1101" s="7" t="str">
        <f>RawData!I1101</f>
        <v>Cancelled</v>
      </c>
      <c r="J1101" s="7" t="str">
        <f>RawData!J1101</f>
        <v>TRK60774796</v>
      </c>
      <c r="K1101" s="7">
        <f>RawData!K1101</f>
        <v>3</v>
      </c>
      <c r="L1101" s="7" t="str">
        <f>IF(RawData!L1101="","No Coupon",RawData!L1101)</f>
        <v>FREESHIP</v>
      </c>
      <c r="M1101" s="7" t="str">
        <f>RawData!M1101</f>
        <v>Email</v>
      </c>
      <c r="N1101" s="7">
        <f>RawData!N1101</f>
        <v>250.46</v>
      </c>
    </row>
    <row r="1102" spans="1:14" x14ac:dyDescent="0.3">
      <c r="A1102" s="7" t="str">
        <f>RawData!A1102</f>
        <v>ORD201100</v>
      </c>
      <c r="B1102" s="11">
        <f>RawData!B1102</f>
        <v>45155</v>
      </c>
      <c r="C1102" s="7" t="str">
        <f>RawData!C1102</f>
        <v>C15146</v>
      </c>
      <c r="D1102" s="7" t="str">
        <f>RawData!D1102</f>
        <v>Laptop</v>
      </c>
      <c r="E1102" s="7">
        <f>RawData!E1102</f>
        <v>5</v>
      </c>
      <c r="F1102" s="7">
        <f>RawData!F1102</f>
        <v>38.11</v>
      </c>
      <c r="G1102" s="7" t="str">
        <f>RawData!G1102</f>
        <v>428 Main St</v>
      </c>
      <c r="H1102" s="7" t="str">
        <f>RawData!H1102</f>
        <v>Debit Card</v>
      </c>
      <c r="I1102" s="7" t="str">
        <f>RawData!I1102</f>
        <v>Cancelled</v>
      </c>
      <c r="J1102" s="7" t="str">
        <f>RawData!J1102</f>
        <v>TRK79790530</v>
      </c>
      <c r="K1102" s="7">
        <f>RawData!K1102</f>
        <v>6</v>
      </c>
      <c r="L1102" s="7" t="str">
        <f>IF(RawData!L1102="","No Coupon",RawData!L1102)</f>
        <v>WINTER15</v>
      </c>
      <c r="M1102" s="7" t="str">
        <f>RawData!M1102</f>
        <v>Instagram</v>
      </c>
      <c r="N1102" s="7">
        <f>RawData!N1102</f>
        <v>190.55</v>
      </c>
    </row>
    <row r="1103" spans="1:14" x14ac:dyDescent="0.3">
      <c r="A1103" s="7" t="str">
        <f>RawData!A1103</f>
        <v>ORD201101</v>
      </c>
      <c r="B1103" s="11">
        <f>RawData!B1103</f>
        <v>45816</v>
      </c>
      <c r="C1103" s="7" t="str">
        <f>RawData!C1103</f>
        <v>C43546</v>
      </c>
      <c r="D1103" s="7" t="str">
        <f>RawData!D1103</f>
        <v>Monitor</v>
      </c>
      <c r="E1103" s="7">
        <f>RawData!E1103</f>
        <v>3</v>
      </c>
      <c r="F1103" s="7">
        <f>RawData!F1103</f>
        <v>161.97</v>
      </c>
      <c r="G1103" s="7" t="str">
        <f>RawData!G1103</f>
        <v>904 Main St</v>
      </c>
      <c r="H1103" s="7" t="str">
        <f>RawData!H1103</f>
        <v>Cash</v>
      </c>
      <c r="I1103" s="7" t="str">
        <f>RawData!I1103</f>
        <v>Pending</v>
      </c>
      <c r="J1103" s="7" t="str">
        <f>RawData!J1103</f>
        <v>TRK85871121</v>
      </c>
      <c r="K1103" s="7">
        <f>RawData!K1103</f>
        <v>4</v>
      </c>
      <c r="L1103" s="7" t="str">
        <f>IF(RawData!L1103="","No Coupon",RawData!L1103)</f>
        <v>SAVE10</v>
      </c>
      <c r="M1103" s="7" t="str">
        <f>RawData!M1103</f>
        <v>Email</v>
      </c>
      <c r="N1103" s="7">
        <f>RawData!N1103</f>
        <v>485.91</v>
      </c>
    </row>
    <row r="1104" spans="1:14" x14ac:dyDescent="0.3">
      <c r="A1104" s="7" t="str">
        <f>RawData!A1104</f>
        <v>ORD201102</v>
      </c>
      <c r="B1104" s="11">
        <f>RawData!B1104</f>
        <v>45446</v>
      </c>
      <c r="C1104" s="7" t="str">
        <f>RawData!C1104</f>
        <v>C98474</v>
      </c>
      <c r="D1104" s="7" t="str">
        <f>RawData!D1104</f>
        <v>Chair</v>
      </c>
      <c r="E1104" s="7">
        <f>RawData!E1104</f>
        <v>4</v>
      </c>
      <c r="F1104" s="7">
        <f>RawData!F1104</f>
        <v>347.17</v>
      </c>
      <c r="G1104" s="7" t="str">
        <f>RawData!G1104</f>
        <v>997 Main St</v>
      </c>
      <c r="H1104" s="7" t="str">
        <f>RawData!H1104</f>
        <v>Debit Card</v>
      </c>
      <c r="I1104" s="7" t="str">
        <f>RawData!I1104</f>
        <v>Shipped</v>
      </c>
      <c r="J1104" s="7" t="str">
        <f>RawData!J1104</f>
        <v>TRK86192984</v>
      </c>
      <c r="K1104" s="7">
        <f>RawData!K1104</f>
        <v>8</v>
      </c>
      <c r="L1104" s="7" t="str">
        <f>IF(RawData!L1104="","No Coupon",RawData!L1104)</f>
        <v>No Coupon</v>
      </c>
      <c r="M1104" s="7" t="str">
        <f>RawData!M1104</f>
        <v>Instagram</v>
      </c>
      <c r="N1104" s="7">
        <f>RawData!N1104</f>
        <v>1388.68</v>
      </c>
    </row>
    <row r="1105" spans="1:14" x14ac:dyDescent="0.3">
      <c r="A1105" s="7" t="str">
        <f>RawData!A1105</f>
        <v>ORD201103</v>
      </c>
      <c r="B1105" s="11">
        <f>RawData!B1105</f>
        <v>45040</v>
      </c>
      <c r="C1105" s="7" t="str">
        <f>RawData!C1105</f>
        <v>C90292</v>
      </c>
      <c r="D1105" s="7" t="str">
        <f>RawData!D1105</f>
        <v>Laptop</v>
      </c>
      <c r="E1105" s="7">
        <f>RawData!E1105</f>
        <v>4</v>
      </c>
      <c r="F1105" s="7">
        <f>RawData!F1105</f>
        <v>276.32</v>
      </c>
      <c r="G1105" s="7" t="str">
        <f>RawData!G1105</f>
        <v>129 Main St</v>
      </c>
      <c r="H1105" s="7" t="str">
        <f>RawData!H1105</f>
        <v>Online</v>
      </c>
      <c r="I1105" s="7" t="str">
        <f>RawData!I1105</f>
        <v>Delivered</v>
      </c>
      <c r="J1105" s="7" t="str">
        <f>RawData!J1105</f>
        <v>TRK26270357</v>
      </c>
      <c r="K1105" s="7">
        <f>RawData!K1105</f>
        <v>5</v>
      </c>
      <c r="L1105" s="7" t="str">
        <f>IF(RawData!L1105="","No Coupon",RawData!L1105)</f>
        <v>No Coupon</v>
      </c>
      <c r="M1105" s="7" t="str">
        <f>RawData!M1105</f>
        <v>Google</v>
      </c>
      <c r="N1105" s="7">
        <f>RawData!N1105</f>
        <v>1105.28</v>
      </c>
    </row>
    <row r="1106" spans="1:14" x14ac:dyDescent="0.3">
      <c r="A1106" s="7" t="str">
        <f>RawData!A1106</f>
        <v>ORD201104</v>
      </c>
      <c r="B1106" s="11">
        <f>RawData!B1106</f>
        <v>45498</v>
      </c>
      <c r="C1106" s="7" t="str">
        <f>RawData!C1106</f>
        <v>C17075</v>
      </c>
      <c r="D1106" s="7" t="str">
        <f>RawData!D1106</f>
        <v>Tablet</v>
      </c>
      <c r="E1106" s="7">
        <f>RawData!E1106</f>
        <v>4</v>
      </c>
      <c r="F1106" s="7">
        <f>RawData!F1106</f>
        <v>314.76</v>
      </c>
      <c r="G1106" s="7" t="str">
        <f>RawData!G1106</f>
        <v>850 Main St</v>
      </c>
      <c r="H1106" s="7" t="str">
        <f>RawData!H1106</f>
        <v>Online</v>
      </c>
      <c r="I1106" s="7" t="str">
        <f>RawData!I1106</f>
        <v>Shipped</v>
      </c>
      <c r="J1106" s="7" t="str">
        <f>RawData!J1106</f>
        <v>TRK63547510</v>
      </c>
      <c r="K1106" s="7">
        <f>RawData!K1106</f>
        <v>8</v>
      </c>
      <c r="L1106" s="7" t="str">
        <f>IF(RawData!L1106="","No Coupon",RawData!L1106)</f>
        <v>No Coupon</v>
      </c>
      <c r="M1106" s="7" t="str">
        <f>RawData!M1106</f>
        <v>Instagram</v>
      </c>
      <c r="N1106" s="7">
        <f>RawData!N1106</f>
        <v>1259.04</v>
      </c>
    </row>
    <row r="1107" spans="1:14" x14ac:dyDescent="0.3">
      <c r="A1107" s="7" t="str">
        <f>RawData!A1107</f>
        <v>ORD201105</v>
      </c>
      <c r="B1107" s="11">
        <f>RawData!B1107</f>
        <v>45299</v>
      </c>
      <c r="C1107" s="7" t="str">
        <f>RawData!C1107</f>
        <v>C12487</v>
      </c>
      <c r="D1107" s="7" t="str">
        <f>RawData!D1107</f>
        <v>Tablet</v>
      </c>
      <c r="E1107" s="7">
        <f>RawData!E1107</f>
        <v>3</v>
      </c>
      <c r="F1107" s="7">
        <f>RawData!F1107</f>
        <v>475.69</v>
      </c>
      <c r="G1107" s="7" t="str">
        <f>RawData!G1107</f>
        <v>884 Main St</v>
      </c>
      <c r="H1107" s="7" t="str">
        <f>RawData!H1107</f>
        <v>Gift Card</v>
      </c>
      <c r="I1107" s="7" t="str">
        <f>RawData!I1107</f>
        <v>Cancelled</v>
      </c>
      <c r="J1107" s="7" t="str">
        <f>RawData!J1107</f>
        <v>TRK23324770</v>
      </c>
      <c r="K1107" s="7">
        <f>RawData!K1107</f>
        <v>3</v>
      </c>
      <c r="L1107" s="7" t="str">
        <f>IF(RawData!L1107="","No Coupon",RawData!L1107)</f>
        <v>FREESHIP</v>
      </c>
      <c r="M1107" s="7" t="str">
        <f>RawData!M1107</f>
        <v>Google</v>
      </c>
      <c r="N1107" s="7">
        <f>RawData!N1107</f>
        <v>1427.07</v>
      </c>
    </row>
    <row r="1108" spans="1:14" x14ac:dyDescent="0.3">
      <c r="A1108" s="7" t="str">
        <f>RawData!A1108</f>
        <v>ORD201106</v>
      </c>
      <c r="B1108" s="11">
        <f>RawData!B1108</f>
        <v>44997</v>
      </c>
      <c r="C1108" s="7" t="str">
        <f>RawData!C1108</f>
        <v>C34555</v>
      </c>
      <c r="D1108" s="7" t="str">
        <f>RawData!D1108</f>
        <v>Chair</v>
      </c>
      <c r="E1108" s="7">
        <f>RawData!E1108</f>
        <v>1</v>
      </c>
      <c r="F1108" s="7">
        <f>RawData!F1108</f>
        <v>372.8</v>
      </c>
      <c r="G1108" s="7" t="str">
        <f>RawData!G1108</f>
        <v>903 Main St</v>
      </c>
      <c r="H1108" s="7" t="str">
        <f>RawData!H1108</f>
        <v>Cash</v>
      </c>
      <c r="I1108" s="7" t="str">
        <f>RawData!I1108</f>
        <v>Cancelled</v>
      </c>
      <c r="J1108" s="7" t="str">
        <f>RawData!J1108</f>
        <v>TRK72859458</v>
      </c>
      <c r="K1108" s="7">
        <f>RawData!K1108</f>
        <v>6</v>
      </c>
      <c r="L1108" s="7" t="str">
        <f>IF(RawData!L1108="","No Coupon",RawData!L1108)</f>
        <v>SAVE10</v>
      </c>
      <c r="M1108" s="7" t="str">
        <f>RawData!M1108</f>
        <v>Facebook</v>
      </c>
      <c r="N1108" s="7">
        <f>RawData!N1108</f>
        <v>372.8</v>
      </c>
    </row>
    <row r="1109" spans="1:14" x14ac:dyDescent="0.3">
      <c r="A1109" s="7" t="str">
        <f>RawData!A1109</f>
        <v>ORD201107</v>
      </c>
      <c r="B1109" s="11">
        <f>RawData!B1109</f>
        <v>45838</v>
      </c>
      <c r="C1109" s="7" t="str">
        <f>RawData!C1109</f>
        <v>C25110</v>
      </c>
      <c r="D1109" s="7" t="str">
        <f>RawData!D1109</f>
        <v>Tablet</v>
      </c>
      <c r="E1109" s="7">
        <f>RawData!E1109</f>
        <v>2</v>
      </c>
      <c r="F1109" s="7">
        <f>RawData!F1109</f>
        <v>63.21</v>
      </c>
      <c r="G1109" s="7" t="str">
        <f>RawData!G1109</f>
        <v>282 Main St</v>
      </c>
      <c r="H1109" s="7" t="str">
        <f>RawData!H1109</f>
        <v>Online</v>
      </c>
      <c r="I1109" s="7" t="str">
        <f>RawData!I1109</f>
        <v>Cancelled</v>
      </c>
      <c r="J1109" s="7" t="str">
        <f>RawData!J1109</f>
        <v>TRK80963328</v>
      </c>
      <c r="K1109" s="7">
        <f>RawData!K1109</f>
        <v>4</v>
      </c>
      <c r="L1109" s="7" t="str">
        <f>IF(RawData!L1109="","No Coupon",RawData!L1109)</f>
        <v>SAVE10</v>
      </c>
      <c r="M1109" s="7" t="str">
        <f>RawData!M1109</f>
        <v>Google</v>
      </c>
      <c r="N1109" s="7">
        <f>RawData!N1109</f>
        <v>126.42</v>
      </c>
    </row>
    <row r="1110" spans="1:14" x14ac:dyDescent="0.3">
      <c r="A1110" s="7" t="str">
        <f>RawData!A1110</f>
        <v>ORD201108</v>
      </c>
      <c r="B1110" s="11">
        <f>RawData!B1110</f>
        <v>45005</v>
      </c>
      <c r="C1110" s="7" t="str">
        <f>RawData!C1110</f>
        <v>C35136</v>
      </c>
      <c r="D1110" s="7" t="str">
        <f>RawData!D1110</f>
        <v>Laptop</v>
      </c>
      <c r="E1110" s="7">
        <f>RawData!E1110</f>
        <v>1</v>
      </c>
      <c r="F1110" s="7">
        <f>RawData!F1110</f>
        <v>634.94000000000005</v>
      </c>
      <c r="G1110" s="7" t="str">
        <f>RawData!G1110</f>
        <v>462 Main St</v>
      </c>
      <c r="H1110" s="7" t="str">
        <f>RawData!H1110</f>
        <v>Online</v>
      </c>
      <c r="I1110" s="7" t="str">
        <f>RawData!I1110</f>
        <v>Cancelled</v>
      </c>
      <c r="J1110" s="7" t="str">
        <f>RawData!J1110</f>
        <v>TRK49753703</v>
      </c>
      <c r="K1110" s="7">
        <f>RawData!K1110</f>
        <v>5</v>
      </c>
      <c r="L1110" s="7" t="str">
        <f>IF(RawData!L1110="","No Coupon",RawData!L1110)</f>
        <v>WINTER15</v>
      </c>
      <c r="M1110" s="7" t="str">
        <f>RawData!M1110</f>
        <v>Instagram</v>
      </c>
      <c r="N1110" s="7">
        <f>RawData!N1110</f>
        <v>634.94000000000005</v>
      </c>
    </row>
    <row r="1111" spans="1:14" x14ac:dyDescent="0.3">
      <c r="A1111" s="7" t="str">
        <f>RawData!A1111</f>
        <v>ORD201109</v>
      </c>
      <c r="B1111" s="11">
        <f>RawData!B1111</f>
        <v>45390</v>
      </c>
      <c r="C1111" s="7" t="str">
        <f>RawData!C1111</f>
        <v>C62277</v>
      </c>
      <c r="D1111" s="7" t="str">
        <f>RawData!D1111</f>
        <v>Printer</v>
      </c>
      <c r="E1111" s="7">
        <f>RawData!E1111</f>
        <v>4</v>
      </c>
      <c r="F1111" s="7">
        <f>RawData!F1111</f>
        <v>77.47</v>
      </c>
      <c r="G1111" s="7" t="str">
        <f>RawData!G1111</f>
        <v>474 Main St</v>
      </c>
      <c r="H1111" s="7" t="str">
        <f>RawData!H1111</f>
        <v>Gift Card</v>
      </c>
      <c r="I1111" s="7" t="str">
        <f>RawData!I1111</f>
        <v>Returned</v>
      </c>
      <c r="J1111" s="7" t="str">
        <f>RawData!J1111</f>
        <v>TRK32026174</v>
      </c>
      <c r="K1111" s="7">
        <f>RawData!K1111</f>
        <v>7</v>
      </c>
      <c r="L1111" s="7" t="str">
        <f>IF(RawData!L1111="","No Coupon",RawData!L1111)</f>
        <v>SAVE10</v>
      </c>
      <c r="M1111" s="7" t="str">
        <f>RawData!M1111</f>
        <v>Instagram</v>
      </c>
      <c r="N1111" s="7">
        <f>RawData!N1111</f>
        <v>309.88</v>
      </c>
    </row>
    <row r="1112" spans="1:14" x14ac:dyDescent="0.3">
      <c r="A1112" s="7" t="str">
        <f>RawData!A1112</f>
        <v>ORD201110</v>
      </c>
      <c r="B1112" s="11">
        <f>RawData!B1112</f>
        <v>45347</v>
      </c>
      <c r="C1112" s="7" t="str">
        <f>RawData!C1112</f>
        <v>C12472</v>
      </c>
      <c r="D1112" s="7" t="str">
        <f>RawData!D1112</f>
        <v>Chair</v>
      </c>
      <c r="E1112" s="7">
        <f>RawData!E1112</f>
        <v>3</v>
      </c>
      <c r="F1112" s="7">
        <f>RawData!F1112</f>
        <v>84.31</v>
      </c>
      <c r="G1112" s="7" t="str">
        <f>RawData!G1112</f>
        <v>912 Main St</v>
      </c>
      <c r="H1112" s="7" t="str">
        <f>RawData!H1112</f>
        <v>Credit Card</v>
      </c>
      <c r="I1112" s="7" t="str">
        <f>RawData!I1112</f>
        <v>Shipped</v>
      </c>
      <c r="J1112" s="7" t="str">
        <f>RawData!J1112</f>
        <v>TRK36103184</v>
      </c>
      <c r="K1112" s="7">
        <f>RawData!K1112</f>
        <v>3</v>
      </c>
      <c r="L1112" s="7" t="str">
        <f>IF(RawData!L1112="","No Coupon",RawData!L1112)</f>
        <v>SAVE10</v>
      </c>
      <c r="M1112" s="7" t="str">
        <f>RawData!M1112</f>
        <v>Email</v>
      </c>
      <c r="N1112" s="7">
        <f>RawData!N1112</f>
        <v>252.93</v>
      </c>
    </row>
    <row r="1113" spans="1:14" x14ac:dyDescent="0.3">
      <c r="A1113" s="7" t="str">
        <f>RawData!A1113</f>
        <v>ORD201111</v>
      </c>
      <c r="B1113" s="11">
        <f>RawData!B1113</f>
        <v>45052</v>
      </c>
      <c r="C1113" s="7" t="str">
        <f>RawData!C1113</f>
        <v>C24047</v>
      </c>
      <c r="D1113" s="7" t="str">
        <f>RawData!D1113</f>
        <v>Monitor</v>
      </c>
      <c r="E1113" s="7">
        <f>RawData!E1113</f>
        <v>4</v>
      </c>
      <c r="F1113" s="7">
        <f>RawData!F1113</f>
        <v>234.45</v>
      </c>
      <c r="G1113" s="7" t="str">
        <f>RawData!G1113</f>
        <v>362 Main St</v>
      </c>
      <c r="H1113" s="7" t="str">
        <f>RawData!H1113</f>
        <v>Online</v>
      </c>
      <c r="I1113" s="7" t="str">
        <f>RawData!I1113</f>
        <v>Cancelled</v>
      </c>
      <c r="J1113" s="7" t="str">
        <f>RawData!J1113</f>
        <v>TRK91338580</v>
      </c>
      <c r="K1113" s="7">
        <f>RawData!K1113</f>
        <v>9</v>
      </c>
      <c r="L1113" s="7" t="str">
        <f>IF(RawData!L1113="","No Coupon",RawData!L1113)</f>
        <v>FREESHIP</v>
      </c>
      <c r="M1113" s="7" t="str">
        <f>RawData!M1113</f>
        <v>Instagram</v>
      </c>
      <c r="N1113" s="7">
        <f>RawData!N1113</f>
        <v>937.8</v>
      </c>
    </row>
    <row r="1114" spans="1:14" x14ac:dyDescent="0.3">
      <c r="A1114" s="7" t="str">
        <f>RawData!A1114</f>
        <v>ORD201112</v>
      </c>
      <c r="B1114" s="11">
        <f>RawData!B1114</f>
        <v>45212</v>
      </c>
      <c r="C1114" s="7" t="str">
        <f>RawData!C1114</f>
        <v>C76929</v>
      </c>
      <c r="D1114" s="7" t="str">
        <f>RawData!D1114</f>
        <v>Desk</v>
      </c>
      <c r="E1114" s="7">
        <f>RawData!E1114</f>
        <v>1</v>
      </c>
      <c r="F1114" s="7">
        <f>RawData!F1114</f>
        <v>356.81</v>
      </c>
      <c r="G1114" s="7" t="str">
        <f>RawData!G1114</f>
        <v>563 Main St</v>
      </c>
      <c r="H1114" s="7" t="str">
        <f>RawData!H1114</f>
        <v>Online</v>
      </c>
      <c r="I1114" s="7" t="str">
        <f>RawData!I1114</f>
        <v>Delivered</v>
      </c>
      <c r="J1114" s="7" t="str">
        <f>RawData!J1114</f>
        <v>TRK80694400</v>
      </c>
      <c r="K1114" s="7">
        <f>RawData!K1114</f>
        <v>1</v>
      </c>
      <c r="L1114" s="7" t="str">
        <f>IF(RawData!L1114="","No Coupon",RawData!L1114)</f>
        <v>WINTER15</v>
      </c>
      <c r="M1114" s="7" t="str">
        <f>RawData!M1114</f>
        <v>Instagram</v>
      </c>
      <c r="N1114" s="7">
        <f>RawData!N1114</f>
        <v>356.81</v>
      </c>
    </row>
    <row r="1115" spans="1:14" x14ac:dyDescent="0.3">
      <c r="A1115" s="7" t="str">
        <f>RawData!A1115</f>
        <v>ORD201113</v>
      </c>
      <c r="B1115" s="11">
        <f>RawData!B1115</f>
        <v>45004</v>
      </c>
      <c r="C1115" s="7" t="str">
        <f>RawData!C1115</f>
        <v>C52914</v>
      </c>
      <c r="D1115" s="7" t="str">
        <f>RawData!D1115</f>
        <v>Desk</v>
      </c>
      <c r="E1115" s="7">
        <f>RawData!E1115</f>
        <v>4</v>
      </c>
      <c r="F1115" s="7">
        <f>RawData!F1115</f>
        <v>209.99</v>
      </c>
      <c r="G1115" s="7" t="str">
        <f>RawData!G1115</f>
        <v>168 Main St</v>
      </c>
      <c r="H1115" s="7" t="str">
        <f>RawData!H1115</f>
        <v>Cash</v>
      </c>
      <c r="I1115" s="7" t="str">
        <f>RawData!I1115</f>
        <v>Delivered</v>
      </c>
      <c r="J1115" s="7" t="str">
        <f>RawData!J1115</f>
        <v>TRK80819053</v>
      </c>
      <c r="K1115" s="7">
        <f>RawData!K1115</f>
        <v>8</v>
      </c>
      <c r="L1115" s="7" t="str">
        <f>IF(RawData!L1115="","No Coupon",RawData!L1115)</f>
        <v>No Coupon</v>
      </c>
      <c r="M1115" s="7" t="str">
        <f>RawData!M1115</f>
        <v>Google</v>
      </c>
      <c r="N1115" s="7">
        <f>RawData!N1115</f>
        <v>839.96</v>
      </c>
    </row>
    <row r="1116" spans="1:14" x14ac:dyDescent="0.3">
      <c r="A1116" s="7" t="str">
        <f>RawData!A1116</f>
        <v>ORD201114</v>
      </c>
      <c r="B1116" s="11">
        <f>RawData!B1116</f>
        <v>45001</v>
      </c>
      <c r="C1116" s="7" t="str">
        <f>RawData!C1116</f>
        <v>C55164</v>
      </c>
      <c r="D1116" s="7" t="str">
        <f>RawData!D1116</f>
        <v>Tablet</v>
      </c>
      <c r="E1116" s="7">
        <f>RawData!E1116</f>
        <v>3</v>
      </c>
      <c r="F1116" s="7">
        <f>RawData!F1116</f>
        <v>659.88</v>
      </c>
      <c r="G1116" s="7" t="str">
        <f>RawData!G1116</f>
        <v>609 Main St</v>
      </c>
      <c r="H1116" s="7" t="str">
        <f>RawData!H1116</f>
        <v>Gift Card</v>
      </c>
      <c r="I1116" s="7" t="str">
        <f>RawData!I1116</f>
        <v>Cancelled</v>
      </c>
      <c r="J1116" s="7" t="str">
        <f>RawData!J1116</f>
        <v>TRK79610967</v>
      </c>
      <c r="K1116" s="7">
        <f>RawData!K1116</f>
        <v>3</v>
      </c>
      <c r="L1116" s="7" t="str">
        <f>IF(RawData!L1116="","No Coupon",RawData!L1116)</f>
        <v>No Coupon</v>
      </c>
      <c r="M1116" s="7" t="str">
        <f>RawData!M1116</f>
        <v>Google</v>
      </c>
      <c r="N1116" s="7">
        <f>RawData!N1116</f>
        <v>1979.64</v>
      </c>
    </row>
    <row r="1117" spans="1:14" x14ac:dyDescent="0.3">
      <c r="A1117" s="7" t="str">
        <f>RawData!A1117</f>
        <v>ORD201115</v>
      </c>
      <c r="B1117" s="11">
        <f>RawData!B1117</f>
        <v>45828</v>
      </c>
      <c r="C1117" s="7" t="str">
        <f>RawData!C1117</f>
        <v>C70426</v>
      </c>
      <c r="D1117" s="7" t="str">
        <f>RawData!D1117</f>
        <v>Laptop</v>
      </c>
      <c r="E1117" s="7">
        <f>RawData!E1117</f>
        <v>2</v>
      </c>
      <c r="F1117" s="7">
        <f>RawData!F1117</f>
        <v>336.32</v>
      </c>
      <c r="G1117" s="7" t="str">
        <f>RawData!G1117</f>
        <v>562 Main St</v>
      </c>
      <c r="H1117" s="7" t="str">
        <f>RawData!H1117</f>
        <v>Online</v>
      </c>
      <c r="I1117" s="7" t="str">
        <f>RawData!I1117</f>
        <v>Returned</v>
      </c>
      <c r="J1117" s="7" t="str">
        <f>RawData!J1117</f>
        <v>TRK89687816</v>
      </c>
      <c r="K1117" s="7">
        <f>RawData!K1117</f>
        <v>3</v>
      </c>
      <c r="L1117" s="7" t="str">
        <f>IF(RawData!L1117="","No Coupon",RawData!L1117)</f>
        <v>No Coupon</v>
      </c>
      <c r="M1117" s="7" t="str">
        <f>RawData!M1117</f>
        <v>Google</v>
      </c>
      <c r="N1117" s="7">
        <f>RawData!N1117</f>
        <v>672.64</v>
      </c>
    </row>
    <row r="1118" spans="1:14" x14ac:dyDescent="0.3">
      <c r="A1118" s="7" t="str">
        <f>RawData!A1118</f>
        <v>ORD201116</v>
      </c>
      <c r="B1118" s="11">
        <f>RawData!B1118</f>
        <v>45213</v>
      </c>
      <c r="C1118" s="7" t="str">
        <f>RawData!C1118</f>
        <v>C69149</v>
      </c>
      <c r="D1118" s="7" t="str">
        <f>RawData!D1118</f>
        <v>Printer</v>
      </c>
      <c r="E1118" s="7">
        <f>RawData!E1118</f>
        <v>2</v>
      </c>
      <c r="F1118" s="7">
        <f>RawData!F1118</f>
        <v>531.49</v>
      </c>
      <c r="G1118" s="7" t="str">
        <f>RawData!G1118</f>
        <v>562 Main St</v>
      </c>
      <c r="H1118" s="7" t="str">
        <f>RawData!H1118</f>
        <v>Credit Card</v>
      </c>
      <c r="I1118" s="7" t="str">
        <f>RawData!I1118</f>
        <v>Delivered</v>
      </c>
      <c r="J1118" s="7" t="str">
        <f>RawData!J1118</f>
        <v>TRK61265132</v>
      </c>
      <c r="K1118" s="7">
        <f>RawData!K1118</f>
        <v>7</v>
      </c>
      <c r="L1118" s="7" t="str">
        <f>IF(RawData!L1118="","No Coupon",RawData!L1118)</f>
        <v>WINTER15</v>
      </c>
      <c r="M1118" s="7" t="str">
        <f>RawData!M1118</f>
        <v>Facebook</v>
      </c>
      <c r="N1118" s="7">
        <f>RawData!N1118</f>
        <v>1062.98</v>
      </c>
    </row>
    <row r="1119" spans="1:14" x14ac:dyDescent="0.3">
      <c r="A1119" s="7" t="str">
        <f>RawData!A1119</f>
        <v>ORD201117</v>
      </c>
      <c r="B1119" s="11">
        <f>RawData!B1119</f>
        <v>45432</v>
      </c>
      <c r="C1119" s="7" t="str">
        <f>RawData!C1119</f>
        <v>C78684</v>
      </c>
      <c r="D1119" s="7" t="str">
        <f>RawData!D1119</f>
        <v>Chair</v>
      </c>
      <c r="E1119" s="7">
        <f>RawData!E1119</f>
        <v>3</v>
      </c>
      <c r="F1119" s="7">
        <f>RawData!F1119</f>
        <v>588.44000000000005</v>
      </c>
      <c r="G1119" s="7" t="str">
        <f>RawData!G1119</f>
        <v>858 Main St</v>
      </c>
      <c r="H1119" s="7" t="str">
        <f>RawData!H1119</f>
        <v>Gift Card</v>
      </c>
      <c r="I1119" s="7" t="str">
        <f>RawData!I1119</f>
        <v>Shipped</v>
      </c>
      <c r="J1119" s="7" t="str">
        <f>RawData!J1119</f>
        <v>TRK95779073</v>
      </c>
      <c r="K1119" s="7">
        <f>RawData!K1119</f>
        <v>8</v>
      </c>
      <c r="L1119" s="7" t="str">
        <f>IF(RawData!L1119="","No Coupon",RawData!L1119)</f>
        <v>WINTER15</v>
      </c>
      <c r="M1119" s="7" t="str">
        <f>RawData!M1119</f>
        <v>Google</v>
      </c>
      <c r="N1119" s="7">
        <f>RawData!N1119</f>
        <v>1765.32</v>
      </c>
    </row>
    <row r="1120" spans="1:14" x14ac:dyDescent="0.3">
      <c r="A1120" s="7" t="str">
        <f>RawData!A1120</f>
        <v>ORD201118</v>
      </c>
      <c r="B1120" s="11">
        <f>RawData!B1120</f>
        <v>45436</v>
      </c>
      <c r="C1120" s="7" t="str">
        <f>RawData!C1120</f>
        <v>C58168</v>
      </c>
      <c r="D1120" s="7" t="str">
        <f>RawData!D1120</f>
        <v>Phone</v>
      </c>
      <c r="E1120" s="7">
        <f>RawData!E1120</f>
        <v>3</v>
      </c>
      <c r="F1120" s="7">
        <f>RawData!F1120</f>
        <v>251.48</v>
      </c>
      <c r="G1120" s="7" t="str">
        <f>RawData!G1120</f>
        <v>359 Main St</v>
      </c>
      <c r="H1120" s="7" t="str">
        <f>RawData!H1120</f>
        <v>Credit Card</v>
      </c>
      <c r="I1120" s="7" t="str">
        <f>RawData!I1120</f>
        <v>Returned</v>
      </c>
      <c r="J1120" s="7" t="str">
        <f>RawData!J1120</f>
        <v>TRK99102265</v>
      </c>
      <c r="K1120" s="7">
        <f>RawData!K1120</f>
        <v>4</v>
      </c>
      <c r="L1120" s="7" t="str">
        <f>IF(RawData!L1120="","No Coupon",RawData!L1120)</f>
        <v>No Coupon</v>
      </c>
      <c r="M1120" s="7" t="str">
        <f>RawData!M1120</f>
        <v>Email</v>
      </c>
      <c r="N1120" s="7">
        <f>RawData!N1120</f>
        <v>754.44</v>
      </c>
    </row>
    <row r="1121" spans="1:14" x14ac:dyDescent="0.3">
      <c r="A1121" s="7" t="str">
        <f>RawData!A1121</f>
        <v>ORD201119</v>
      </c>
      <c r="B1121" s="11">
        <f>RawData!B1121</f>
        <v>45620</v>
      </c>
      <c r="C1121" s="7" t="str">
        <f>RawData!C1121</f>
        <v>C99024</v>
      </c>
      <c r="D1121" s="7" t="str">
        <f>RawData!D1121</f>
        <v>Laptop</v>
      </c>
      <c r="E1121" s="7">
        <f>RawData!E1121</f>
        <v>1</v>
      </c>
      <c r="F1121" s="7">
        <f>RawData!F1121</f>
        <v>684.65</v>
      </c>
      <c r="G1121" s="7" t="str">
        <f>RawData!G1121</f>
        <v>250 Main St</v>
      </c>
      <c r="H1121" s="7" t="str">
        <f>RawData!H1121</f>
        <v>Credit Card</v>
      </c>
      <c r="I1121" s="7" t="str">
        <f>RawData!I1121</f>
        <v>Delivered</v>
      </c>
      <c r="J1121" s="7" t="str">
        <f>RawData!J1121</f>
        <v>TRK24675988</v>
      </c>
      <c r="K1121" s="7">
        <f>RawData!K1121</f>
        <v>1</v>
      </c>
      <c r="L1121" s="7" t="str">
        <f>IF(RawData!L1121="","No Coupon",RawData!L1121)</f>
        <v>FREESHIP</v>
      </c>
      <c r="M1121" s="7" t="str">
        <f>RawData!M1121</f>
        <v>Email</v>
      </c>
      <c r="N1121" s="7">
        <f>RawData!N1121</f>
        <v>684.65</v>
      </c>
    </row>
    <row r="1122" spans="1:14" x14ac:dyDescent="0.3">
      <c r="A1122" s="7" t="str">
        <f>RawData!A1122</f>
        <v>ORD201120</v>
      </c>
      <c r="B1122" s="11">
        <f>RawData!B1122</f>
        <v>45787</v>
      </c>
      <c r="C1122" s="7" t="str">
        <f>RawData!C1122</f>
        <v>C22919</v>
      </c>
      <c r="D1122" s="7" t="str">
        <f>RawData!D1122</f>
        <v>Tablet</v>
      </c>
      <c r="E1122" s="7">
        <f>RawData!E1122</f>
        <v>1</v>
      </c>
      <c r="F1122" s="7">
        <f>RawData!F1122</f>
        <v>195.86</v>
      </c>
      <c r="G1122" s="7" t="str">
        <f>RawData!G1122</f>
        <v>267 Main St</v>
      </c>
      <c r="H1122" s="7" t="str">
        <f>RawData!H1122</f>
        <v>Online</v>
      </c>
      <c r="I1122" s="7" t="str">
        <f>RawData!I1122</f>
        <v>Pending</v>
      </c>
      <c r="J1122" s="7" t="str">
        <f>RawData!J1122</f>
        <v>TRK82416295</v>
      </c>
      <c r="K1122" s="7">
        <f>RawData!K1122</f>
        <v>3</v>
      </c>
      <c r="L1122" s="7" t="str">
        <f>IF(RawData!L1122="","No Coupon",RawData!L1122)</f>
        <v>No Coupon</v>
      </c>
      <c r="M1122" s="7" t="str">
        <f>RawData!M1122</f>
        <v>Facebook</v>
      </c>
      <c r="N1122" s="7">
        <f>RawData!N1122</f>
        <v>195.86</v>
      </c>
    </row>
    <row r="1123" spans="1:14" x14ac:dyDescent="0.3">
      <c r="A1123" s="7" t="str">
        <f>RawData!A1123</f>
        <v>ORD201121</v>
      </c>
      <c r="B1123" s="11">
        <f>RawData!B1123</f>
        <v>45074</v>
      </c>
      <c r="C1123" s="7" t="str">
        <f>RawData!C1123</f>
        <v>C98354</v>
      </c>
      <c r="D1123" s="7" t="str">
        <f>RawData!D1123</f>
        <v>Phone</v>
      </c>
      <c r="E1123" s="7">
        <f>RawData!E1123</f>
        <v>3</v>
      </c>
      <c r="F1123" s="7">
        <f>RawData!F1123</f>
        <v>50.34</v>
      </c>
      <c r="G1123" s="7" t="str">
        <f>RawData!G1123</f>
        <v>393 Main St</v>
      </c>
      <c r="H1123" s="7" t="str">
        <f>RawData!H1123</f>
        <v>Gift Card</v>
      </c>
      <c r="I1123" s="7" t="str">
        <f>RawData!I1123</f>
        <v>Returned</v>
      </c>
      <c r="J1123" s="7" t="str">
        <f>RawData!J1123</f>
        <v>TRK43070888</v>
      </c>
      <c r="K1123" s="7">
        <f>RawData!K1123</f>
        <v>3</v>
      </c>
      <c r="L1123" s="7" t="str">
        <f>IF(RawData!L1123="","No Coupon",RawData!L1123)</f>
        <v>FREESHIP</v>
      </c>
      <c r="M1123" s="7" t="str">
        <f>RawData!M1123</f>
        <v>Instagram</v>
      </c>
      <c r="N1123" s="7">
        <f>RawData!N1123</f>
        <v>151.02000000000001</v>
      </c>
    </row>
    <row r="1124" spans="1:14" x14ac:dyDescent="0.3">
      <c r="A1124" s="7" t="str">
        <f>RawData!A1124</f>
        <v>ORD201122</v>
      </c>
      <c r="B1124" s="11">
        <f>RawData!B1124</f>
        <v>45084</v>
      </c>
      <c r="C1124" s="7" t="str">
        <f>RawData!C1124</f>
        <v>C38840</v>
      </c>
      <c r="D1124" s="7" t="str">
        <f>RawData!D1124</f>
        <v>Monitor</v>
      </c>
      <c r="E1124" s="7">
        <f>RawData!E1124</f>
        <v>5</v>
      </c>
      <c r="F1124" s="7">
        <f>RawData!F1124</f>
        <v>678.19</v>
      </c>
      <c r="G1124" s="7" t="str">
        <f>RawData!G1124</f>
        <v>766 Main St</v>
      </c>
      <c r="H1124" s="7" t="str">
        <f>RawData!H1124</f>
        <v>Online</v>
      </c>
      <c r="I1124" s="7" t="str">
        <f>RawData!I1124</f>
        <v>Returned</v>
      </c>
      <c r="J1124" s="7" t="str">
        <f>RawData!J1124</f>
        <v>TRK32496970</v>
      </c>
      <c r="K1124" s="7">
        <f>RawData!K1124</f>
        <v>8</v>
      </c>
      <c r="L1124" s="7" t="str">
        <f>IF(RawData!L1124="","No Coupon",RawData!L1124)</f>
        <v>No Coupon</v>
      </c>
      <c r="M1124" s="7" t="str">
        <f>RawData!M1124</f>
        <v>Facebook</v>
      </c>
      <c r="N1124" s="7">
        <f>RawData!N1124</f>
        <v>3390.95</v>
      </c>
    </row>
    <row r="1125" spans="1:14" x14ac:dyDescent="0.3">
      <c r="A1125" s="7" t="str">
        <f>RawData!A1125</f>
        <v>ORD201123</v>
      </c>
      <c r="B1125" s="11">
        <f>RawData!B1125</f>
        <v>45030</v>
      </c>
      <c r="C1125" s="7" t="str">
        <f>RawData!C1125</f>
        <v>C68936</v>
      </c>
      <c r="D1125" s="7" t="str">
        <f>RawData!D1125</f>
        <v>Tablet</v>
      </c>
      <c r="E1125" s="7">
        <f>RawData!E1125</f>
        <v>3</v>
      </c>
      <c r="F1125" s="7">
        <f>RawData!F1125</f>
        <v>554.25</v>
      </c>
      <c r="G1125" s="7" t="str">
        <f>RawData!G1125</f>
        <v>843 Main St</v>
      </c>
      <c r="H1125" s="7" t="str">
        <f>RawData!H1125</f>
        <v>Debit Card</v>
      </c>
      <c r="I1125" s="7" t="str">
        <f>RawData!I1125</f>
        <v>Shipped</v>
      </c>
      <c r="J1125" s="7" t="str">
        <f>RawData!J1125</f>
        <v>TRK73163634</v>
      </c>
      <c r="K1125" s="7">
        <f>RawData!K1125</f>
        <v>6</v>
      </c>
      <c r="L1125" s="7" t="str">
        <f>IF(RawData!L1125="","No Coupon",RawData!L1125)</f>
        <v>WINTER15</v>
      </c>
      <c r="M1125" s="7" t="str">
        <f>RawData!M1125</f>
        <v>Referral</v>
      </c>
      <c r="N1125" s="7">
        <f>RawData!N1125</f>
        <v>1662.75</v>
      </c>
    </row>
    <row r="1126" spans="1:14" x14ac:dyDescent="0.3">
      <c r="A1126" s="7" t="str">
        <f>RawData!A1126</f>
        <v>ORD201124</v>
      </c>
      <c r="B1126" s="11">
        <f>RawData!B1126</f>
        <v>45055</v>
      </c>
      <c r="C1126" s="7" t="str">
        <f>RawData!C1126</f>
        <v>C33744</v>
      </c>
      <c r="D1126" s="7" t="str">
        <f>RawData!D1126</f>
        <v>Chair</v>
      </c>
      <c r="E1126" s="7">
        <f>RawData!E1126</f>
        <v>4</v>
      </c>
      <c r="F1126" s="7">
        <f>RawData!F1126</f>
        <v>576.87</v>
      </c>
      <c r="G1126" s="7" t="str">
        <f>RawData!G1126</f>
        <v>888 Main St</v>
      </c>
      <c r="H1126" s="7" t="str">
        <f>RawData!H1126</f>
        <v>Gift Card</v>
      </c>
      <c r="I1126" s="7" t="str">
        <f>RawData!I1126</f>
        <v>Returned</v>
      </c>
      <c r="J1126" s="7" t="str">
        <f>RawData!J1126</f>
        <v>TRK40245983</v>
      </c>
      <c r="K1126" s="7">
        <f>RawData!K1126</f>
        <v>5</v>
      </c>
      <c r="L1126" s="7" t="str">
        <f>IF(RawData!L1126="","No Coupon",RawData!L1126)</f>
        <v>No Coupon</v>
      </c>
      <c r="M1126" s="7" t="str">
        <f>RawData!M1126</f>
        <v>Instagram</v>
      </c>
      <c r="N1126" s="7">
        <f>RawData!N1126</f>
        <v>2307.48</v>
      </c>
    </row>
    <row r="1127" spans="1:14" x14ac:dyDescent="0.3">
      <c r="A1127" s="7" t="str">
        <f>RawData!A1127</f>
        <v>ORD201125</v>
      </c>
      <c r="B1127" s="11">
        <f>RawData!B1127</f>
        <v>45215</v>
      </c>
      <c r="C1127" s="7" t="str">
        <f>RawData!C1127</f>
        <v>C23555</v>
      </c>
      <c r="D1127" s="7" t="str">
        <f>RawData!D1127</f>
        <v>Desk</v>
      </c>
      <c r="E1127" s="7">
        <f>RawData!E1127</f>
        <v>4</v>
      </c>
      <c r="F1127" s="7">
        <f>RawData!F1127</f>
        <v>408.36</v>
      </c>
      <c r="G1127" s="7" t="str">
        <f>RawData!G1127</f>
        <v>156 Main St</v>
      </c>
      <c r="H1127" s="7" t="str">
        <f>RawData!H1127</f>
        <v>Gift Card</v>
      </c>
      <c r="I1127" s="7" t="str">
        <f>RawData!I1127</f>
        <v>Cancelled</v>
      </c>
      <c r="J1127" s="7" t="str">
        <f>RawData!J1127</f>
        <v>TRK67210247</v>
      </c>
      <c r="K1127" s="7">
        <f>RawData!K1127</f>
        <v>4</v>
      </c>
      <c r="L1127" s="7" t="str">
        <f>IF(RawData!L1127="","No Coupon",RawData!L1127)</f>
        <v>FREESHIP</v>
      </c>
      <c r="M1127" s="7" t="str">
        <f>RawData!M1127</f>
        <v>Referral</v>
      </c>
      <c r="N1127" s="7">
        <f>RawData!N1127</f>
        <v>1633.44</v>
      </c>
    </row>
    <row r="1128" spans="1:14" x14ac:dyDescent="0.3">
      <c r="A1128" s="7" t="str">
        <f>RawData!A1128</f>
        <v>ORD201126</v>
      </c>
      <c r="B1128" s="11">
        <f>RawData!B1128</f>
        <v>45495</v>
      </c>
      <c r="C1128" s="7" t="str">
        <f>RawData!C1128</f>
        <v>C34337</v>
      </c>
      <c r="D1128" s="7" t="str">
        <f>RawData!D1128</f>
        <v>Phone</v>
      </c>
      <c r="E1128" s="7">
        <f>RawData!E1128</f>
        <v>5</v>
      </c>
      <c r="F1128" s="7">
        <f>RawData!F1128</f>
        <v>190.11</v>
      </c>
      <c r="G1128" s="7" t="str">
        <f>RawData!G1128</f>
        <v>325 Main St</v>
      </c>
      <c r="H1128" s="7" t="str">
        <f>RawData!H1128</f>
        <v>Cash</v>
      </c>
      <c r="I1128" s="7" t="str">
        <f>RawData!I1128</f>
        <v>Delivered</v>
      </c>
      <c r="J1128" s="7" t="str">
        <f>RawData!J1128</f>
        <v>TRK36195559</v>
      </c>
      <c r="K1128" s="7">
        <f>RawData!K1128</f>
        <v>7</v>
      </c>
      <c r="L1128" s="7" t="str">
        <f>IF(RawData!L1128="","No Coupon",RawData!L1128)</f>
        <v>SAVE10</v>
      </c>
      <c r="M1128" s="7" t="str">
        <f>RawData!M1128</f>
        <v>Google</v>
      </c>
      <c r="N1128" s="7">
        <f>RawData!N1128</f>
        <v>950.55</v>
      </c>
    </row>
    <row r="1129" spans="1:14" x14ac:dyDescent="0.3">
      <c r="A1129" s="7" t="str">
        <f>RawData!A1129</f>
        <v>ORD201127</v>
      </c>
      <c r="B1129" s="11">
        <f>RawData!B1129</f>
        <v>45731</v>
      </c>
      <c r="C1129" s="7" t="str">
        <f>RawData!C1129</f>
        <v>C69396</v>
      </c>
      <c r="D1129" s="7" t="str">
        <f>RawData!D1129</f>
        <v>Printer</v>
      </c>
      <c r="E1129" s="7">
        <f>RawData!E1129</f>
        <v>3</v>
      </c>
      <c r="F1129" s="7">
        <f>RawData!F1129</f>
        <v>602.75</v>
      </c>
      <c r="G1129" s="7" t="str">
        <f>RawData!G1129</f>
        <v>920 Main St</v>
      </c>
      <c r="H1129" s="7" t="str">
        <f>RawData!H1129</f>
        <v>Credit Card</v>
      </c>
      <c r="I1129" s="7" t="str">
        <f>RawData!I1129</f>
        <v>Shipped</v>
      </c>
      <c r="J1129" s="7" t="str">
        <f>RawData!J1129</f>
        <v>TRK33155049</v>
      </c>
      <c r="K1129" s="7">
        <f>RawData!K1129</f>
        <v>6</v>
      </c>
      <c r="L1129" s="7" t="str">
        <f>IF(RawData!L1129="","No Coupon",RawData!L1129)</f>
        <v>SAVE10</v>
      </c>
      <c r="M1129" s="7" t="str">
        <f>RawData!M1129</f>
        <v>Email</v>
      </c>
      <c r="N1129" s="7">
        <f>RawData!N1129</f>
        <v>1808.25</v>
      </c>
    </row>
    <row r="1130" spans="1:14" x14ac:dyDescent="0.3">
      <c r="A1130" s="7" t="str">
        <f>RawData!A1130</f>
        <v>ORD201128</v>
      </c>
      <c r="B1130" s="11">
        <f>RawData!B1130</f>
        <v>45155</v>
      </c>
      <c r="C1130" s="7" t="str">
        <f>RawData!C1130</f>
        <v>C49198</v>
      </c>
      <c r="D1130" s="7" t="str">
        <f>RawData!D1130</f>
        <v>Monitor</v>
      </c>
      <c r="E1130" s="7">
        <f>RawData!E1130</f>
        <v>3</v>
      </c>
      <c r="F1130" s="7">
        <f>RawData!F1130</f>
        <v>646.79</v>
      </c>
      <c r="G1130" s="7" t="str">
        <f>RawData!G1130</f>
        <v>447 Main St</v>
      </c>
      <c r="H1130" s="7" t="str">
        <f>RawData!H1130</f>
        <v>Cash</v>
      </c>
      <c r="I1130" s="7" t="str">
        <f>RawData!I1130</f>
        <v>Cancelled</v>
      </c>
      <c r="J1130" s="7" t="str">
        <f>RawData!J1130</f>
        <v>TRK10883354</v>
      </c>
      <c r="K1130" s="7">
        <f>RawData!K1130</f>
        <v>5</v>
      </c>
      <c r="L1130" s="7" t="str">
        <f>IF(RawData!L1130="","No Coupon",RawData!L1130)</f>
        <v>WINTER15</v>
      </c>
      <c r="M1130" s="7" t="str">
        <f>RawData!M1130</f>
        <v>Google</v>
      </c>
      <c r="N1130" s="7">
        <f>RawData!N1130</f>
        <v>1940.37</v>
      </c>
    </row>
    <row r="1131" spans="1:14" x14ac:dyDescent="0.3">
      <c r="A1131" s="7" t="str">
        <f>RawData!A1131</f>
        <v>ORD201129</v>
      </c>
      <c r="B1131" s="11">
        <f>RawData!B1131</f>
        <v>45088</v>
      </c>
      <c r="C1131" s="7" t="str">
        <f>RawData!C1131</f>
        <v>C43911</v>
      </c>
      <c r="D1131" s="7" t="str">
        <f>RawData!D1131</f>
        <v>Chair</v>
      </c>
      <c r="E1131" s="7">
        <f>RawData!E1131</f>
        <v>4</v>
      </c>
      <c r="F1131" s="7">
        <f>RawData!F1131</f>
        <v>418.71</v>
      </c>
      <c r="G1131" s="7" t="str">
        <f>RawData!G1131</f>
        <v>239 Main St</v>
      </c>
      <c r="H1131" s="7" t="str">
        <f>RawData!H1131</f>
        <v>Cash</v>
      </c>
      <c r="I1131" s="7" t="str">
        <f>RawData!I1131</f>
        <v>Pending</v>
      </c>
      <c r="J1131" s="7" t="str">
        <f>RawData!J1131</f>
        <v>TRK37495481</v>
      </c>
      <c r="K1131" s="7">
        <f>RawData!K1131</f>
        <v>8</v>
      </c>
      <c r="L1131" s="7" t="str">
        <f>IF(RawData!L1131="","No Coupon",RawData!L1131)</f>
        <v>FREESHIP</v>
      </c>
      <c r="M1131" s="7" t="str">
        <f>RawData!M1131</f>
        <v>Instagram</v>
      </c>
      <c r="N1131" s="7">
        <f>RawData!N1131</f>
        <v>1674.84</v>
      </c>
    </row>
    <row r="1132" spans="1:14" x14ac:dyDescent="0.3">
      <c r="A1132" s="7" t="str">
        <f>RawData!A1132</f>
        <v>ORD201130</v>
      </c>
      <c r="B1132" s="11">
        <f>RawData!B1132</f>
        <v>45704</v>
      </c>
      <c r="C1132" s="7" t="str">
        <f>RawData!C1132</f>
        <v>C24347</v>
      </c>
      <c r="D1132" s="7" t="str">
        <f>RawData!D1132</f>
        <v>Laptop</v>
      </c>
      <c r="E1132" s="7">
        <f>RawData!E1132</f>
        <v>2</v>
      </c>
      <c r="F1132" s="7">
        <f>RawData!F1132</f>
        <v>323.45</v>
      </c>
      <c r="G1132" s="7" t="str">
        <f>RawData!G1132</f>
        <v>533 Main St</v>
      </c>
      <c r="H1132" s="7" t="str">
        <f>RawData!H1132</f>
        <v>Credit Card</v>
      </c>
      <c r="I1132" s="7" t="str">
        <f>RawData!I1132</f>
        <v>Returned</v>
      </c>
      <c r="J1132" s="7" t="str">
        <f>RawData!J1132</f>
        <v>TRK27233265</v>
      </c>
      <c r="K1132" s="7">
        <f>RawData!K1132</f>
        <v>5</v>
      </c>
      <c r="L1132" s="7" t="str">
        <f>IF(RawData!L1132="","No Coupon",RawData!L1132)</f>
        <v>FREESHIP</v>
      </c>
      <c r="M1132" s="7" t="str">
        <f>RawData!M1132</f>
        <v>Instagram</v>
      </c>
      <c r="N1132" s="7">
        <f>RawData!N1132</f>
        <v>646.9</v>
      </c>
    </row>
    <row r="1133" spans="1:14" x14ac:dyDescent="0.3">
      <c r="A1133" s="7" t="str">
        <f>RawData!A1133</f>
        <v>ORD201131</v>
      </c>
      <c r="B1133" s="11">
        <f>RawData!B1133</f>
        <v>45491</v>
      </c>
      <c r="C1133" s="7" t="str">
        <f>RawData!C1133</f>
        <v>C21043</v>
      </c>
      <c r="D1133" s="7" t="str">
        <f>RawData!D1133</f>
        <v>Phone</v>
      </c>
      <c r="E1133" s="7">
        <f>RawData!E1133</f>
        <v>1</v>
      </c>
      <c r="F1133" s="7">
        <f>RawData!F1133</f>
        <v>694.5</v>
      </c>
      <c r="G1133" s="7" t="str">
        <f>RawData!G1133</f>
        <v>195 Main St</v>
      </c>
      <c r="H1133" s="7" t="str">
        <f>RawData!H1133</f>
        <v>Credit Card</v>
      </c>
      <c r="I1133" s="7" t="str">
        <f>RawData!I1133</f>
        <v>Pending</v>
      </c>
      <c r="J1133" s="7" t="str">
        <f>RawData!J1133</f>
        <v>TRK41691086</v>
      </c>
      <c r="K1133" s="7">
        <f>RawData!K1133</f>
        <v>3</v>
      </c>
      <c r="L1133" s="7" t="str">
        <f>IF(RawData!L1133="","No Coupon",RawData!L1133)</f>
        <v>WINTER15</v>
      </c>
      <c r="M1133" s="7" t="str">
        <f>RawData!M1133</f>
        <v>Facebook</v>
      </c>
      <c r="N1133" s="7">
        <f>RawData!N1133</f>
        <v>694.5</v>
      </c>
    </row>
    <row r="1134" spans="1:14" x14ac:dyDescent="0.3">
      <c r="A1134" s="7" t="str">
        <f>RawData!A1134</f>
        <v>ORD201132</v>
      </c>
      <c r="B1134" s="11">
        <f>RawData!B1134</f>
        <v>45628</v>
      </c>
      <c r="C1134" s="7" t="str">
        <f>RawData!C1134</f>
        <v>C58858</v>
      </c>
      <c r="D1134" s="7" t="str">
        <f>RawData!D1134</f>
        <v>Chair</v>
      </c>
      <c r="E1134" s="7">
        <f>RawData!E1134</f>
        <v>2</v>
      </c>
      <c r="F1134" s="7">
        <f>RawData!F1134</f>
        <v>337.32</v>
      </c>
      <c r="G1134" s="7" t="str">
        <f>RawData!G1134</f>
        <v>948 Main St</v>
      </c>
      <c r="H1134" s="7" t="str">
        <f>RawData!H1134</f>
        <v>Credit Card</v>
      </c>
      <c r="I1134" s="7" t="str">
        <f>RawData!I1134</f>
        <v>Cancelled</v>
      </c>
      <c r="J1134" s="7" t="str">
        <f>RawData!J1134</f>
        <v>TRK30406357</v>
      </c>
      <c r="K1134" s="7">
        <f>RawData!K1134</f>
        <v>4</v>
      </c>
      <c r="L1134" s="7" t="str">
        <f>IF(RawData!L1134="","No Coupon",RawData!L1134)</f>
        <v>SAVE10</v>
      </c>
      <c r="M1134" s="7" t="str">
        <f>RawData!M1134</f>
        <v>Email</v>
      </c>
      <c r="N1134" s="7">
        <f>RawData!N1134</f>
        <v>674.64</v>
      </c>
    </row>
    <row r="1135" spans="1:14" x14ac:dyDescent="0.3">
      <c r="A1135" s="7" t="str">
        <f>RawData!A1135</f>
        <v>ORD201133</v>
      </c>
      <c r="B1135" s="11">
        <f>RawData!B1135</f>
        <v>45391</v>
      </c>
      <c r="C1135" s="7" t="str">
        <f>RawData!C1135</f>
        <v>C20670</v>
      </c>
      <c r="D1135" s="7" t="str">
        <f>RawData!D1135</f>
        <v>Printer</v>
      </c>
      <c r="E1135" s="7">
        <f>RawData!E1135</f>
        <v>2</v>
      </c>
      <c r="F1135" s="7">
        <f>RawData!F1135</f>
        <v>467.91</v>
      </c>
      <c r="G1135" s="7" t="str">
        <f>RawData!G1135</f>
        <v>432 Main St</v>
      </c>
      <c r="H1135" s="7" t="str">
        <f>RawData!H1135</f>
        <v>Gift Card</v>
      </c>
      <c r="I1135" s="7" t="str">
        <f>RawData!I1135</f>
        <v>Returned</v>
      </c>
      <c r="J1135" s="7" t="str">
        <f>RawData!J1135</f>
        <v>TRK76731303</v>
      </c>
      <c r="K1135" s="7">
        <f>RawData!K1135</f>
        <v>5</v>
      </c>
      <c r="L1135" s="7" t="str">
        <f>IF(RawData!L1135="","No Coupon",RawData!L1135)</f>
        <v>WINTER15</v>
      </c>
      <c r="M1135" s="7" t="str">
        <f>RawData!M1135</f>
        <v>Facebook</v>
      </c>
      <c r="N1135" s="7">
        <f>RawData!N1135</f>
        <v>935.82</v>
      </c>
    </row>
    <row r="1136" spans="1:14" x14ac:dyDescent="0.3">
      <c r="A1136" s="7" t="str">
        <f>RawData!A1136</f>
        <v>ORD201134</v>
      </c>
      <c r="B1136" s="11">
        <f>RawData!B1136</f>
        <v>45451</v>
      </c>
      <c r="C1136" s="7" t="str">
        <f>RawData!C1136</f>
        <v>C90993</v>
      </c>
      <c r="D1136" s="7" t="str">
        <f>RawData!D1136</f>
        <v>Desk</v>
      </c>
      <c r="E1136" s="7">
        <f>RawData!E1136</f>
        <v>4</v>
      </c>
      <c r="F1136" s="7">
        <f>RawData!F1136</f>
        <v>38.28</v>
      </c>
      <c r="G1136" s="7" t="str">
        <f>RawData!G1136</f>
        <v>950 Main St</v>
      </c>
      <c r="H1136" s="7" t="str">
        <f>RawData!H1136</f>
        <v>Debit Card</v>
      </c>
      <c r="I1136" s="7" t="str">
        <f>RawData!I1136</f>
        <v>Cancelled</v>
      </c>
      <c r="J1136" s="7" t="str">
        <f>RawData!J1136</f>
        <v>TRK53964711</v>
      </c>
      <c r="K1136" s="7">
        <f>RawData!K1136</f>
        <v>4</v>
      </c>
      <c r="L1136" s="7" t="str">
        <f>IF(RawData!L1136="","No Coupon",RawData!L1136)</f>
        <v>WINTER15</v>
      </c>
      <c r="M1136" s="7" t="str">
        <f>RawData!M1136</f>
        <v>Facebook</v>
      </c>
      <c r="N1136" s="7">
        <f>RawData!N1136</f>
        <v>153.12</v>
      </c>
    </row>
    <row r="1137" spans="1:14" x14ac:dyDescent="0.3">
      <c r="A1137" s="7" t="str">
        <f>RawData!A1137</f>
        <v>ORD201135</v>
      </c>
      <c r="B1137" s="11">
        <f>RawData!B1137</f>
        <v>45288</v>
      </c>
      <c r="C1137" s="7" t="str">
        <f>RawData!C1137</f>
        <v>C11473</v>
      </c>
      <c r="D1137" s="7" t="str">
        <f>RawData!D1137</f>
        <v>Printer</v>
      </c>
      <c r="E1137" s="7">
        <f>RawData!E1137</f>
        <v>2</v>
      </c>
      <c r="F1137" s="7">
        <f>RawData!F1137</f>
        <v>73.41</v>
      </c>
      <c r="G1137" s="7" t="str">
        <f>RawData!G1137</f>
        <v>562 Main St</v>
      </c>
      <c r="H1137" s="7" t="str">
        <f>RawData!H1137</f>
        <v>Online</v>
      </c>
      <c r="I1137" s="7" t="str">
        <f>RawData!I1137</f>
        <v>Shipped</v>
      </c>
      <c r="J1137" s="7" t="str">
        <f>RawData!J1137</f>
        <v>TRK97793275</v>
      </c>
      <c r="K1137" s="7">
        <f>RawData!K1137</f>
        <v>2</v>
      </c>
      <c r="L1137" s="7" t="str">
        <f>IF(RawData!L1137="","No Coupon",RawData!L1137)</f>
        <v>SAVE10</v>
      </c>
      <c r="M1137" s="7" t="str">
        <f>RawData!M1137</f>
        <v>Google</v>
      </c>
      <c r="N1137" s="7">
        <f>RawData!N1137</f>
        <v>146.82</v>
      </c>
    </row>
    <row r="1138" spans="1:14" x14ac:dyDescent="0.3">
      <c r="A1138" s="7" t="str">
        <f>RawData!A1138</f>
        <v>ORD201136</v>
      </c>
      <c r="B1138" s="11">
        <f>RawData!B1138</f>
        <v>45193</v>
      </c>
      <c r="C1138" s="7" t="str">
        <f>RawData!C1138</f>
        <v>C71899</v>
      </c>
      <c r="D1138" s="7" t="str">
        <f>RawData!D1138</f>
        <v>Tablet</v>
      </c>
      <c r="E1138" s="7">
        <f>RawData!E1138</f>
        <v>3</v>
      </c>
      <c r="F1138" s="7">
        <f>RawData!F1138</f>
        <v>668.33</v>
      </c>
      <c r="G1138" s="7" t="str">
        <f>RawData!G1138</f>
        <v>799 Main St</v>
      </c>
      <c r="H1138" s="7" t="str">
        <f>RawData!H1138</f>
        <v>Gift Card</v>
      </c>
      <c r="I1138" s="7" t="str">
        <f>RawData!I1138</f>
        <v>Pending</v>
      </c>
      <c r="J1138" s="7" t="str">
        <f>RawData!J1138</f>
        <v>TRK34856025</v>
      </c>
      <c r="K1138" s="7">
        <f>RawData!K1138</f>
        <v>4</v>
      </c>
      <c r="L1138" s="7" t="str">
        <f>IF(RawData!L1138="","No Coupon",RawData!L1138)</f>
        <v>WINTER15</v>
      </c>
      <c r="M1138" s="7" t="str">
        <f>RawData!M1138</f>
        <v>Facebook</v>
      </c>
      <c r="N1138" s="7">
        <f>RawData!N1138</f>
        <v>2004.99</v>
      </c>
    </row>
    <row r="1139" spans="1:14" x14ac:dyDescent="0.3">
      <c r="A1139" s="7" t="str">
        <f>RawData!A1139</f>
        <v>ORD201137</v>
      </c>
      <c r="B1139" s="11">
        <f>RawData!B1139</f>
        <v>45502</v>
      </c>
      <c r="C1139" s="7" t="str">
        <f>RawData!C1139</f>
        <v>C48577</v>
      </c>
      <c r="D1139" s="7" t="str">
        <f>RawData!D1139</f>
        <v>Printer</v>
      </c>
      <c r="E1139" s="7">
        <f>RawData!E1139</f>
        <v>4</v>
      </c>
      <c r="F1139" s="7">
        <f>RawData!F1139</f>
        <v>410.21</v>
      </c>
      <c r="G1139" s="7" t="str">
        <f>RawData!G1139</f>
        <v>841 Main St</v>
      </c>
      <c r="H1139" s="7" t="str">
        <f>RawData!H1139</f>
        <v>Cash</v>
      </c>
      <c r="I1139" s="7" t="str">
        <f>RawData!I1139</f>
        <v>Pending</v>
      </c>
      <c r="J1139" s="7" t="str">
        <f>RawData!J1139</f>
        <v>TRK59911645</v>
      </c>
      <c r="K1139" s="7">
        <f>RawData!K1139</f>
        <v>5</v>
      </c>
      <c r="L1139" s="7" t="str">
        <f>IF(RawData!L1139="","No Coupon",RawData!L1139)</f>
        <v>WINTER15</v>
      </c>
      <c r="M1139" s="7" t="str">
        <f>RawData!M1139</f>
        <v>Instagram</v>
      </c>
      <c r="N1139" s="7">
        <f>RawData!N1139</f>
        <v>1640.84</v>
      </c>
    </row>
    <row r="1140" spans="1:14" x14ac:dyDescent="0.3">
      <c r="A1140" s="7" t="str">
        <f>RawData!A1140</f>
        <v>ORD201138</v>
      </c>
      <c r="B1140" s="11">
        <f>RawData!B1140</f>
        <v>45278</v>
      </c>
      <c r="C1140" s="7" t="str">
        <f>RawData!C1140</f>
        <v>C13100</v>
      </c>
      <c r="D1140" s="7" t="str">
        <f>RawData!D1140</f>
        <v>Desk</v>
      </c>
      <c r="E1140" s="7">
        <f>RawData!E1140</f>
        <v>4</v>
      </c>
      <c r="F1140" s="7">
        <f>RawData!F1140</f>
        <v>294.41000000000003</v>
      </c>
      <c r="G1140" s="7" t="str">
        <f>RawData!G1140</f>
        <v>188 Main St</v>
      </c>
      <c r="H1140" s="7" t="str">
        <f>RawData!H1140</f>
        <v>Debit Card</v>
      </c>
      <c r="I1140" s="7" t="str">
        <f>RawData!I1140</f>
        <v>Pending</v>
      </c>
      <c r="J1140" s="7" t="str">
        <f>RawData!J1140</f>
        <v>TRK55565668</v>
      </c>
      <c r="K1140" s="7">
        <f>RawData!K1140</f>
        <v>4</v>
      </c>
      <c r="L1140" s="7" t="str">
        <f>IF(RawData!L1140="","No Coupon",RawData!L1140)</f>
        <v>No Coupon</v>
      </c>
      <c r="M1140" s="7" t="str">
        <f>RawData!M1140</f>
        <v>Instagram</v>
      </c>
      <c r="N1140" s="7">
        <f>RawData!N1140</f>
        <v>1177.6400000000001</v>
      </c>
    </row>
    <row r="1141" spans="1:14" x14ac:dyDescent="0.3">
      <c r="A1141" s="7" t="str">
        <f>RawData!A1141</f>
        <v>ORD201139</v>
      </c>
      <c r="B1141" s="11">
        <f>RawData!B1141</f>
        <v>45717</v>
      </c>
      <c r="C1141" s="7" t="str">
        <f>RawData!C1141</f>
        <v>C70659</v>
      </c>
      <c r="D1141" s="7" t="str">
        <f>RawData!D1141</f>
        <v>Chair</v>
      </c>
      <c r="E1141" s="7">
        <f>RawData!E1141</f>
        <v>3</v>
      </c>
      <c r="F1141" s="7">
        <f>RawData!F1141</f>
        <v>501.82</v>
      </c>
      <c r="G1141" s="7" t="str">
        <f>RawData!G1141</f>
        <v>568 Main St</v>
      </c>
      <c r="H1141" s="7" t="str">
        <f>RawData!H1141</f>
        <v>Gift Card</v>
      </c>
      <c r="I1141" s="7" t="str">
        <f>RawData!I1141</f>
        <v>Cancelled</v>
      </c>
      <c r="J1141" s="7" t="str">
        <f>RawData!J1141</f>
        <v>TRK28290825</v>
      </c>
      <c r="K1141" s="7">
        <f>RawData!K1141</f>
        <v>4</v>
      </c>
      <c r="L1141" s="7" t="str">
        <f>IF(RawData!L1141="","No Coupon",RawData!L1141)</f>
        <v>FREESHIP</v>
      </c>
      <c r="M1141" s="7" t="str">
        <f>RawData!M1141</f>
        <v>Email</v>
      </c>
      <c r="N1141" s="7">
        <f>RawData!N1141</f>
        <v>1505.46</v>
      </c>
    </row>
    <row r="1142" spans="1:14" x14ac:dyDescent="0.3">
      <c r="A1142" s="7" t="str">
        <f>RawData!A1142</f>
        <v>ORD201140</v>
      </c>
      <c r="B1142" s="11">
        <f>RawData!B1142</f>
        <v>45467</v>
      </c>
      <c r="C1142" s="7" t="str">
        <f>RawData!C1142</f>
        <v>C49838</v>
      </c>
      <c r="D1142" s="7" t="str">
        <f>RawData!D1142</f>
        <v>Printer</v>
      </c>
      <c r="E1142" s="7">
        <f>RawData!E1142</f>
        <v>2</v>
      </c>
      <c r="F1142" s="7">
        <f>RawData!F1142</f>
        <v>552.83000000000004</v>
      </c>
      <c r="G1142" s="7" t="str">
        <f>RawData!G1142</f>
        <v>904 Main St</v>
      </c>
      <c r="H1142" s="7" t="str">
        <f>RawData!H1142</f>
        <v>Credit Card</v>
      </c>
      <c r="I1142" s="7" t="str">
        <f>RawData!I1142</f>
        <v>Cancelled</v>
      </c>
      <c r="J1142" s="7" t="str">
        <f>RawData!J1142</f>
        <v>TRK38297718</v>
      </c>
      <c r="K1142" s="7">
        <f>RawData!K1142</f>
        <v>3</v>
      </c>
      <c r="L1142" s="7" t="str">
        <f>IF(RawData!L1142="","No Coupon",RawData!L1142)</f>
        <v>No Coupon</v>
      </c>
      <c r="M1142" s="7" t="str">
        <f>RawData!M1142</f>
        <v>Referral</v>
      </c>
      <c r="N1142" s="7">
        <f>RawData!N1142</f>
        <v>1105.6600000000001</v>
      </c>
    </row>
    <row r="1143" spans="1:14" x14ac:dyDescent="0.3">
      <c r="A1143" s="7" t="str">
        <f>RawData!A1143</f>
        <v>ORD201141</v>
      </c>
      <c r="B1143" s="11">
        <f>RawData!B1143</f>
        <v>45704</v>
      </c>
      <c r="C1143" s="7" t="str">
        <f>RawData!C1143</f>
        <v>C11998</v>
      </c>
      <c r="D1143" s="7" t="str">
        <f>RawData!D1143</f>
        <v>Chair</v>
      </c>
      <c r="E1143" s="7">
        <f>RawData!E1143</f>
        <v>3</v>
      </c>
      <c r="F1143" s="7">
        <f>RawData!F1143</f>
        <v>498.66</v>
      </c>
      <c r="G1143" s="7" t="str">
        <f>RawData!G1143</f>
        <v>382 Main St</v>
      </c>
      <c r="H1143" s="7" t="str">
        <f>RawData!H1143</f>
        <v>Cash</v>
      </c>
      <c r="I1143" s="7" t="str">
        <f>RawData!I1143</f>
        <v>Cancelled</v>
      </c>
      <c r="J1143" s="7" t="str">
        <f>RawData!J1143</f>
        <v>TRK26707221</v>
      </c>
      <c r="K1143" s="7">
        <f>RawData!K1143</f>
        <v>6</v>
      </c>
      <c r="L1143" s="7" t="str">
        <f>IF(RawData!L1143="","No Coupon",RawData!L1143)</f>
        <v>No Coupon</v>
      </c>
      <c r="M1143" s="7" t="str">
        <f>RawData!M1143</f>
        <v>Email</v>
      </c>
      <c r="N1143" s="7">
        <f>RawData!N1143</f>
        <v>1495.98</v>
      </c>
    </row>
    <row r="1144" spans="1:14" x14ac:dyDescent="0.3">
      <c r="A1144" s="7" t="str">
        <f>RawData!A1144</f>
        <v>ORD201142</v>
      </c>
      <c r="B1144" s="11">
        <f>RawData!B1144</f>
        <v>45527</v>
      </c>
      <c r="C1144" s="7" t="str">
        <f>RawData!C1144</f>
        <v>C23405</v>
      </c>
      <c r="D1144" s="7" t="str">
        <f>RawData!D1144</f>
        <v>Phone</v>
      </c>
      <c r="E1144" s="7">
        <f>RawData!E1144</f>
        <v>4</v>
      </c>
      <c r="F1144" s="7">
        <f>RawData!F1144</f>
        <v>695.1</v>
      </c>
      <c r="G1144" s="7" t="str">
        <f>RawData!G1144</f>
        <v>484 Main St</v>
      </c>
      <c r="H1144" s="7" t="str">
        <f>RawData!H1144</f>
        <v>Debit Card</v>
      </c>
      <c r="I1144" s="7" t="str">
        <f>RawData!I1144</f>
        <v>Returned</v>
      </c>
      <c r="J1144" s="7" t="str">
        <f>RawData!J1144</f>
        <v>TRK83678708</v>
      </c>
      <c r="K1144" s="7">
        <f>RawData!K1144</f>
        <v>8</v>
      </c>
      <c r="L1144" s="7" t="str">
        <f>IF(RawData!L1144="","No Coupon",RawData!L1144)</f>
        <v>No Coupon</v>
      </c>
      <c r="M1144" s="7" t="str">
        <f>RawData!M1144</f>
        <v>Email</v>
      </c>
      <c r="N1144" s="7">
        <f>RawData!N1144</f>
        <v>2780.4</v>
      </c>
    </row>
    <row r="1145" spans="1:14" x14ac:dyDescent="0.3">
      <c r="A1145" s="7" t="str">
        <f>RawData!A1145</f>
        <v>ORD201143</v>
      </c>
      <c r="B1145" s="11">
        <f>RawData!B1145</f>
        <v>45019</v>
      </c>
      <c r="C1145" s="7" t="str">
        <f>RawData!C1145</f>
        <v>C41132</v>
      </c>
      <c r="D1145" s="7" t="str">
        <f>RawData!D1145</f>
        <v>Chair</v>
      </c>
      <c r="E1145" s="7">
        <f>RawData!E1145</f>
        <v>1</v>
      </c>
      <c r="F1145" s="7">
        <f>RawData!F1145</f>
        <v>381.61</v>
      </c>
      <c r="G1145" s="7" t="str">
        <f>RawData!G1145</f>
        <v>114 Main St</v>
      </c>
      <c r="H1145" s="7" t="str">
        <f>RawData!H1145</f>
        <v>Debit Card</v>
      </c>
      <c r="I1145" s="7" t="str">
        <f>RawData!I1145</f>
        <v>Pending</v>
      </c>
      <c r="J1145" s="7" t="str">
        <f>RawData!J1145</f>
        <v>TRK51040137</v>
      </c>
      <c r="K1145" s="7">
        <f>RawData!K1145</f>
        <v>5</v>
      </c>
      <c r="L1145" s="7" t="str">
        <f>IF(RawData!L1145="","No Coupon",RawData!L1145)</f>
        <v>No Coupon</v>
      </c>
      <c r="M1145" s="7" t="str">
        <f>RawData!M1145</f>
        <v>Email</v>
      </c>
      <c r="N1145" s="7">
        <f>RawData!N1145</f>
        <v>381.61</v>
      </c>
    </row>
    <row r="1146" spans="1:14" x14ac:dyDescent="0.3">
      <c r="A1146" s="7" t="str">
        <f>RawData!A1146</f>
        <v>ORD201144</v>
      </c>
      <c r="B1146" s="11">
        <f>RawData!B1146</f>
        <v>44973</v>
      </c>
      <c r="C1146" s="7" t="str">
        <f>RawData!C1146</f>
        <v>C88463</v>
      </c>
      <c r="D1146" s="7" t="str">
        <f>RawData!D1146</f>
        <v>Desk</v>
      </c>
      <c r="E1146" s="7">
        <f>RawData!E1146</f>
        <v>5</v>
      </c>
      <c r="F1146" s="7">
        <f>RawData!F1146</f>
        <v>507.94</v>
      </c>
      <c r="G1146" s="7" t="str">
        <f>RawData!G1146</f>
        <v>292 Main St</v>
      </c>
      <c r="H1146" s="7" t="str">
        <f>RawData!H1146</f>
        <v>Online</v>
      </c>
      <c r="I1146" s="7" t="str">
        <f>RawData!I1146</f>
        <v>Cancelled</v>
      </c>
      <c r="J1146" s="7" t="str">
        <f>RawData!J1146</f>
        <v>TRK88749996</v>
      </c>
      <c r="K1146" s="7">
        <f>RawData!K1146</f>
        <v>9</v>
      </c>
      <c r="L1146" s="7" t="str">
        <f>IF(RawData!L1146="","No Coupon",RawData!L1146)</f>
        <v>No Coupon</v>
      </c>
      <c r="M1146" s="7" t="str">
        <f>RawData!M1146</f>
        <v>Facebook</v>
      </c>
      <c r="N1146" s="7">
        <f>RawData!N1146</f>
        <v>2539.6999999999998</v>
      </c>
    </row>
    <row r="1147" spans="1:14" x14ac:dyDescent="0.3">
      <c r="A1147" s="7" t="str">
        <f>RawData!A1147</f>
        <v>ORD201145</v>
      </c>
      <c r="B1147" s="11">
        <f>RawData!B1147</f>
        <v>45789</v>
      </c>
      <c r="C1147" s="7" t="str">
        <f>RawData!C1147</f>
        <v>C28152</v>
      </c>
      <c r="D1147" s="7" t="str">
        <f>RawData!D1147</f>
        <v>Desk</v>
      </c>
      <c r="E1147" s="7">
        <f>RawData!E1147</f>
        <v>3</v>
      </c>
      <c r="F1147" s="7">
        <f>RawData!F1147</f>
        <v>571.53</v>
      </c>
      <c r="G1147" s="7" t="str">
        <f>RawData!G1147</f>
        <v>821 Main St</v>
      </c>
      <c r="H1147" s="7" t="str">
        <f>RawData!H1147</f>
        <v>Debit Card</v>
      </c>
      <c r="I1147" s="7" t="str">
        <f>RawData!I1147</f>
        <v>Delivered</v>
      </c>
      <c r="J1147" s="7" t="str">
        <f>RawData!J1147</f>
        <v>TRK59642814</v>
      </c>
      <c r="K1147" s="7">
        <f>RawData!K1147</f>
        <v>6</v>
      </c>
      <c r="L1147" s="7" t="str">
        <f>IF(RawData!L1147="","No Coupon",RawData!L1147)</f>
        <v>FREESHIP</v>
      </c>
      <c r="M1147" s="7" t="str">
        <f>RawData!M1147</f>
        <v>Facebook</v>
      </c>
      <c r="N1147" s="7">
        <f>RawData!N1147</f>
        <v>1714.59</v>
      </c>
    </row>
    <row r="1148" spans="1:14" x14ac:dyDescent="0.3">
      <c r="A1148" s="7" t="str">
        <f>RawData!A1148</f>
        <v>ORD201146</v>
      </c>
      <c r="B1148" s="11">
        <f>RawData!B1148</f>
        <v>45568</v>
      </c>
      <c r="C1148" s="7" t="str">
        <f>RawData!C1148</f>
        <v>C36383</v>
      </c>
      <c r="D1148" s="7" t="str">
        <f>RawData!D1148</f>
        <v>Monitor</v>
      </c>
      <c r="E1148" s="7">
        <f>RawData!E1148</f>
        <v>5</v>
      </c>
      <c r="F1148" s="7">
        <f>RawData!F1148</f>
        <v>421.44</v>
      </c>
      <c r="G1148" s="7" t="str">
        <f>RawData!G1148</f>
        <v>286 Main St</v>
      </c>
      <c r="H1148" s="7" t="str">
        <f>RawData!H1148</f>
        <v>Cash</v>
      </c>
      <c r="I1148" s="7" t="str">
        <f>RawData!I1148</f>
        <v>Pending</v>
      </c>
      <c r="J1148" s="7" t="str">
        <f>RawData!J1148</f>
        <v>TRK93336357</v>
      </c>
      <c r="K1148" s="7">
        <f>RawData!K1148</f>
        <v>5</v>
      </c>
      <c r="L1148" s="7" t="str">
        <f>IF(RawData!L1148="","No Coupon",RawData!L1148)</f>
        <v>SAVE10</v>
      </c>
      <c r="M1148" s="7" t="str">
        <f>RawData!M1148</f>
        <v>Instagram</v>
      </c>
      <c r="N1148" s="7">
        <f>RawData!N1148</f>
        <v>2107.1999999999998</v>
      </c>
    </row>
    <row r="1149" spans="1:14" x14ac:dyDescent="0.3">
      <c r="A1149" s="7" t="str">
        <f>RawData!A1149</f>
        <v>ORD201147</v>
      </c>
      <c r="B1149" s="11">
        <f>RawData!B1149</f>
        <v>45659</v>
      </c>
      <c r="C1149" s="7" t="str">
        <f>RawData!C1149</f>
        <v>C19759</v>
      </c>
      <c r="D1149" s="7" t="str">
        <f>RawData!D1149</f>
        <v>Chair</v>
      </c>
      <c r="E1149" s="7">
        <f>RawData!E1149</f>
        <v>2</v>
      </c>
      <c r="F1149" s="7">
        <f>RawData!F1149</f>
        <v>588.29999999999995</v>
      </c>
      <c r="G1149" s="7" t="str">
        <f>RawData!G1149</f>
        <v>234 Main St</v>
      </c>
      <c r="H1149" s="7" t="str">
        <f>RawData!H1149</f>
        <v>Online</v>
      </c>
      <c r="I1149" s="7" t="str">
        <f>RawData!I1149</f>
        <v>Pending</v>
      </c>
      <c r="J1149" s="7" t="str">
        <f>RawData!J1149</f>
        <v>TRK22515454</v>
      </c>
      <c r="K1149" s="7">
        <f>RawData!K1149</f>
        <v>2</v>
      </c>
      <c r="L1149" s="7" t="str">
        <f>IF(RawData!L1149="","No Coupon",RawData!L1149)</f>
        <v>FREESHIP</v>
      </c>
      <c r="M1149" s="7" t="str">
        <f>RawData!M1149</f>
        <v>Email</v>
      </c>
      <c r="N1149" s="7">
        <f>RawData!N1149</f>
        <v>1176.5999999999999</v>
      </c>
    </row>
    <row r="1150" spans="1:14" x14ac:dyDescent="0.3">
      <c r="A1150" s="7" t="str">
        <f>RawData!A1150</f>
        <v>ORD201148</v>
      </c>
      <c r="B1150" s="11">
        <f>RawData!B1150</f>
        <v>45468</v>
      </c>
      <c r="C1150" s="7" t="str">
        <f>RawData!C1150</f>
        <v>C54886</v>
      </c>
      <c r="D1150" s="7" t="str">
        <f>RawData!D1150</f>
        <v>Phone</v>
      </c>
      <c r="E1150" s="7">
        <f>RawData!E1150</f>
        <v>1</v>
      </c>
      <c r="F1150" s="7">
        <f>RawData!F1150</f>
        <v>355.15</v>
      </c>
      <c r="G1150" s="7" t="str">
        <f>RawData!G1150</f>
        <v>442 Main St</v>
      </c>
      <c r="H1150" s="7" t="str">
        <f>RawData!H1150</f>
        <v>Cash</v>
      </c>
      <c r="I1150" s="7" t="str">
        <f>RawData!I1150</f>
        <v>Returned</v>
      </c>
      <c r="J1150" s="7" t="str">
        <f>RawData!J1150</f>
        <v>TRK66241930</v>
      </c>
      <c r="K1150" s="7">
        <f>RawData!K1150</f>
        <v>2</v>
      </c>
      <c r="L1150" s="7" t="str">
        <f>IF(RawData!L1150="","No Coupon",RawData!L1150)</f>
        <v>SAVE10</v>
      </c>
      <c r="M1150" s="7" t="str">
        <f>RawData!M1150</f>
        <v>Email</v>
      </c>
      <c r="N1150" s="7">
        <f>RawData!N1150</f>
        <v>355.15</v>
      </c>
    </row>
    <row r="1151" spans="1:14" x14ac:dyDescent="0.3">
      <c r="A1151" s="7" t="str">
        <f>RawData!A1151</f>
        <v>ORD201149</v>
      </c>
      <c r="B1151" s="11">
        <f>RawData!B1151</f>
        <v>45498</v>
      </c>
      <c r="C1151" s="7" t="str">
        <f>RawData!C1151</f>
        <v>C27305</v>
      </c>
      <c r="D1151" s="7" t="str">
        <f>RawData!D1151</f>
        <v>Chair</v>
      </c>
      <c r="E1151" s="7">
        <f>RawData!E1151</f>
        <v>2</v>
      </c>
      <c r="F1151" s="7">
        <f>RawData!F1151</f>
        <v>695.29</v>
      </c>
      <c r="G1151" s="7" t="str">
        <f>RawData!G1151</f>
        <v>957 Main St</v>
      </c>
      <c r="H1151" s="7" t="str">
        <f>RawData!H1151</f>
        <v>Credit Card</v>
      </c>
      <c r="I1151" s="7" t="str">
        <f>RawData!I1151</f>
        <v>Pending</v>
      </c>
      <c r="J1151" s="7" t="str">
        <f>RawData!J1151</f>
        <v>TRK28789916</v>
      </c>
      <c r="K1151" s="7">
        <f>RawData!K1151</f>
        <v>6</v>
      </c>
      <c r="L1151" s="7" t="str">
        <f>IF(RawData!L1151="","No Coupon",RawData!L1151)</f>
        <v>FREESHIP</v>
      </c>
      <c r="M1151" s="7" t="str">
        <f>RawData!M1151</f>
        <v>Instagram</v>
      </c>
      <c r="N1151" s="7">
        <f>RawData!N1151</f>
        <v>1390.58</v>
      </c>
    </row>
    <row r="1152" spans="1:14" x14ac:dyDescent="0.3">
      <c r="A1152" s="7" t="str">
        <f>RawData!A1152</f>
        <v>ORD201150</v>
      </c>
      <c r="B1152" s="11">
        <f>RawData!B1152</f>
        <v>44977</v>
      </c>
      <c r="C1152" s="7" t="str">
        <f>RawData!C1152</f>
        <v>C17921</v>
      </c>
      <c r="D1152" s="7" t="str">
        <f>RawData!D1152</f>
        <v>Desk</v>
      </c>
      <c r="E1152" s="7">
        <f>RawData!E1152</f>
        <v>4</v>
      </c>
      <c r="F1152" s="7">
        <f>RawData!F1152</f>
        <v>302.64999999999998</v>
      </c>
      <c r="G1152" s="7" t="str">
        <f>RawData!G1152</f>
        <v>119 Main St</v>
      </c>
      <c r="H1152" s="7" t="str">
        <f>RawData!H1152</f>
        <v>Credit Card</v>
      </c>
      <c r="I1152" s="7" t="str">
        <f>RawData!I1152</f>
        <v>Cancelled</v>
      </c>
      <c r="J1152" s="7" t="str">
        <f>RawData!J1152</f>
        <v>TRK79291524</v>
      </c>
      <c r="K1152" s="7">
        <f>RawData!K1152</f>
        <v>8</v>
      </c>
      <c r="L1152" s="7" t="str">
        <f>IF(RawData!L1152="","No Coupon",RawData!L1152)</f>
        <v>SAVE10</v>
      </c>
      <c r="M1152" s="7" t="str">
        <f>RawData!M1152</f>
        <v>Referral</v>
      </c>
      <c r="N1152" s="7">
        <f>RawData!N1152</f>
        <v>1210.5999999999999</v>
      </c>
    </row>
    <row r="1153" spans="1:14" x14ac:dyDescent="0.3">
      <c r="A1153" s="7" t="str">
        <f>RawData!A1153</f>
        <v>ORD201151</v>
      </c>
      <c r="B1153" s="11">
        <f>RawData!B1153</f>
        <v>44955</v>
      </c>
      <c r="C1153" s="7" t="str">
        <f>RawData!C1153</f>
        <v>C94381</v>
      </c>
      <c r="D1153" s="7" t="str">
        <f>RawData!D1153</f>
        <v>Chair</v>
      </c>
      <c r="E1153" s="7">
        <f>RawData!E1153</f>
        <v>2</v>
      </c>
      <c r="F1153" s="7">
        <f>RawData!F1153</f>
        <v>608.04</v>
      </c>
      <c r="G1153" s="7" t="str">
        <f>RawData!G1153</f>
        <v>962 Main St</v>
      </c>
      <c r="H1153" s="7" t="str">
        <f>RawData!H1153</f>
        <v>Cash</v>
      </c>
      <c r="I1153" s="7" t="str">
        <f>RawData!I1153</f>
        <v>Cancelled</v>
      </c>
      <c r="J1153" s="7" t="str">
        <f>RawData!J1153</f>
        <v>TRK69804304</v>
      </c>
      <c r="K1153" s="7">
        <f>RawData!K1153</f>
        <v>4</v>
      </c>
      <c r="L1153" s="7" t="str">
        <f>IF(RawData!L1153="","No Coupon",RawData!L1153)</f>
        <v>No Coupon</v>
      </c>
      <c r="M1153" s="7" t="str">
        <f>RawData!M1153</f>
        <v>Google</v>
      </c>
      <c r="N1153" s="7">
        <f>RawData!N1153</f>
        <v>1216.08</v>
      </c>
    </row>
    <row r="1154" spans="1:14" x14ac:dyDescent="0.3">
      <c r="A1154" s="7" t="str">
        <f>RawData!A1154</f>
        <v>ORD201152</v>
      </c>
      <c r="B1154" s="11">
        <f>RawData!B1154</f>
        <v>45239</v>
      </c>
      <c r="C1154" s="7" t="str">
        <f>RawData!C1154</f>
        <v>C25162</v>
      </c>
      <c r="D1154" s="7" t="str">
        <f>RawData!D1154</f>
        <v>Tablet</v>
      </c>
      <c r="E1154" s="7">
        <f>RawData!E1154</f>
        <v>2</v>
      </c>
      <c r="F1154" s="7">
        <f>RawData!F1154</f>
        <v>344.18</v>
      </c>
      <c r="G1154" s="7" t="str">
        <f>RawData!G1154</f>
        <v>533 Main St</v>
      </c>
      <c r="H1154" s="7" t="str">
        <f>RawData!H1154</f>
        <v>Credit Card</v>
      </c>
      <c r="I1154" s="7" t="str">
        <f>RawData!I1154</f>
        <v>Shipped</v>
      </c>
      <c r="J1154" s="7" t="str">
        <f>RawData!J1154</f>
        <v>TRK42183078</v>
      </c>
      <c r="K1154" s="7">
        <f>RawData!K1154</f>
        <v>7</v>
      </c>
      <c r="L1154" s="7" t="str">
        <f>IF(RawData!L1154="","No Coupon",RawData!L1154)</f>
        <v>No Coupon</v>
      </c>
      <c r="M1154" s="7" t="str">
        <f>RawData!M1154</f>
        <v>Referral</v>
      </c>
      <c r="N1154" s="7">
        <f>RawData!N1154</f>
        <v>688.36</v>
      </c>
    </row>
    <row r="1155" spans="1:14" x14ac:dyDescent="0.3">
      <c r="A1155" s="7" t="str">
        <f>RawData!A1155</f>
        <v>ORD201153</v>
      </c>
      <c r="B1155" s="11">
        <f>RawData!B1155</f>
        <v>45642</v>
      </c>
      <c r="C1155" s="7" t="str">
        <f>RawData!C1155</f>
        <v>C98317</v>
      </c>
      <c r="D1155" s="7" t="str">
        <f>RawData!D1155</f>
        <v>Monitor</v>
      </c>
      <c r="E1155" s="7">
        <f>RawData!E1155</f>
        <v>4</v>
      </c>
      <c r="F1155" s="7">
        <f>RawData!F1155</f>
        <v>696.71</v>
      </c>
      <c r="G1155" s="7" t="str">
        <f>RawData!G1155</f>
        <v>276 Main St</v>
      </c>
      <c r="H1155" s="7" t="str">
        <f>RawData!H1155</f>
        <v>Debit Card</v>
      </c>
      <c r="I1155" s="7" t="str">
        <f>RawData!I1155</f>
        <v>Shipped</v>
      </c>
      <c r="J1155" s="7" t="str">
        <f>RawData!J1155</f>
        <v>TRK37172138</v>
      </c>
      <c r="K1155" s="7">
        <f>RawData!K1155</f>
        <v>4</v>
      </c>
      <c r="L1155" s="7" t="str">
        <f>IF(RawData!L1155="","No Coupon",RawData!L1155)</f>
        <v>No Coupon</v>
      </c>
      <c r="M1155" s="7" t="str">
        <f>RawData!M1155</f>
        <v>Instagram</v>
      </c>
      <c r="N1155" s="7">
        <f>RawData!N1155</f>
        <v>2786.84</v>
      </c>
    </row>
    <row r="1156" spans="1:14" x14ac:dyDescent="0.3">
      <c r="A1156" s="7" t="str">
        <f>RawData!A1156</f>
        <v>ORD201154</v>
      </c>
      <c r="B1156" s="11">
        <f>RawData!B1156</f>
        <v>45819</v>
      </c>
      <c r="C1156" s="7" t="str">
        <f>RawData!C1156</f>
        <v>C53631</v>
      </c>
      <c r="D1156" s="7" t="str">
        <f>RawData!D1156</f>
        <v>Monitor</v>
      </c>
      <c r="E1156" s="7">
        <f>RawData!E1156</f>
        <v>3</v>
      </c>
      <c r="F1156" s="7">
        <f>RawData!F1156</f>
        <v>198.63</v>
      </c>
      <c r="G1156" s="7" t="str">
        <f>RawData!G1156</f>
        <v>593 Main St</v>
      </c>
      <c r="H1156" s="7" t="str">
        <f>RawData!H1156</f>
        <v>Cash</v>
      </c>
      <c r="I1156" s="7" t="str">
        <f>RawData!I1156</f>
        <v>Pending</v>
      </c>
      <c r="J1156" s="7" t="str">
        <f>RawData!J1156</f>
        <v>TRK67589167</v>
      </c>
      <c r="K1156" s="7">
        <f>RawData!K1156</f>
        <v>8</v>
      </c>
      <c r="L1156" s="7" t="str">
        <f>IF(RawData!L1156="","No Coupon",RawData!L1156)</f>
        <v>SAVE10</v>
      </c>
      <c r="M1156" s="7" t="str">
        <f>RawData!M1156</f>
        <v>Instagram</v>
      </c>
      <c r="N1156" s="7">
        <f>RawData!N1156</f>
        <v>595.89</v>
      </c>
    </row>
    <row r="1157" spans="1:14" x14ac:dyDescent="0.3">
      <c r="A1157" s="7" t="str">
        <f>RawData!A1157</f>
        <v>ORD201155</v>
      </c>
      <c r="B1157" s="11">
        <f>RawData!B1157</f>
        <v>45151</v>
      </c>
      <c r="C1157" s="7" t="str">
        <f>RawData!C1157</f>
        <v>C41478</v>
      </c>
      <c r="D1157" s="7" t="str">
        <f>RawData!D1157</f>
        <v>Printer</v>
      </c>
      <c r="E1157" s="7">
        <f>RawData!E1157</f>
        <v>4</v>
      </c>
      <c r="F1157" s="7">
        <f>RawData!F1157</f>
        <v>534.57000000000005</v>
      </c>
      <c r="G1157" s="7" t="str">
        <f>RawData!G1157</f>
        <v>667 Main St</v>
      </c>
      <c r="H1157" s="7" t="str">
        <f>RawData!H1157</f>
        <v>Credit Card</v>
      </c>
      <c r="I1157" s="7" t="str">
        <f>RawData!I1157</f>
        <v>Delivered</v>
      </c>
      <c r="J1157" s="7" t="str">
        <f>RawData!J1157</f>
        <v>TRK62068126</v>
      </c>
      <c r="K1157" s="7">
        <f>RawData!K1157</f>
        <v>6</v>
      </c>
      <c r="L1157" s="7" t="str">
        <f>IF(RawData!L1157="","No Coupon",RawData!L1157)</f>
        <v>FREESHIP</v>
      </c>
      <c r="M1157" s="7" t="str">
        <f>RawData!M1157</f>
        <v>Facebook</v>
      </c>
      <c r="N1157" s="7">
        <f>RawData!N1157</f>
        <v>2138.2800000000002</v>
      </c>
    </row>
    <row r="1158" spans="1:14" x14ac:dyDescent="0.3">
      <c r="A1158" s="7" t="str">
        <f>RawData!A1158</f>
        <v>ORD201156</v>
      </c>
      <c r="B1158" s="11">
        <f>RawData!B1158</f>
        <v>45126</v>
      </c>
      <c r="C1158" s="7" t="str">
        <f>RawData!C1158</f>
        <v>C20512</v>
      </c>
      <c r="D1158" s="7" t="str">
        <f>RawData!D1158</f>
        <v>Laptop</v>
      </c>
      <c r="E1158" s="7">
        <f>RawData!E1158</f>
        <v>4</v>
      </c>
      <c r="F1158" s="7">
        <f>RawData!F1158</f>
        <v>690.78</v>
      </c>
      <c r="G1158" s="7" t="str">
        <f>RawData!G1158</f>
        <v>980 Main St</v>
      </c>
      <c r="H1158" s="7" t="str">
        <f>RawData!H1158</f>
        <v>Credit Card</v>
      </c>
      <c r="I1158" s="7" t="str">
        <f>RawData!I1158</f>
        <v>Shipped</v>
      </c>
      <c r="J1158" s="7" t="str">
        <f>RawData!J1158</f>
        <v>TRK98234737</v>
      </c>
      <c r="K1158" s="7">
        <f>RawData!K1158</f>
        <v>9</v>
      </c>
      <c r="L1158" s="7" t="str">
        <f>IF(RawData!L1158="","No Coupon",RawData!L1158)</f>
        <v>No Coupon</v>
      </c>
      <c r="M1158" s="7" t="str">
        <f>RawData!M1158</f>
        <v>Referral</v>
      </c>
      <c r="N1158" s="7">
        <f>RawData!N1158</f>
        <v>2763.12</v>
      </c>
    </row>
    <row r="1159" spans="1:14" x14ac:dyDescent="0.3">
      <c r="A1159" s="7" t="str">
        <f>RawData!A1159</f>
        <v>ORD201157</v>
      </c>
      <c r="B1159" s="11">
        <f>RawData!B1159</f>
        <v>45441</v>
      </c>
      <c r="C1159" s="7" t="str">
        <f>RawData!C1159</f>
        <v>C25841</v>
      </c>
      <c r="D1159" s="7" t="str">
        <f>RawData!D1159</f>
        <v>Monitor</v>
      </c>
      <c r="E1159" s="7">
        <f>RawData!E1159</f>
        <v>3</v>
      </c>
      <c r="F1159" s="7">
        <f>RawData!F1159</f>
        <v>301.55</v>
      </c>
      <c r="G1159" s="7" t="str">
        <f>RawData!G1159</f>
        <v>242 Main St</v>
      </c>
      <c r="H1159" s="7" t="str">
        <f>RawData!H1159</f>
        <v>Debit Card</v>
      </c>
      <c r="I1159" s="7" t="str">
        <f>RawData!I1159</f>
        <v>Delivered</v>
      </c>
      <c r="J1159" s="7" t="str">
        <f>RawData!J1159</f>
        <v>TRK21451375</v>
      </c>
      <c r="K1159" s="7">
        <f>RawData!K1159</f>
        <v>5</v>
      </c>
      <c r="L1159" s="7" t="str">
        <f>IF(RawData!L1159="","No Coupon",RawData!L1159)</f>
        <v>FREESHIP</v>
      </c>
      <c r="M1159" s="7" t="str">
        <f>RawData!M1159</f>
        <v>Google</v>
      </c>
      <c r="N1159" s="7">
        <f>RawData!N1159</f>
        <v>904.65</v>
      </c>
    </row>
    <row r="1160" spans="1:14" x14ac:dyDescent="0.3">
      <c r="A1160" s="7" t="str">
        <f>RawData!A1160</f>
        <v>ORD201158</v>
      </c>
      <c r="B1160" s="11">
        <f>RawData!B1160</f>
        <v>45036</v>
      </c>
      <c r="C1160" s="7" t="str">
        <f>RawData!C1160</f>
        <v>C82781</v>
      </c>
      <c r="D1160" s="7" t="str">
        <f>RawData!D1160</f>
        <v>Monitor</v>
      </c>
      <c r="E1160" s="7">
        <f>RawData!E1160</f>
        <v>4</v>
      </c>
      <c r="F1160" s="7">
        <f>RawData!F1160</f>
        <v>27.42</v>
      </c>
      <c r="G1160" s="7" t="str">
        <f>RawData!G1160</f>
        <v>661 Main St</v>
      </c>
      <c r="H1160" s="7" t="str">
        <f>RawData!H1160</f>
        <v>Debit Card</v>
      </c>
      <c r="I1160" s="7" t="str">
        <f>RawData!I1160</f>
        <v>Pending</v>
      </c>
      <c r="J1160" s="7" t="str">
        <f>RawData!J1160</f>
        <v>TRK20605418</v>
      </c>
      <c r="K1160" s="7">
        <f>RawData!K1160</f>
        <v>4</v>
      </c>
      <c r="L1160" s="7" t="str">
        <f>IF(RawData!L1160="","No Coupon",RawData!L1160)</f>
        <v>SAVE10</v>
      </c>
      <c r="M1160" s="7" t="str">
        <f>RawData!M1160</f>
        <v>Referral</v>
      </c>
      <c r="N1160" s="7">
        <f>RawData!N1160</f>
        <v>109.68</v>
      </c>
    </row>
    <row r="1161" spans="1:14" x14ac:dyDescent="0.3">
      <c r="A1161" s="7" t="str">
        <f>RawData!A1161</f>
        <v>ORD201159</v>
      </c>
      <c r="B1161" s="11">
        <f>RawData!B1161</f>
        <v>45345</v>
      </c>
      <c r="C1161" s="7" t="str">
        <f>RawData!C1161</f>
        <v>C66112</v>
      </c>
      <c r="D1161" s="7" t="str">
        <f>RawData!D1161</f>
        <v>Desk</v>
      </c>
      <c r="E1161" s="7">
        <f>RawData!E1161</f>
        <v>4</v>
      </c>
      <c r="F1161" s="7">
        <f>RawData!F1161</f>
        <v>466.7</v>
      </c>
      <c r="G1161" s="7" t="str">
        <f>RawData!G1161</f>
        <v>874 Main St</v>
      </c>
      <c r="H1161" s="7" t="str">
        <f>RawData!H1161</f>
        <v>Debit Card</v>
      </c>
      <c r="I1161" s="7" t="str">
        <f>RawData!I1161</f>
        <v>Returned</v>
      </c>
      <c r="J1161" s="7" t="str">
        <f>RawData!J1161</f>
        <v>TRK60955607</v>
      </c>
      <c r="K1161" s="7">
        <f>RawData!K1161</f>
        <v>8</v>
      </c>
      <c r="L1161" s="7" t="str">
        <f>IF(RawData!L1161="","No Coupon",RawData!L1161)</f>
        <v>No Coupon</v>
      </c>
      <c r="M1161" s="7" t="str">
        <f>RawData!M1161</f>
        <v>Instagram</v>
      </c>
      <c r="N1161" s="7">
        <f>RawData!N1161</f>
        <v>1866.8</v>
      </c>
    </row>
    <row r="1162" spans="1:14" x14ac:dyDescent="0.3">
      <c r="A1162" s="7" t="str">
        <f>RawData!A1162</f>
        <v>ORD201160</v>
      </c>
      <c r="B1162" s="11">
        <f>RawData!B1162</f>
        <v>45539</v>
      </c>
      <c r="C1162" s="7" t="str">
        <f>RawData!C1162</f>
        <v>C40466</v>
      </c>
      <c r="D1162" s="7" t="str">
        <f>RawData!D1162</f>
        <v>Desk</v>
      </c>
      <c r="E1162" s="7">
        <f>RawData!E1162</f>
        <v>1</v>
      </c>
      <c r="F1162" s="7">
        <f>RawData!F1162</f>
        <v>541.64</v>
      </c>
      <c r="G1162" s="7" t="str">
        <f>RawData!G1162</f>
        <v>449 Main St</v>
      </c>
      <c r="H1162" s="7" t="str">
        <f>RawData!H1162</f>
        <v>Debit Card</v>
      </c>
      <c r="I1162" s="7" t="str">
        <f>RawData!I1162</f>
        <v>Shipped</v>
      </c>
      <c r="J1162" s="7" t="str">
        <f>RawData!J1162</f>
        <v>TRK70255168</v>
      </c>
      <c r="K1162" s="7">
        <f>RawData!K1162</f>
        <v>5</v>
      </c>
      <c r="L1162" s="7" t="str">
        <f>IF(RawData!L1162="","No Coupon",RawData!L1162)</f>
        <v>SAVE10</v>
      </c>
      <c r="M1162" s="7" t="str">
        <f>RawData!M1162</f>
        <v>Email</v>
      </c>
      <c r="N1162" s="7">
        <f>RawData!N1162</f>
        <v>541.64</v>
      </c>
    </row>
    <row r="1163" spans="1:14" x14ac:dyDescent="0.3">
      <c r="A1163" s="7" t="str">
        <f>RawData!A1163</f>
        <v>ORD201161</v>
      </c>
      <c r="B1163" s="11">
        <f>RawData!B1163</f>
        <v>45215</v>
      </c>
      <c r="C1163" s="7" t="str">
        <f>RawData!C1163</f>
        <v>C32570</v>
      </c>
      <c r="D1163" s="7" t="str">
        <f>RawData!D1163</f>
        <v>Phone</v>
      </c>
      <c r="E1163" s="7">
        <f>RawData!E1163</f>
        <v>1</v>
      </c>
      <c r="F1163" s="7">
        <f>RawData!F1163</f>
        <v>11.39</v>
      </c>
      <c r="G1163" s="7" t="str">
        <f>RawData!G1163</f>
        <v>826 Main St</v>
      </c>
      <c r="H1163" s="7" t="str">
        <f>RawData!H1163</f>
        <v>Cash</v>
      </c>
      <c r="I1163" s="7" t="str">
        <f>RawData!I1163</f>
        <v>Cancelled</v>
      </c>
      <c r="J1163" s="7" t="str">
        <f>RawData!J1163</f>
        <v>TRK35969968</v>
      </c>
      <c r="K1163" s="7">
        <f>RawData!K1163</f>
        <v>6</v>
      </c>
      <c r="L1163" s="7" t="str">
        <f>IF(RawData!L1163="","No Coupon",RawData!L1163)</f>
        <v>WINTER15</v>
      </c>
      <c r="M1163" s="7" t="str">
        <f>RawData!M1163</f>
        <v>Email</v>
      </c>
      <c r="N1163" s="7">
        <f>RawData!N1163</f>
        <v>11.39</v>
      </c>
    </row>
    <row r="1164" spans="1:14" x14ac:dyDescent="0.3">
      <c r="A1164" s="7" t="str">
        <f>RawData!A1164</f>
        <v>ORD201162</v>
      </c>
      <c r="B1164" s="11">
        <f>RawData!B1164</f>
        <v>45727</v>
      </c>
      <c r="C1164" s="7" t="str">
        <f>RawData!C1164</f>
        <v>C29405</v>
      </c>
      <c r="D1164" s="7" t="str">
        <f>RawData!D1164</f>
        <v>Phone</v>
      </c>
      <c r="E1164" s="7">
        <f>RawData!E1164</f>
        <v>2</v>
      </c>
      <c r="F1164" s="7">
        <f>RawData!F1164</f>
        <v>224.37</v>
      </c>
      <c r="G1164" s="7" t="str">
        <f>RawData!G1164</f>
        <v>251 Main St</v>
      </c>
      <c r="H1164" s="7" t="str">
        <f>RawData!H1164</f>
        <v>Debit Card</v>
      </c>
      <c r="I1164" s="7" t="str">
        <f>RawData!I1164</f>
        <v>Delivered</v>
      </c>
      <c r="J1164" s="7" t="str">
        <f>RawData!J1164</f>
        <v>TRK33125798</v>
      </c>
      <c r="K1164" s="7">
        <f>RawData!K1164</f>
        <v>3</v>
      </c>
      <c r="L1164" s="7" t="str">
        <f>IF(RawData!L1164="","No Coupon",RawData!L1164)</f>
        <v>WINTER15</v>
      </c>
      <c r="M1164" s="7" t="str">
        <f>RawData!M1164</f>
        <v>Referral</v>
      </c>
      <c r="N1164" s="7">
        <f>RawData!N1164</f>
        <v>448.74</v>
      </c>
    </row>
    <row r="1165" spans="1:14" x14ac:dyDescent="0.3">
      <c r="A1165" s="7" t="str">
        <f>RawData!A1165</f>
        <v>ORD201163</v>
      </c>
      <c r="B1165" s="11">
        <f>RawData!B1165</f>
        <v>45454</v>
      </c>
      <c r="C1165" s="7" t="str">
        <f>RawData!C1165</f>
        <v>C30643</v>
      </c>
      <c r="D1165" s="7" t="str">
        <f>RawData!D1165</f>
        <v>Laptop</v>
      </c>
      <c r="E1165" s="7">
        <f>RawData!E1165</f>
        <v>3</v>
      </c>
      <c r="F1165" s="7">
        <f>RawData!F1165</f>
        <v>306.29000000000002</v>
      </c>
      <c r="G1165" s="7" t="str">
        <f>RawData!G1165</f>
        <v>966 Main St</v>
      </c>
      <c r="H1165" s="7" t="str">
        <f>RawData!H1165</f>
        <v>Credit Card</v>
      </c>
      <c r="I1165" s="7" t="str">
        <f>RawData!I1165</f>
        <v>Returned</v>
      </c>
      <c r="J1165" s="7" t="str">
        <f>RawData!J1165</f>
        <v>TRK19477485</v>
      </c>
      <c r="K1165" s="7">
        <f>RawData!K1165</f>
        <v>7</v>
      </c>
      <c r="L1165" s="7" t="str">
        <f>IF(RawData!L1165="","No Coupon",RawData!L1165)</f>
        <v>WINTER15</v>
      </c>
      <c r="M1165" s="7" t="str">
        <f>RawData!M1165</f>
        <v>Instagram</v>
      </c>
      <c r="N1165" s="7">
        <f>RawData!N1165</f>
        <v>918.87</v>
      </c>
    </row>
    <row r="1166" spans="1:14" x14ac:dyDescent="0.3">
      <c r="A1166" s="7" t="str">
        <f>RawData!A1166</f>
        <v>ORD201164</v>
      </c>
      <c r="B1166" s="11">
        <f>RawData!B1166</f>
        <v>45299</v>
      </c>
      <c r="C1166" s="7" t="str">
        <f>RawData!C1166</f>
        <v>C65890</v>
      </c>
      <c r="D1166" s="7" t="str">
        <f>RawData!D1166</f>
        <v>Tablet</v>
      </c>
      <c r="E1166" s="7">
        <f>RawData!E1166</f>
        <v>5</v>
      </c>
      <c r="F1166" s="7">
        <f>RawData!F1166</f>
        <v>315.57</v>
      </c>
      <c r="G1166" s="7" t="str">
        <f>RawData!G1166</f>
        <v>340 Main St</v>
      </c>
      <c r="H1166" s="7" t="str">
        <f>RawData!H1166</f>
        <v>Debit Card</v>
      </c>
      <c r="I1166" s="7" t="str">
        <f>RawData!I1166</f>
        <v>Delivered</v>
      </c>
      <c r="J1166" s="7" t="str">
        <f>RawData!J1166</f>
        <v>TRK64530489</v>
      </c>
      <c r="K1166" s="7">
        <f>RawData!K1166</f>
        <v>6</v>
      </c>
      <c r="L1166" s="7" t="str">
        <f>IF(RawData!L1166="","No Coupon",RawData!L1166)</f>
        <v>WINTER15</v>
      </c>
      <c r="M1166" s="7" t="str">
        <f>RawData!M1166</f>
        <v>Email</v>
      </c>
      <c r="N1166" s="7">
        <f>RawData!N1166</f>
        <v>1577.85</v>
      </c>
    </row>
    <row r="1167" spans="1:14" x14ac:dyDescent="0.3">
      <c r="A1167" s="7" t="str">
        <f>RawData!A1167</f>
        <v>ORD201165</v>
      </c>
      <c r="B1167" s="11">
        <f>RawData!B1167</f>
        <v>45121</v>
      </c>
      <c r="C1167" s="7" t="str">
        <f>RawData!C1167</f>
        <v>C36992</v>
      </c>
      <c r="D1167" s="7" t="str">
        <f>RawData!D1167</f>
        <v>Chair</v>
      </c>
      <c r="E1167" s="7">
        <f>RawData!E1167</f>
        <v>3</v>
      </c>
      <c r="F1167" s="7">
        <f>RawData!F1167</f>
        <v>223.79</v>
      </c>
      <c r="G1167" s="7" t="str">
        <f>RawData!G1167</f>
        <v>617 Main St</v>
      </c>
      <c r="H1167" s="7" t="str">
        <f>RawData!H1167</f>
        <v>Debit Card</v>
      </c>
      <c r="I1167" s="7" t="str">
        <f>RawData!I1167</f>
        <v>Pending</v>
      </c>
      <c r="J1167" s="7" t="str">
        <f>RawData!J1167</f>
        <v>TRK63460217</v>
      </c>
      <c r="K1167" s="7">
        <f>RawData!K1167</f>
        <v>3</v>
      </c>
      <c r="L1167" s="7" t="str">
        <f>IF(RawData!L1167="","No Coupon",RawData!L1167)</f>
        <v>No Coupon</v>
      </c>
      <c r="M1167" s="7" t="str">
        <f>RawData!M1167</f>
        <v>Google</v>
      </c>
      <c r="N1167" s="7">
        <f>RawData!N1167</f>
        <v>671.37</v>
      </c>
    </row>
    <row r="1168" spans="1:14" x14ac:dyDescent="0.3">
      <c r="A1168" s="7" t="str">
        <f>RawData!A1168</f>
        <v>ORD201166</v>
      </c>
      <c r="B1168" s="11">
        <f>RawData!B1168</f>
        <v>45138</v>
      </c>
      <c r="C1168" s="7" t="str">
        <f>RawData!C1168</f>
        <v>C95568</v>
      </c>
      <c r="D1168" s="7" t="str">
        <f>RawData!D1168</f>
        <v>Chair</v>
      </c>
      <c r="E1168" s="7">
        <f>RawData!E1168</f>
        <v>3</v>
      </c>
      <c r="F1168" s="7">
        <f>RawData!F1168</f>
        <v>324.47000000000003</v>
      </c>
      <c r="G1168" s="7" t="str">
        <f>RawData!G1168</f>
        <v>971 Main St</v>
      </c>
      <c r="H1168" s="7" t="str">
        <f>RawData!H1168</f>
        <v>Cash</v>
      </c>
      <c r="I1168" s="7" t="str">
        <f>RawData!I1168</f>
        <v>Delivered</v>
      </c>
      <c r="J1168" s="7" t="str">
        <f>RawData!J1168</f>
        <v>TRK37075292</v>
      </c>
      <c r="K1168" s="7">
        <f>RawData!K1168</f>
        <v>4</v>
      </c>
      <c r="L1168" s="7" t="str">
        <f>IF(RawData!L1168="","No Coupon",RawData!L1168)</f>
        <v>WINTER15</v>
      </c>
      <c r="M1168" s="7" t="str">
        <f>RawData!M1168</f>
        <v>Email</v>
      </c>
      <c r="N1168" s="7">
        <f>RawData!N1168</f>
        <v>973.41</v>
      </c>
    </row>
    <row r="1169" spans="1:14" x14ac:dyDescent="0.3">
      <c r="A1169" s="7" t="str">
        <f>RawData!A1169</f>
        <v>ORD201167</v>
      </c>
      <c r="B1169" s="11">
        <f>RawData!B1169</f>
        <v>45216</v>
      </c>
      <c r="C1169" s="7" t="str">
        <f>RawData!C1169</f>
        <v>C17966</v>
      </c>
      <c r="D1169" s="7" t="str">
        <f>RawData!D1169</f>
        <v>Printer</v>
      </c>
      <c r="E1169" s="7">
        <f>RawData!E1169</f>
        <v>2</v>
      </c>
      <c r="F1169" s="7">
        <f>RawData!F1169</f>
        <v>92.87</v>
      </c>
      <c r="G1169" s="7" t="str">
        <f>RawData!G1169</f>
        <v>360 Main St</v>
      </c>
      <c r="H1169" s="7" t="str">
        <f>RawData!H1169</f>
        <v>Credit Card</v>
      </c>
      <c r="I1169" s="7" t="str">
        <f>RawData!I1169</f>
        <v>Pending</v>
      </c>
      <c r="J1169" s="7" t="str">
        <f>RawData!J1169</f>
        <v>TRK31169396</v>
      </c>
      <c r="K1169" s="7">
        <f>RawData!K1169</f>
        <v>5</v>
      </c>
      <c r="L1169" s="7" t="str">
        <f>IF(RawData!L1169="","No Coupon",RawData!L1169)</f>
        <v>FREESHIP</v>
      </c>
      <c r="M1169" s="7" t="str">
        <f>RawData!M1169</f>
        <v>Facebook</v>
      </c>
      <c r="N1169" s="7">
        <f>RawData!N1169</f>
        <v>185.74</v>
      </c>
    </row>
    <row r="1170" spans="1:14" x14ac:dyDescent="0.3">
      <c r="A1170" s="7" t="str">
        <f>RawData!A1170</f>
        <v>ORD201168</v>
      </c>
      <c r="B1170" s="11">
        <f>RawData!B1170</f>
        <v>45024</v>
      </c>
      <c r="C1170" s="7" t="str">
        <f>RawData!C1170</f>
        <v>C89559</v>
      </c>
      <c r="D1170" s="7" t="str">
        <f>RawData!D1170</f>
        <v>Laptop</v>
      </c>
      <c r="E1170" s="7">
        <f>RawData!E1170</f>
        <v>2</v>
      </c>
      <c r="F1170" s="7">
        <f>RawData!F1170</f>
        <v>331.42</v>
      </c>
      <c r="G1170" s="7" t="str">
        <f>RawData!G1170</f>
        <v>297 Main St</v>
      </c>
      <c r="H1170" s="7" t="str">
        <f>RawData!H1170</f>
        <v>Credit Card</v>
      </c>
      <c r="I1170" s="7" t="str">
        <f>RawData!I1170</f>
        <v>Delivered</v>
      </c>
      <c r="J1170" s="7" t="str">
        <f>RawData!J1170</f>
        <v>TRK82838108</v>
      </c>
      <c r="K1170" s="7">
        <f>RawData!K1170</f>
        <v>6</v>
      </c>
      <c r="L1170" s="7" t="str">
        <f>IF(RawData!L1170="","No Coupon",RawData!L1170)</f>
        <v>WINTER15</v>
      </c>
      <c r="M1170" s="7" t="str">
        <f>RawData!M1170</f>
        <v>Google</v>
      </c>
      <c r="N1170" s="7">
        <f>RawData!N1170</f>
        <v>662.84</v>
      </c>
    </row>
    <row r="1171" spans="1:14" x14ac:dyDescent="0.3">
      <c r="A1171" s="7" t="str">
        <f>RawData!A1171</f>
        <v>ORD201169</v>
      </c>
      <c r="B1171" s="11">
        <f>RawData!B1171</f>
        <v>45649</v>
      </c>
      <c r="C1171" s="7" t="str">
        <f>RawData!C1171</f>
        <v>C15849</v>
      </c>
      <c r="D1171" s="7" t="str">
        <f>RawData!D1171</f>
        <v>Chair</v>
      </c>
      <c r="E1171" s="7">
        <f>RawData!E1171</f>
        <v>1</v>
      </c>
      <c r="F1171" s="7">
        <f>RawData!F1171</f>
        <v>525.42999999999995</v>
      </c>
      <c r="G1171" s="7" t="str">
        <f>RawData!G1171</f>
        <v>643 Main St</v>
      </c>
      <c r="H1171" s="7" t="str">
        <f>RawData!H1171</f>
        <v>Cash</v>
      </c>
      <c r="I1171" s="7" t="str">
        <f>RawData!I1171</f>
        <v>Cancelled</v>
      </c>
      <c r="J1171" s="7" t="str">
        <f>RawData!J1171</f>
        <v>TRK26794546</v>
      </c>
      <c r="K1171" s="7">
        <f>RawData!K1171</f>
        <v>2</v>
      </c>
      <c r="L1171" s="7" t="str">
        <f>IF(RawData!L1171="","No Coupon",RawData!L1171)</f>
        <v>SAVE10</v>
      </c>
      <c r="M1171" s="7" t="str">
        <f>RawData!M1171</f>
        <v>Instagram</v>
      </c>
      <c r="N1171" s="7">
        <f>RawData!N1171</f>
        <v>525.42999999999995</v>
      </c>
    </row>
    <row r="1172" spans="1:14" x14ac:dyDescent="0.3">
      <c r="A1172" s="7" t="str">
        <f>RawData!A1172</f>
        <v>ORD201170</v>
      </c>
      <c r="B1172" s="11">
        <f>RawData!B1172</f>
        <v>45141</v>
      </c>
      <c r="C1172" s="7" t="str">
        <f>RawData!C1172</f>
        <v>C94257</v>
      </c>
      <c r="D1172" s="7" t="str">
        <f>RawData!D1172</f>
        <v>Printer</v>
      </c>
      <c r="E1172" s="7">
        <f>RawData!E1172</f>
        <v>2</v>
      </c>
      <c r="F1172" s="7">
        <f>RawData!F1172</f>
        <v>697.19</v>
      </c>
      <c r="G1172" s="7" t="str">
        <f>RawData!G1172</f>
        <v>762 Main St</v>
      </c>
      <c r="H1172" s="7" t="str">
        <f>RawData!H1172</f>
        <v>Cash</v>
      </c>
      <c r="I1172" s="7" t="str">
        <f>RawData!I1172</f>
        <v>Returned</v>
      </c>
      <c r="J1172" s="7" t="str">
        <f>RawData!J1172</f>
        <v>TRK40220743</v>
      </c>
      <c r="K1172" s="7">
        <f>RawData!K1172</f>
        <v>7</v>
      </c>
      <c r="L1172" s="7" t="str">
        <f>IF(RawData!L1172="","No Coupon",RawData!L1172)</f>
        <v>FREESHIP</v>
      </c>
      <c r="M1172" s="7" t="str">
        <f>RawData!M1172</f>
        <v>Email</v>
      </c>
      <c r="N1172" s="7">
        <f>RawData!N1172</f>
        <v>1394.38</v>
      </c>
    </row>
    <row r="1173" spans="1:14" x14ac:dyDescent="0.3">
      <c r="A1173" s="7" t="str">
        <f>RawData!A1173</f>
        <v>ORD201171</v>
      </c>
      <c r="B1173" s="11">
        <f>RawData!B1173</f>
        <v>45166</v>
      </c>
      <c r="C1173" s="7" t="str">
        <f>RawData!C1173</f>
        <v>C39911</v>
      </c>
      <c r="D1173" s="7" t="str">
        <f>RawData!D1173</f>
        <v>Phone</v>
      </c>
      <c r="E1173" s="7">
        <f>RawData!E1173</f>
        <v>4</v>
      </c>
      <c r="F1173" s="7">
        <f>RawData!F1173</f>
        <v>518.4</v>
      </c>
      <c r="G1173" s="7" t="str">
        <f>RawData!G1173</f>
        <v>699 Main St</v>
      </c>
      <c r="H1173" s="7" t="str">
        <f>RawData!H1173</f>
        <v>Credit Card</v>
      </c>
      <c r="I1173" s="7" t="str">
        <f>RawData!I1173</f>
        <v>Delivered</v>
      </c>
      <c r="J1173" s="7" t="str">
        <f>RawData!J1173</f>
        <v>TRK80431998</v>
      </c>
      <c r="K1173" s="7">
        <f>RawData!K1173</f>
        <v>7</v>
      </c>
      <c r="L1173" s="7" t="str">
        <f>IF(RawData!L1173="","No Coupon",RawData!L1173)</f>
        <v>SAVE10</v>
      </c>
      <c r="M1173" s="7" t="str">
        <f>RawData!M1173</f>
        <v>Facebook</v>
      </c>
      <c r="N1173" s="7">
        <f>RawData!N1173</f>
        <v>2073.6</v>
      </c>
    </row>
    <row r="1174" spans="1:14" x14ac:dyDescent="0.3">
      <c r="A1174" s="7" t="str">
        <f>RawData!A1174</f>
        <v>ORD201172</v>
      </c>
      <c r="B1174" s="11">
        <f>RawData!B1174</f>
        <v>45692</v>
      </c>
      <c r="C1174" s="7" t="str">
        <f>RawData!C1174</f>
        <v>C28828</v>
      </c>
      <c r="D1174" s="7" t="str">
        <f>RawData!D1174</f>
        <v>Desk</v>
      </c>
      <c r="E1174" s="7">
        <f>RawData!E1174</f>
        <v>3</v>
      </c>
      <c r="F1174" s="7">
        <f>RawData!F1174</f>
        <v>131.96</v>
      </c>
      <c r="G1174" s="7" t="str">
        <f>RawData!G1174</f>
        <v>745 Main St</v>
      </c>
      <c r="H1174" s="7" t="str">
        <f>RawData!H1174</f>
        <v>Credit Card</v>
      </c>
      <c r="I1174" s="7" t="str">
        <f>RawData!I1174</f>
        <v>Pending</v>
      </c>
      <c r="J1174" s="7" t="str">
        <f>RawData!J1174</f>
        <v>TRK32550359</v>
      </c>
      <c r="K1174" s="7">
        <f>RawData!K1174</f>
        <v>8</v>
      </c>
      <c r="L1174" s="7" t="str">
        <f>IF(RawData!L1174="","No Coupon",RawData!L1174)</f>
        <v>No Coupon</v>
      </c>
      <c r="M1174" s="7" t="str">
        <f>RawData!M1174</f>
        <v>Instagram</v>
      </c>
      <c r="N1174" s="7">
        <f>RawData!N1174</f>
        <v>395.88</v>
      </c>
    </row>
    <row r="1175" spans="1:14" x14ac:dyDescent="0.3">
      <c r="A1175" s="7" t="str">
        <f>RawData!A1175</f>
        <v>ORD201173</v>
      </c>
      <c r="B1175" s="11">
        <f>RawData!B1175</f>
        <v>45569</v>
      </c>
      <c r="C1175" s="7" t="str">
        <f>RawData!C1175</f>
        <v>C82921</v>
      </c>
      <c r="D1175" s="7" t="str">
        <f>RawData!D1175</f>
        <v>Monitor</v>
      </c>
      <c r="E1175" s="7">
        <f>RawData!E1175</f>
        <v>1</v>
      </c>
      <c r="F1175" s="7">
        <f>RawData!F1175</f>
        <v>208.36</v>
      </c>
      <c r="G1175" s="7" t="str">
        <f>RawData!G1175</f>
        <v>703 Main St</v>
      </c>
      <c r="H1175" s="7" t="str">
        <f>RawData!H1175</f>
        <v>Online</v>
      </c>
      <c r="I1175" s="7" t="str">
        <f>RawData!I1175</f>
        <v>Shipped</v>
      </c>
      <c r="J1175" s="7" t="str">
        <f>RawData!J1175</f>
        <v>TRK31079911</v>
      </c>
      <c r="K1175" s="7">
        <f>RawData!K1175</f>
        <v>4</v>
      </c>
      <c r="L1175" s="7" t="str">
        <f>IF(RawData!L1175="","No Coupon",RawData!L1175)</f>
        <v>FREESHIP</v>
      </c>
      <c r="M1175" s="7" t="str">
        <f>RawData!M1175</f>
        <v>Email</v>
      </c>
      <c r="N1175" s="7">
        <f>RawData!N1175</f>
        <v>208.36</v>
      </c>
    </row>
    <row r="1176" spans="1:14" x14ac:dyDescent="0.3">
      <c r="A1176" s="7" t="str">
        <f>RawData!A1176</f>
        <v>ORD201174</v>
      </c>
      <c r="B1176" s="11">
        <f>RawData!B1176</f>
        <v>45257</v>
      </c>
      <c r="C1176" s="7" t="str">
        <f>RawData!C1176</f>
        <v>C50159</v>
      </c>
      <c r="D1176" s="7" t="str">
        <f>RawData!D1176</f>
        <v>Printer</v>
      </c>
      <c r="E1176" s="7">
        <f>RawData!E1176</f>
        <v>3</v>
      </c>
      <c r="F1176" s="7">
        <f>RawData!F1176</f>
        <v>222.34</v>
      </c>
      <c r="G1176" s="7" t="str">
        <f>RawData!G1176</f>
        <v>105 Main St</v>
      </c>
      <c r="H1176" s="7" t="str">
        <f>RawData!H1176</f>
        <v>Credit Card</v>
      </c>
      <c r="I1176" s="7" t="str">
        <f>RawData!I1176</f>
        <v>Returned</v>
      </c>
      <c r="J1176" s="7" t="str">
        <f>RawData!J1176</f>
        <v>TRK53737452</v>
      </c>
      <c r="K1176" s="7">
        <f>RawData!K1176</f>
        <v>5</v>
      </c>
      <c r="L1176" s="7" t="str">
        <f>IF(RawData!L1176="","No Coupon",RawData!L1176)</f>
        <v>WINTER15</v>
      </c>
      <c r="M1176" s="7" t="str">
        <f>RawData!M1176</f>
        <v>Email</v>
      </c>
      <c r="N1176" s="7">
        <f>RawData!N1176</f>
        <v>667.02</v>
      </c>
    </row>
    <row r="1177" spans="1:14" x14ac:dyDescent="0.3">
      <c r="A1177" s="7" t="str">
        <f>RawData!A1177</f>
        <v>ORD201175</v>
      </c>
      <c r="B1177" s="11">
        <f>RawData!B1177</f>
        <v>45545</v>
      </c>
      <c r="C1177" s="7" t="str">
        <f>RawData!C1177</f>
        <v>C62512</v>
      </c>
      <c r="D1177" s="7" t="str">
        <f>RawData!D1177</f>
        <v>Printer</v>
      </c>
      <c r="E1177" s="7">
        <f>RawData!E1177</f>
        <v>3</v>
      </c>
      <c r="F1177" s="7">
        <f>RawData!F1177</f>
        <v>91.74</v>
      </c>
      <c r="G1177" s="7" t="str">
        <f>RawData!G1177</f>
        <v>368 Main St</v>
      </c>
      <c r="H1177" s="7" t="str">
        <f>RawData!H1177</f>
        <v>Debit Card</v>
      </c>
      <c r="I1177" s="7" t="str">
        <f>RawData!I1177</f>
        <v>Returned</v>
      </c>
      <c r="J1177" s="7" t="str">
        <f>RawData!J1177</f>
        <v>TRK24139954</v>
      </c>
      <c r="K1177" s="7">
        <f>RawData!K1177</f>
        <v>8</v>
      </c>
      <c r="L1177" s="7" t="str">
        <f>IF(RawData!L1177="","No Coupon",RawData!L1177)</f>
        <v>FREESHIP</v>
      </c>
      <c r="M1177" s="7" t="str">
        <f>RawData!M1177</f>
        <v>Referral</v>
      </c>
      <c r="N1177" s="7">
        <f>RawData!N1177</f>
        <v>275.22000000000003</v>
      </c>
    </row>
    <row r="1178" spans="1:14" x14ac:dyDescent="0.3">
      <c r="A1178" s="7" t="str">
        <f>RawData!A1178</f>
        <v>ORD201176</v>
      </c>
      <c r="B1178" s="11">
        <f>RawData!B1178</f>
        <v>45151</v>
      </c>
      <c r="C1178" s="7" t="str">
        <f>RawData!C1178</f>
        <v>C39260</v>
      </c>
      <c r="D1178" s="7" t="str">
        <f>RawData!D1178</f>
        <v>Tablet</v>
      </c>
      <c r="E1178" s="7">
        <f>RawData!E1178</f>
        <v>2</v>
      </c>
      <c r="F1178" s="7">
        <f>RawData!F1178</f>
        <v>213.83</v>
      </c>
      <c r="G1178" s="7" t="str">
        <f>RawData!G1178</f>
        <v>374 Main St</v>
      </c>
      <c r="H1178" s="7" t="str">
        <f>RawData!H1178</f>
        <v>Debit Card</v>
      </c>
      <c r="I1178" s="7" t="str">
        <f>RawData!I1178</f>
        <v>Cancelled</v>
      </c>
      <c r="J1178" s="7" t="str">
        <f>RawData!J1178</f>
        <v>TRK55587314</v>
      </c>
      <c r="K1178" s="7">
        <f>RawData!K1178</f>
        <v>2</v>
      </c>
      <c r="L1178" s="7" t="str">
        <f>IF(RawData!L1178="","No Coupon",RawData!L1178)</f>
        <v>WINTER15</v>
      </c>
      <c r="M1178" s="7" t="str">
        <f>RawData!M1178</f>
        <v>Email</v>
      </c>
      <c r="N1178" s="7">
        <f>RawData!N1178</f>
        <v>427.66</v>
      </c>
    </row>
    <row r="1179" spans="1:14" x14ac:dyDescent="0.3">
      <c r="A1179" s="7" t="str">
        <f>RawData!A1179</f>
        <v>ORD201177</v>
      </c>
      <c r="B1179" s="11">
        <f>RawData!B1179</f>
        <v>45043</v>
      </c>
      <c r="C1179" s="7" t="str">
        <f>RawData!C1179</f>
        <v>C23917</v>
      </c>
      <c r="D1179" s="7" t="str">
        <f>RawData!D1179</f>
        <v>Printer</v>
      </c>
      <c r="E1179" s="7">
        <f>RawData!E1179</f>
        <v>1</v>
      </c>
      <c r="F1179" s="7">
        <f>RawData!F1179</f>
        <v>127.55</v>
      </c>
      <c r="G1179" s="7" t="str">
        <f>RawData!G1179</f>
        <v>433 Main St</v>
      </c>
      <c r="H1179" s="7" t="str">
        <f>RawData!H1179</f>
        <v>Cash</v>
      </c>
      <c r="I1179" s="7" t="str">
        <f>RawData!I1179</f>
        <v>Shipped</v>
      </c>
      <c r="J1179" s="7" t="str">
        <f>RawData!J1179</f>
        <v>TRK44434536</v>
      </c>
      <c r="K1179" s="7">
        <f>RawData!K1179</f>
        <v>3</v>
      </c>
      <c r="L1179" s="7" t="str">
        <f>IF(RawData!L1179="","No Coupon",RawData!L1179)</f>
        <v>SAVE10</v>
      </c>
      <c r="M1179" s="7" t="str">
        <f>RawData!M1179</f>
        <v>Referral</v>
      </c>
      <c r="N1179" s="7">
        <f>RawData!N1179</f>
        <v>127.55</v>
      </c>
    </row>
    <row r="1180" spans="1:14" x14ac:dyDescent="0.3">
      <c r="A1180" s="7" t="str">
        <f>RawData!A1180</f>
        <v>ORD201178</v>
      </c>
      <c r="B1180" s="11">
        <f>RawData!B1180</f>
        <v>45543</v>
      </c>
      <c r="C1180" s="7" t="str">
        <f>RawData!C1180</f>
        <v>C65107</v>
      </c>
      <c r="D1180" s="7" t="str">
        <f>RawData!D1180</f>
        <v>Monitor</v>
      </c>
      <c r="E1180" s="7">
        <f>RawData!E1180</f>
        <v>1</v>
      </c>
      <c r="F1180" s="7">
        <f>RawData!F1180</f>
        <v>70.239999999999995</v>
      </c>
      <c r="G1180" s="7" t="str">
        <f>RawData!G1180</f>
        <v>456 Main St</v>
      </c>
      <c r="H1180" s="7" t="str">
        <f>RawData!H1180</f>
        <v>Credit Card</v>
      </c>
      <c r="I1180" s="7" t="str">
        <f>RawData!I1180</f>
        <v>Cancelled</v>
      </c>
      <c r="J1180" s="7" t="str">
        <f>RawData!J1180</f>
        <v>TRK10261578</v>
      </c>
      <c r="K1180" s="7">
        <f>RawData!K1180</f>
        <v>4</v>
      </c>
      <c r="L1180" s="7" t="str">
        <f>IF(RawData!L1180="","No Coupon",RawData!L1180)</f>
        <v>FREESHIP</v>
      </c>
      <c r="M1180" s="7" t="str">
        <f>RawData!M1180</f>
        <v>Google</v>
      </c>
      <c r="N1180" s="7">
        <f>RawData!N1180</f>
        <v>70.239999999999995</v>
      </c>
    </row>
    <row r="1181" spans="1:14" x14ac:dyDescent="0.3">
      <c r="A1181" s="7" t="str">
        <f>RawData!A1181</f>
        <v>ORD201179</v>
      </c>
      <c r="B1181" s="11">
        <f>RawData!B1181</f>
        <v>44934</v>
      </c>
      <c r="C1181" s="7" t="str">
        <f>RawData!C1181</f>
        <v>C84630</v>
      </c>
      <c r="D1181" s="7" t="str">
        <f>RawData!D1181</f>
        <v>Laptop</v>
      </c>
      <c r="E1181" s="7">
        <f>RawData!E1181</f>
        <v>5</v>
      </c>
      <c r="F1181" s="7">
        <f>RawData!F1181</f>
        <v>518.54999999999995</v>
      </c>
      <c r="G1181" s="7" t="str">
        <f>RawData!G1181</f>
        <v>907 Main St</v>
      </c>
      <c r="H1181" s="7" t="str">
        <f>RawData!H1181</f>
        <v>Credit Card</v>
      </c>
      <c r="I1181" s="7" t="str">
        <f>RawData!I1181</f>
        <v>Cancelled</v>
      </c>
      <c r="J1181" s="7" t="str">
        <f>RawData!J1181</f>
        <v>TRK48054997</v>
      </c>
      <c r="K1181" s="7">
        <f>RawData!K1181</f>
        <v>6</v>
      </c>
      <c r="L1181" s="7" t="str">
        <f>IF(RawData!L1181="","No Coupon",RawData!L1181)</f>
        <v>WINTER15</v>
      </c>
      <c r="M1181" s="7" t="str">
        <f>RawData!M1181</f>
        <v>Instagram</v>
      </c>
      <c r="N1181" s="7">
        <f>RawData!N1181</f>
        <v>2592.75</v>
      </c>
    </row>
    <row r="1182" spans="1:14" x14ac:dyDescent="0.3">
      <c r="A1182" s="7" t="str">
        <f>RawData!A1182</f>
        <v>ORD201180</v>
      </c>
      <c r="B1182" s="11">
        <f>RawData!B1182</f>
        <v>45230</v>
      </c>
      <c r="C1182" s="7" t="str">
        <f>RawData!C1182</f>
        <v>C42235</v>
      </c>
      <c r="D1182" s="7" t="str">
        <f>RawData!D1182</f>
        <v>Chair</v>
      </c>
      <c r="E1182" s="7">
        <f>RawData!E1182</f>
        <v>4</v>
      </c>
      <c r="F1182" s="7">
        <f>RawData!F1182</f>
        <v>298.36</v>
      </c>
      <c r="G1182" s="7" t="str">
        <f>RawData!G1182</f>
        <v>722 Main St</v>
      </c>
      <c r="H1182" s="7" t="str">
        <f>RawData!H1182</f>
        <v>Debit Card</v>
      </c>
      <c r="I1182" s="7" t="str">
        <f>RawData!I1182</f>
        <v>Pending</v>
      </c>
      <c r="J1182" s="7" t="str">
        <f>RawData!J1182</f>
        <v>TRK49379882</v>
      </c>
      <c r="K1182" s="7">
        <f>RawData!K1182</f>
        <v>8</v>
      </c>
      <c r="L1182" s="7" t="str">
        <f>IF(RawData!L1182="","No Coupon",RawData!L1182)</f>
        <v>FREESHIP</v>
      </c>
      <c r="M1182" s="7" t="str">
        <f>RawData!M1182</f>
        <v>Google</v>
      </c>
      <c r="N1182" s="7">
        <f>RawData!N1182</f>
        <v>1193.44</v>
      </c>
    </row>
    <row r="1183" spans="1:14" x14ac:dyDescent="0.3">
      <c r="A1183" s="7" t="str">
        <f>RawData!A1183</f>
        <v>ORD201181</v>
      </c>
      <c r="B1183" s="11">
        <f>RawData!B1183</f>
        <v>45134</v>
      </c>
      <c r="C1183" s="7" t="str">
        <f>RawData!C1183</f>
        <v>C70246</v>
      </c>
      <c r="D1183" s="7" t="str">
        <f>RawData!D1183</f>
        <v>Desk</v>
      </c>
      <c r="E1183" s="7">
        <f>RawData!E1183</f>
        <v>3</v>
      </c>
      <c r="F1183" s="7">
        <f>RawData!F1183</f>
        <v>158.74</v>
      </c>
      <c r="G1183" s="7" t="str">
        <f>RawData!G1183</f>
        <v>293 Main St</v>
      </c>
      <c r="H1183" s="7" t="str">
        <f>RawData!H1183</f>
        <v>Online</v>
      </c>
      <c r="I1183" s="7" t="str">
        <f>RawData!I1183</f>
        <v>Pending</v>
      </c>
      <c r="J1183" s="7" t="str">
        <f>RawData!J1183</f>
        <v>TRK45708320</v>
      </c>
      <c r="K1183" s="7">
        <f>RawData!K1183</f>
        <v>7</v>
      </c>
      <c r="L1183" s="7" t="str">
        <f>IF(RawData!L1183="","No Coupon",RawData!L1183)</f>
        <v>FREESHIP</v>
      </c>
      <c r="M1183" s="7" t="str">
        <f>RawData!M1183</f>
        <v>Instagram</v>
      </c>
      <c r="N1183" s="7">
        <f>RawData!N1183</f>
        <v>476.22</v>
      </c>
    </row>
    <row r="1184" spans="1:14" x14ac:dyDescent="0.3">
      <c r="A1184" s="7" t="str">
        <f>RawData!A1184</f>
        <v>ORD201182</v>
      </c>
      <c r="B1184" s="11">
        <f>RawData!B1184</f>
        <v>45822</v>
      </c>
      <c r="C1184" s="7" t="str">
        <f>RawData!C1184</f>
        <v>C18473</v>
      </c>
      <c r="D1184" s="7" t="str">
        <f>RawData!D1184</f>
        <v>Chair</v>
      </c>
      <c r="E1184" s="7">
        <f>RawData!E1184</f>
        <v>2</v>
      </c>
      <c r="F1184" s="7">
        <f>RawData!F1184</f>
        <v>420.29</v>
      </c>
      <c r="G1184" s="7" t="str">
        <f>RawData!G1184</f>
        <v>700 Main St</v>
      </c>
      <c r="H1184" s="7" t="str">
        <f>RawData!H1184</f>
        <v>Gift Card</v>
      </c>
      <c r="I1184" s="7" t="str">
        <f>RawData!I1184</f>
        <v>Returned</v>
      </c>
      <c r="J1184" s="7" t="str">
        <f>RawData!J1184</f>
        <v>TRK97834202</v>
      </c>
      <c r="K1184" s="7">
        <f>RawData!K1184</f>
        <v>3</v>
      </c>
      <c r="L1184" s="7" t="str">
        <f>IF(RawData!L1184="","No Coupon",RawData!L1184)</f>
        <v>SAVE10</v>
      </c>
      <c r="M1184" s="7" t="str">
        <f>RawData!M1184</f>
        <v>Google</v>
      </c>
      <c r="N1184" s="7">
        <f>RawData!N1184</f>
        <v>840.58</v>
      </c>
    </row>
    <row r="1185" spans="1:14" x14ac:dyDescent="0.3">
      <c r="A1185" s="7" t="str">
        <f>RawData!A1185</f>
        <v>ORD201183</v>
      </c>
      <c r="B1185" s="11">
        <f>RawData!B1185</f>
        <v>45021</v>
      </c>
      <c r="C1185" s="7" t="str">
        <f>RawData!C1185</f>
        <v>C12607</v>
      </c>
      <c r="D1185" s="7" t="str">
        <f>RawData!D1185</f>
        <v>Desk</v>
      </c>
      <c r="E1185" s="7">
        <f>RawData!E1185</f>
        <v>1</v>
      </c>
      <c r="F1185" s="7">
        <f>RawData!F1185</f>
        <v>281.52</v>
      </c>
      <c r="G1185" s="7" t="str">
        <f>RawData!G1185</f>
        <v>460 Main St</v>
      </c>
      <c r="H1185" s="7" t="str">
        <f>RawData!H1185</f>
        <v>Gift Card</v>
      </c>
      <c r="I1185" s="7" t="str">
        <f>RawData!I1185</f>
        <v>Shipped</v>
      </c>
      <c r="J1185" s="7" t="str">
        <f>RawData!J1185</f>
        <v>TRK83653396</v>
      </c>
      <c r="K1185" s="7">
        <f>RawData!K1185</f>
        <v>6</v>
      </c>
      <c r="L1185" s="7" t="str">
        <f>IF(RawData!L1185="","No Coupon",RawData!L1185)</f>
        <v>WINTER15</v>
      </c>
      <c r="M1185" s="7" t="str">
        <f>RawData!M1185</f>
        <v>Referral</v>
      </c>
      <c r="N1185" s="7">
        <f>RawData!N1185</f>
        <v>281.52</v>
      </c>
    </row>
    <row r="1186" spans="1:14" x14ac:dyDescent="0.3">
      <c r="A1186" s="7" t="str">
        <f>RawData!A1186</f>
        <v>ORD201184</v>
      </c>
      <c r="B1186" s="11">
        <f>RawData!B1186</f>
        <v>45196</v>
      </c>
      <c r="C1186" s="7" t="str">
        <f>RawData!C1186</f>
        <v>C10222</v>
      </c>
      <c r="D1186" s="7" t="str">
        <f>RawData!D1186</f>
        <v>Laptop</v>
      </c>
      <c r="E1186" s="7">
        <f>RawData!E1186</f>
        <v>1</v>
      </c>
      <c r="F1186" s="7">
        <f>RawData!F1186</f>
        <v>204.08</v>
      </c>
      <c r="G1186" s="7" t="str">
        <f>RawData!G1186</f>
        <v>979 Main St</v>
      </c>
      <c r="H1186" s="7" t="str">
        <f>RawData!H1186</f>
        <v>Gift Card</v>
      </c>
      <c r="I1186" s="7" t="str">
        <f>RawData!I1186</f>
        <v>Returned</v>
      </c>
      <c r="J1186" s="7" t="str">
        <f>RawData!J1186</f>
        <v>TRK86297895</v>
      </c>
      <c r="K1186" s="7">
        <f>RawData!K1186</f>
        <v>4</v>
      </c>
      <c r="L1186" s="7" t="str">
        <f>IF(RawData!L1186="","No Coupon",RawData!L1186)</f>
        <v>No Coupon</v>
      </c>
      <c r="M1186" s="7" t="str">
        <f>RawData!M1186</f>
        <v>Google</v>
      </c>
      <c r="N1186" s="7">
        <f>RawData!N1186</f>
        <v>204.08</v>
      </c>
    </row>
    <row r="1187" spans="1:14" x14ac:dyDescent="0.3">
      <c r="A1187" s="7" t="str">
        <f>RawData!A1187</f>
        <v>ORD201185</v>
      </c>
      <c r="B1187" s="11">
        <f>RawData!B1187</f>
        <v>45481</v>
      </c>
      <c r="C1187" s="7" t="str">
        <f>RawData!C1187</f>
        <v>C77344</v>
      </c>
      <c r="D1187" s="7" t="str">
        <f>RawData!D1187</f>
        <v>Chair</v>
      </c>
      <c r="E1187" s="7">
        <f>RawData!E1187</f>
        <v>1</v>
      </c>
      <c r="F1187" s="7">
        <f>RawData!F1187</f>
        <v>343.31</v>
      </c>
      <c r="G1187" s="7" t="str">
        <f>RawData!G1187</f>
        <v>777 Main St</v>
      </c>
      <c r="H1187" s="7" t="str">
        <f>RawData!H1187</f>
        <v>Gift Card</v>
      </c>
      <c r="I1187" s="7" t="str">
        <f>RawData!I1187</f>
        <v>Returned</v>
      </c>
      <c r="J1187" s="7" t="str">
        <f>RawData!J1187</f>
        <v>TRK20605055</v>
      </c>
      <c r="K1187" s="7">
        <f>RawData!K1187</f>
        <v>6</v>
      </c>
      <c r="L1187" s="7" t="str">
        <f>IF(RawData!L1187="","No Coupon",RawData!L1187)</f>
        <v>SAVE10</v>
      </c>
      <c r="M1187" s="7" t="str">
        <f>RawData!M1187</f>
        <v>Google</v>
      </c>
      <c r="N1187" s="7">
        <f>RawData!N1187</f>
        <v>343.31</v>
      </c>
    </row>
    <row r="1188" spans="1:14" x14ac:dyDescent="0.3">
      <c r="A1188" s="7" t="str">
        <f>RawData!A1188</f>
        <v>ORD201186</v>
      </c>
      <c r="B1188" s="11">
        <f>RawData!B1188</f>
        <v>45248</v>
      </c>
      <c r="C1188" s="7" t="str">
        <f>RawData!C1188</f>
        <v>C65497</v>
      </c>
      <c r="D1188" s="7" t="str">
        <f>RawData!D1188</f>
        <v>Monitor</v>
      </c>
      <c r="E1188" s="7">
        <f>RawData!E1188</f>
        <v>1</v>
      </c>
      <c r="F1188" s="7">
        <f>RawData!F1188</f>
        <v>163.32</v>
      </c>
      <c r="G1188" s="7" t="str">
        <f>RawData!G1188</f>
        <v>676 Main St</v>
      </c>
      <c r="H1188" s="7" t="str">
        <f>RawData!H1188</f>
        <v>Cash</v>
      </c>
      <c r="I1188" s="7" t="str">
        <f>RawData!I1188</f>
        <v>Shipped</v>
      </c>
      <c r="J1188" s="7" t="str">
        <f>RawData!J1188</f>
        <v>TRK83702761</v>
      </c>
      <c r="K1188" s="7">
        <f>RawData!K1188</f>
        <v>6</v>
      </c>
      <c r="L1188" s="7" t="str">
        <f>IF(RawData!L1188="","No Coupon",RawData!L1188)</f>
        <v>WINTER15</v>
      </c>
      <c r="M1188" s="7" t="str">
        <f>RawData!M1188</f>
        <v>Facebook</v>
      </c>
      <c r="N1188" s="7">
        <f>RawData!N1188</f>
        <v>163.32</v>
      </c>
    </row>
    <row r="1189" spans="1:14" x14ac:dyDescent="0.3">
      <c r="A1189" s="7" t="str">
        <f>RawData!A1189</f>
        <v>ORD201187</v>
      </c>
      <c r="B1189" s="11">
        <f>RawData!B1189</f>
        <v>45364</v>
      </c>
      <c r="C1189" s="7" t="str">
        <f>RawData!C1189</f>
        <v>C26340</v>
      </c>
      <c r="D1189" s="7" t="str">
        <f>RawData!D1189</f>
        <v>Desk</v>
      </c>
      <c r="E1189" s="7">
        <f>RawData!E1189</f>
        <v>2</v>
      </c>
      <c r="F1189" s="7">
        <f>RawData!F1189</f>
        <v>184.6</v>
      </c>
      <c r="G1189" s="7" t="str">
        <f>RawData!G1189</f>
        <v>562 Main St</v>
      </c>
      <c r="H1189" s="7" t="str">
        <f>RawData!H1189</f>
        <v>Gift Card</v>
      </c>
      <c r="I1189" s="7" t="str">
        <f>RawData!I1189</f>
        <v>Delivered</v>
      </c>
      <c r="J1189" s="7" t="str">
        <f>RawData!J1189</f>
        <v>TRK59962703</v>
      </c>
      <c r="K1189" s="7">
        <f>RawData!K1189</f>
        <v>7</v>
      </c>
      <c r="L1189" s="7" t="str">
        <f>IF(RawData!L1189="","No Coupon",RawData!L1189)</f>
        <v>WINTER15</v>
      </c>
      <c r="M1189" s="7" t="str">
        <f>RawData!M1189</f>
        <v>Email</v>
      </c>
      <c r="N1189" s="7">
        <f>RawData!N1189</f>
        <v>369.2</v>
      </c>
    </row>
    <row r="1190" spans="1:14" x14ac:dyDescent="0.3">
      <c r="A1190" s="7" t="str">
        <f>RawData!A1190</f>
        <v>ORD201188</v>
      </c>
      <c r="B1190" s="11">
        <f>RawData!B1190</f>
        <v>45206</v>
      </c>
      <c r="C1190" s="7" t="str">
        <f>RawData!C1190</f>
        <v>C75619</v>
      </c>
      <c r="D1190" s="7" t="str">
        <f>RawData!D1190</f>
        <v>Printer</v>
      </c>
      <c r="E1190" s="7">
        <f>RawData!E1190</f>
        <v>2</v>
      </c>
      <c r="F1190" s="7">
        <f>RawData!F1190</f>
        <v>371.29</v>
      </c>
      <c r="G1190" s="7" t="str">
        <f>RawData!G1190</f>
        <v>924 Main St</v>
      </c>
      <c r="H1190" s="7" t="str">
        <f>RawData!H1190</f>
        <v>Gift Card</v>
      </c>
      <c r="I1190" s="7" t="str">
        <f>RawData!I1190</f>
        <v>Shipped</v>
      </c>
      <c r="J1190" s="7" t="str">
        <f>RawData!J1190</f>
        <v>TRK23086941</v>
      </c>
      <c r="K1190" s="7">
        <f>RawData!K1190</f>
        <v>5</v>
      </c>
      <c r="L1190" s="7" t="str">
        <f>IF(RawData!L1190="","No Coupon",RawData!L1190)</f>
        <v>WINTER15</v>
      </c>
      <c r="M1190" s="7" t="str">
        <f>RawData!M1190</f>
        <v>Facebook</v>
      </c>
      <c r="N1190" s="7">
        <f>RawData!N1190</f>
        <v>742.58</v>
      </c>
    </row>
    <row r="1191" spans="1:14" x14ac:dyDescent="0.3">
      <c r="A1191" s="7" t="str">
        <f>RawData!A1191</f>
        <v>ORD201189</v>
      </c>
      <c r="B1191" s="11">
        <f>RawData!B1191</f>
        <v>45521</v>
      </c>
      <c r="C1191" s="7" t="str">
        <f>RawData!C1191</f>
        <v>C96136</v>
      </c>
      <c r="D1191" s="7" t="str">
        <f>RawData!D1191</f>
        <v>Tablet</v>
      </c>
      <c r="E1191" s="7">
        <f>RawData!E1191</f>
        <v>5</v>
      </c>
      <c r="F1191" s="7">
        <f>RawData!F1191</f>
        <v>389.22</v>
      </c>
      <c r="G1191" s="7" t="str">
        <f>RawData!G1191</f>
        <v>149 Main St</v>
      </c>
      <c r="H1191" s="7" t="str">
        <f>RawData!H1191</f>
        <v>Cash</v>
      </c>
      <c r="I1191" s="7" t="str">
        <f>RawData!I1191</f>
        <v>Cancelled</v>
      </c>
      <c r="J1191" s="7" t="str">
        <f>RawData!J1191</f>
        <v>TRK60856682</v>
      </c>
      <c r="K1191" s="7">
        <f>RawData!K1191</f>
        <v>7</v>
      </c>
      <c r="L1191" s="7" t="str">
        <f>IF(RawData!L1191="","No Coupon",RawData!L1191)</f>
        <v>No Coupon</v>
      </c>
      <c r="M1191" s="7" t="str">
        <f>RawData!M1191</f>
        <v>Referral</v>
      </c>
      <c r="N1191" s="7">
        <f>RawData!N1191</f>
        <v>1946.1</v>
      </c>
    </row>
    <row r="1192" spans="1:14" x14ac:dyDescent="0.3">
      <c r="A1192" s="7" t="str">
        <f>RawData!A1192</f>
        <v>ORD201190</v>
      </c>
      <c r="B1192" s="11">
        <f>RawData!B1192</f>
        <v>45816</v>
      </c>
      <c r="C1192" s="7" t="str">
        <f>RawData!C1192</f>
        <v>C46886</v>
      </c>
      <c r="D1192" s="7" t="str">
        <f>RawData!D1192</f>
        <v>Desk</v>
      </c>
      <c r="E1192" s="7">
        <f>RawData!E1192</f>
        <v>3</v>
      </c>
      <c r="F1192" s="7">
        <f>RawData!F1192</f>
        <v>616.39</v>
      </c>
      <c r="G1192" s="7" t="str">
        <f>RawData!G1192</f>
        <v>754 Main St</v>
      </c>
      <c r="H1192" s="7" t="str">
        <f>RawData!H1192</f>
        <v>Credit Card</v>
      </c>
      <c r="I1192" s="7" t="str">
        <f>RawData!I1192</f>
        <v>Shipped</v>
      </c>
      <c r="J1192" s="7" t="str">
        <f>RawData!J1192</f>
        <v>TRK82791646</v>
      </c>
      <c r="K1192" s="7">
        <f>RawData!K1192</f>
        <v>6</v>
      </c>
      <c r="L1192" s="7" t="str">
        <f>IF(RawData!L1192="","No Coupon",RawData!L1192)</f>
        <v>FREESHIP</v>
      </c>
      <c r="M1192" s="7" t="str">
        <f>RawData!M1192</f>
        <v>Instagram</v>
      </c>
      <c r="N1192" s="7">
        <f>RawData!N1192</f>
        <v>1849.17</v>
      </c>
    </row>
    <row r="1193" spans="1:14" x14ac:dyDescent="0.3">
      <c r="A1193" s="7" t="str">
        <f>RawData!A1193</f>
        <v>ORD201191</v>
      </c>
      <c r="B1193" s="11">
        <f>RawData!B1193</f>
        <v>45698</v>
      </c>
      <c r="C1193" s="7" t="str">
        <f>RawData!C1193</f>
        <v>C44148</v>
      </c>
      <c r="D1193" s="7" t="str">
        <f>RawData!D1193</f>
        <v>Desk</v>
      </c>
      <c r="E1193" s="7">
        <f>RawData!E1193</f>
        <v>4</v>
      </c>
      <c r="F1193" s="7">
        <f>RawData!F1193</f>
        <v>376.43</v>
      </c>
      <c r="G1193" s="7" t="str">
        <f>RawData!G1193</f>
        <v>809 Main St</v>
      </c>
      <c r="H1193" s="7" t="str">
        <f>RawData!H1193</f>
        <v>Gift Card</v>
      </c>
      <c r="I1193" s="7" t="str">
        <f>RawData!I1193</f>
        <v>Pending</v>
      </c>
      <c r="J1193" s="7" t="str">
        <f>RawData!J1193</f>
        <v>TRK67872709</v>
      </c>
      <c r="K1193" s="7">
        <f>RawData!K1193</f>
        <v>5</v>
      </c>
      <c r="L1193" s="7" t="str">
        <f>IF(RawData!L1193="","No Coupon",RawData!L1193)</f>
        <v>WINTER15</v>
      </c>
      <c r="M1193" s="7" t="str">
        <f>RawData!M1193</f>
        <v>Instagram</v>
      </c>
      <c r="N1193" s="7">
        <f>RawData!N1193</f>
        <v>1505.72</v>
      </c>
    </row>
    <row r="1194" spans="1:14" x14ac:dyDescent="0.3">
      <c r="A1194" s="7" t="str">
        <f>RawData!A1194</f>
        <v>ORD201192</v>
      </c>
      <c r="B1194" s="11">
        <f>RawData!B1194</f>
        <v>45350</v>
      </c>
      <c r="C1194" s="7" t="str">
        <f>RawData!C1194</f>
        <v>C72007</v>
      </c>
      <c r="D1194" s="7" t="str">
        <f>RawData!D1194</f>
        <v>Chair</v>
      </c>
      <c r="E1194" s="7">
        <f>RawData!E1194</f>
        <v>3</v>
      </c>
      <c r="F1194" s="7">
        <f>RawData!F1194</f>
        <v>432.85</v>
      </c>
      <c r="G1194" s="7" t="str">
        <f>RawData!G1194</f>
        <v>999 Main St</v>
      </c>
      <c r="H1194" s="7" t="str">
        <f>RawData!H1194</f>
        <v>Online</v>
      </c>
      <c r="I1194" s="7" t="str">
        <f>RawData!I1194</f>
        <v>Pending</v>
      </c>
      <c r="J1194" s="7" t="str">
        <f>RawData!J1194</f>
        <v>TRK16240916</v>
      </c>
      <c r="K1194" s="7">
        <f>RawData!K1194</f>
        <v>4</v>
      </c>
      <c r="L1194" s="7" t="str">
        <f>IF(RawData!L1194="","No Coupon",RawData!L1194)</f>
        <v>No Coupon</v>
      </c>
      <c r="M1194" s="7" t="str">
        <f>RawData!M1194</f>
        <v>Instagram</v>
      </c>
      <c r="N1194" s="7">
        <f>RawData!N1194</f>
        <v>1298.55</v>
      </c>
    </row>
    <row r="1195" spans="1:14" x14ac:dyDescent="0.3">
      <c r="A1195" s="7" t="str">
        <f>RawData!A1195</f>
        <v>ORD201193</v>
      </c>
      <c r="B1195" s="11">
        <f>RawData!B1195</f>
        <v>45824</v>
      </c>
      <c r="C1195" s="7" t="str">
        <f>RawData!C1195</f>
        <v>C45104</v>
      </c>
      <c r="D1195" s="7" t="str">
        <f>RawData!D1195</f>
        <v>Tablet</v>
      </c>
      <c r="E1195" s="7">
        <f>RawData!E1195</f>
        <v>1</v>
      </c>
      <c r="F1195" s="7">
        <f>RawData!F1195</f>
        <v>687.89</v>
      </c>
      <c r="G1195" s="7" t="str">
        <f>RawData!G1195</f>
        <v>348 Main St</v>
      </c>
      <c r="H1195" s="7" t="str">
        <f>RawData!H1195</f>
        <v>Cash</v>
      </c>
      <c r="I1195" s="7" t="str">
        <f>RawData!I1195</f>
        <v>Returned</v>
      </c>
      <c r="J1195" s="7" t="str">
        <f>RawData!J1195</f>
        <v>TRK38559816</v>
      </c>
      <c r="K1195" s="7">
        <f>RawData!K1195</f>
        <v>1</v>
      </c>
      <c r="L1195" s="7" t="str">
        <f>IF(RawData!L1195="","No Coupon",RawData!L1195)</f>
        <v>FREESHIP</v>
      </c>
      <c r="M1195" s="7" t="str">
        <f>RawData!M1195</f>
        <v>Email</v>
      </c>
      <c r="N1195" s="7">
        <f>RawData!N1195</f>
        <v>687.89</v>
      </c>
    </row>
    <row r="1196" spans="1:14" x14ac:dyDescent="0.3">
      <c r="A1196" s="7" t="str">
        <f>RawData!A1196</f>
        <v>ORD201194</v>
      </c>
      <c r="B1196" s="11">
        <f>RawData!B1196</f>
        <v>45249</v>
      </c>
      <c r="C1196" s="7" t="str">
        <f>RawData!C1196</f>
        <v>C29885</v>
      </c>
      <c r="D1196" s="7" t="str">
        <f>RawData!D1196</f>
        <v>Printer</v>
      </c>
      <c r="E1196" s="7">
        <f>RawData!E1196</f>
        <v>3</v>
      </c>
      <c r="F1196" s="7">
        <f>RawData!F1196</f>
        <v>189.44</v>
      </c>
      <c r="G1196" s="7" t="str">
        <f>RawData!G1196</f>
        <v>725 Main St</v>
      </c>
      <c r="H1196" s="7" t="str">
        <f>RawData!H1196</f>
        <v>Cash</v>
      </c>
      <c r="I1196" s="7" t="str">
        <f>RawData!I1196</f>
        <v>Pending</v>
      </c>
      <c r="J1196" s="7" t="str">
        <f>RawData!J1196</f>
        <v>TRK62067865</v>
      </c>
      <c r="K1196" s="7">
        <f>RawData!K1196</f>
        <v>4</v>
      </c>
      <c r="L1196" s="7" t="str">
        <f>IF(RawData!L1196="","No Coupon",RawData!L1196)</f>
        <v>FREESHIP</v>
      </c>
      <c r="M1196" s="7" t="str">
        <f>RawData!M1196</f>
        <v>Email</v>
      </c>
      <c r="N1196" s="7">
        <f>RawData!N1196</f>
        <v>568.32000000000005</v>
      </c>
    </row>
    <row r="1197" spans="1:14" x14ac:dyDescent="0.3">
      <c r="A1197" s="7" t="str">
        <f>RawData!A1197</f>
        <v>ORD201195</v>
      </c>
      <c r="B1197" s="11">
        <f>RawData!B1197</f>
        <v>45463</v>
      </c>
      <c r="C1197" s="7" t="str">
        <f>RawData!C1197</f>
        <v>C21126</v>
      </c>
      <c r="D1197" s="7" t="str">
        <f>RawData!D1197</f>
        <v>Desk</v>
      </c>
      <c r="E1197" s="7">
        <f>RawData!E1197</f>
        <v>1</v>
      </c>
      <c r="F1197" s="7">
        <f>RawData!F1197</f>
        <v>107.04</v>
      </c>
      <c r="G1197" s="7" t="str">
        <f>RawData!G1197</f>
        <v>392 Main St</v>
      </c>
      <c r="H1197" s="7" t="str">
        <f>RawData!H1197</f>
        <v>Credit Card</v>
      </c>
      <c r="I1197" s="7" t="str">
        <f>RawData!I1197</f>
        <v>Cancelled</v>
      </c>
      <c r="J1197" s="7" t="str">
        <f>RawData!J1197</f>
        <v>TRK38009181</v>
      </c>
      <c r="K1197" s="7">
        <f>RawData!K1197</f>
        <v>6</v>
      </c>
      <c r="L1197" s="7" t="str">
        <f>IF(RawData!L1197="","No Coupon",RawData!L1197)</f>
        <v>FREESHIP</v>
      </c>
      <c r="M1197" s="7" t="str">
        <f>RawData!M1197</f>
        <v>Google</v>
      </c>
      <c r="N1197" s="7">
        <f>RawData!N1197</f>
        <v>107.04</v>
      </c>
    </row>
    <row r="1198" spans="1:14" x14ac:dyDescent="0.3">
      <c r="A1198" s="7" t="str">
        <f>RawData!A1198</f>
        <v>ORD201196</v>
      </c>
      <c r="B1198" s="11">
        <f>RawData!B1198</f>
        <v>45355</v>
      </c>
      <c r="C1198" s="7" t="str">
        <f>RawData!C1198</f>
        <v>C20095</v>
      </c>
      <c r="D1198" s="7" t="str">
        <f>RawData!D1198</f>
        <v>Monitor</v>
      </c>
      <c r="E1198" s="7">
        <f>RawData!E1198</f>
        <v>2</v>
      </c>
      <c r="F1198" s="7">
        <f>RawData!F1198</f>
        <v>662.53</v>
      </c>
      <c r="G1198" s="7" t="str">
        <f>RawData!G1198</f>
        <v>778 Main St</v>
      </c>
      <c r="H1198" s="7" t="str">
        <f>RawData!H1198</f>
        <v>Online</v>
      </c>
      <c r="I1198" s="7" t="str">
        <f>RawData!I1198</f>
        <v>Cancelled</v>
      </c>
      <c r="J1198" s="7" t="str">
        <f>RawData!J1198</f>
        <v>TRK69207593</v>
      </c>
      <c r="K1198" s="7">
        <f>RawData!K1198</f>
        <v>5</v>
      </c>
      <c r="L1198" s="7" t="str">
        <f>IF(RawData!L1198="","No Coupon",RawData!L1198)</f>
        <v>No Coupon</v>
      </c>
      <c r="M1198" s="7" t="str">
        <f>RawData!M1198</f>
        <v>Facebook</v>
      </c>
      <c r="N1198" s="7">
        <f>RawData!N1198</f>
        <v>1325.06</v>
      </c>
    </row>
    <row r="1199" spans="1:14" x14ac:dyDescent="0.3">
      <c r="A1199" s="7" t="str">
        <f>RawData!A1199</f>
        <v>ORD201197</v>
      </c>
      <c r="B1199" s="11">
        <f>RawData!B1199</f>
        <v>45120</v>
      </c>
      <c r="C1199" s="7" t="str">
        <f>RawData!C1199</f>
        <v>C79674</v>
      </c>
      <c r="D1199" s="7" t="str">
        <f>RawData!D1199</f>
        <v>Tablet</v>
      </c>
      <c r="E1199" s="7">
        <f>RawData!E1199</f>
        <v>2</v>
      </c>
      <c r="F1199" s="7">
        <f>RawData!F1199</f>
        <v>436.84</v>
      </c>
      <c r="G1199" s="7" t="str">
        <f>RawData!G1199</f>
        <v>275 Main St</v>
      </c>
      <c r="H1199" s="7" t="str">
        <f>RawData!H1199</f>
        <v>Online</v>
      </c>
      <c r="I1199" s="7" t="str">
        <f>RawData!I1199</f>
        <v>Delivered</v>
      </c>
      <c r="J1199" s="7" t="str">
        <f>RawData!J1199</f>
        <v>TRK88039356</v>
      </c>
      <c r="K1199" s="7">
        <f>RawData!K1199</f>
        <v>2</v>
      </c>
      <c r="L1199" s="7" t="str">
        <f>IF(RawData!L1199="","No Coupon",RawData!L1199)</f>
        <v>FREESHIP</v>
      </c>
      <c r="M1199" s="7" t="str">
        <f>RawData!M1199</f>
        <v>Instagram</v>
      </c>
      <c r="N1199" s="7">
        <f>RawData!N1199</f>
        <v>873.68</v>
      </c>
    </row>
    <row r="1200" spans="1:14" x14ac:dyDescent="0.3">
      <c r="A1200" s="7" t="str">
        <f>RawData!A1200</f>
        <v>ORD201198</v>
      </c>
      <c r="B1200" s="11">
        <f>RawData!B1200</f>
        <v>45526</v>
      </c>
      <c r="C1200" s="7" t="str">
        <f>RawData!C1200</f>
        <v>C64753</v>
      </c>
      <c r="D1200" s="7" t="str">
        <f>RawData!D1200</f>
        <v>Chair</v>
      </c>
      <c r="E1200" s="7">
        <f>RawData!E1200</f>
        <v>4</v>
      </c>
      <c r="F1200" s="7">
        <f>RawData!F1200</f>
        <v>262.52</v>
      </c>
      <c r="G1200" s="7" t="str">
        <f>RawData!G1200</f>
        <v>509 Main St</v>
      </c>
      <c r="H1200" s="7" t="str">
        <f>RawData!H1200</f>
        <v>Debit Card</v>
      </c>
      <c r="I1200" s="7" t="str">
        <f>RawData!I1200</f>
        <v>Cancelled</v>
      </c>
      <c r="J1200" s="7" t="str">
        <f>RawData!J1200</f>
        <v>TRK71683331</v>
      </c>
      <c r="K1200" s="7">
        <f>RawData!K1200</f>
        <v>4</v>
      </c>
      <c r="L1200" s="7" t="str">
        <f>IF(RawData!L1200="","No Coupon",RawData!L1200)</f>
        <v>WINTER15</v>
      </c>
      <c r="M1200" s="7" t="str">
        <f>RawData!M1200</f>
        <v>Instagram</v>
      </c>
      <c r="N1200" s="7">
        <f>RawData!N1200</f>
        <v>1050.08</v>
      </c>
    </row>
    <row r="1201" spans="1:14" x14ac:dyDescent="0.3">
      <c r="A1201" s="7" t="str">
        <f>RawData!A1201</f>
        <v>ORD201199</v>
      </c>
      <c r="B1201" s="11">
        <f>RawData!B1201</f>
        <v>45088</v>
      </c>
      <c r="C1201" s="7" t="str">
        <f>RawData!C1201</f>
        <v>C57502</v>
      </c>
      <c r="D1201" s="7" t="str">
        <f>RawData!D1201</f>
        <v>Tablet</v>
      </c>
      <c r="E1201" s="7">
        <f>RawData!E1201</f>
        <v>4</v>
      </c>
      <c r="F1201" s="7">
        <f>RawData!F1201</f>
        <v>560.58000000000004</v>
      </c>
      <c r="G1201" s="7" t="str">
        <f>RawData!G1201</f>
        <v>201 Main St</v>
      </c>
      <c r="H1201" s="7" t="str">
        <f>RawData!H1201</f>
        <v>Gift Card</v>
      </c>
      <c r="I1201" s="7" t="str">
        <f>RawData!I1201</f>
        <v>Returned</v>
      </c>
      <c r="J1201" s="7" t="str">
        <f>RawData!J1201</f>
        <v>TRK51116746</v>
      </c>
      <c r="K1201" s="7">
        <f>RawData!K1201</f>
        <v>6</v>
      </c>
      <c r="L1201" s="7" t="str">
        <f>IF(RawData!L1201="","No Coupon",RawData!L1201)</f>
        <v>SAVE10</v>
      </c>
      <c r="M1201" s="7" t="str">
        <f>RawData!M1201</f>
        <v>Referral</v>
      </c>
      <c r="N1201" s="7">
        <f>RawData!N1201</f>
        <v>2242.3200000000002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RawData</vt:lpstr>
      <vt:lpstr>Cleaning_Audit</vt:lpstr>
      <vt:lpstr>CleanedData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hameedah saheeb</cp:lastModifiedBy>
  <cp:revision>0</cp:revision>
  <dcterms:created xsi:type="dcterms:W3CDTF">2026-06-30T18:11:47Z</dcterms:created>
  <dcterms:modified xsi:type="dcterms:W3CDTF">2026-06-30T18:31:50Z</dcterms:modified>
  <dc:language>en-US</dc:language>
</cp:coreProperties>
</file>